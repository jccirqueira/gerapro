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updateLinks="never" codeName="EstaPastaDeTrabalho"/>
  <xr:revisionPtr revIDLastSave="2678" documentId="8_{9F3BF5A6-9417-47DD-BB7A-D46C99692D16}" xr6:coauthVersionLast="47" xr6:coauthVersionMax="47" xr10:uidLastSave="{37C589EA-E3E6-4131-B838-2C7B8BCA40C4}"/>
  <bookViews>
    <workbookView xWindow="855" yWindow="-16320" windowWidth="29040" windowHeight="15720" tabRatio="878" activeTab="6" xr2:uid="{00000000-000D-0000-FFFF-FFFF00000000}"/>
  </bookViews>
  <sheets>
    <sheet name="RESUMO" sheetId="16" r:id="rId1"/>
    <sheet name="SERVICOS AUTPRO" sheetId="4" r:id="rId2"/>
    <sheet name="SERVICOS MONTAGEM" sheetId="15" r:id="rId3"/>
    <sheet name="TERCEIROS e LOCAÇÕES" sheetId="9" r:id="rId4"/>
    <sheet name="MATERIAIS CAMPO" sheetId="13" r:id="rId5"/>
    <sheet name="MATERIAIS PAINÉIS" sheetId="7" r:id="rId6"/>
    <sheet name="FAT. DIRETO" sheetId="3" r:id="rId7"/>
    <sheet name="RATEIO" sheetId="17" r:id="rId8"/>
    <sheet name="ESTIMATIVA DE HORAS" sheetId="19" r:id="rId9"/>
    <sheet name="Planilha1" sheetId="20" r:id="rId10"/>
    <sheet name="BASE" sheetId="18" state="hidden" r:id="rId11"/>
  </sheets>
  <calcPr calcId="191028"/>
  <pivotCaches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5" i="19" l="1"/>
  <c r="F165" i="19"/>
  <c r="B165" i="19"/>
  <c r="G170" i="19"/>
  <c r="G169" i="19"/>
  <c r="G168" i="19"/>
  <c r="F170" i="19"/>
  <c r="F169" i="19"/>
  <c r="F168" i="19"/>
  <c r="B170" i="19"/>
  <c r="B169" i="19"/>
  <c r="B168" i="19"/>
  <c r="H19" i="3"/>
  <c r="J22" i="3"/>
  <c r="K22" i="3" s="1"/>
  <c r="B32" i="20"/>
  <c r="B27" i="20"/>
  <c r="J19" i="3"/>
  <c r="K19" i="3" s="1"/>
  <c r="E17" i="20"/>
  <c r="L49" i="19"/>
  <c r="M49" i="19"/>
  <c r="M60" i="16"/>
  <c r="N54" i="16"/>
  <c r="F156" i="19"/>
  <c r="F157" i="19"/>
  <c r="F158" i="19"/>
  <c r="F159" i="19"/>
  <c r="F160" i="19"/>
  <c r="F161" i="19"/>
  <c r="F162" i="19"/>
  <c r="F163" i="19"/>
  <c r="F164" i="19"/>
  <c r="F166" i="19"/>
  <c r="F167" i="19"/>
  <c r="F155" i="19"/>
  <c r="B156" i="19"/>
  <c r="B157" i="19"/>
  <c r="B158" i="19"/>
  <c r="B159" i="19"/>
  <c r="B160" i="19"/>
  <c r="B161" i="19"/>
  <c r="B162" i="19"/>
  <c r="B163" i="19"/>
  <c r="B164" i="19"/>
  <c r="B166" i="19"/>
  <c r="B167" i="19"/>
  <c r="B155" i="19"/>
  <c r="D138" i="19"/>
  <c r="J128" i="19" s="1"/>
  <c r="H77" i="19"/>
  <c r="M86" i="19"/>
  <c r="L86" i="19"/>
  <c r="K86" i="19"/>
  <c r="J86" i="19"/>
  <c r="I86" i="19"/>
  <c r="M85" i="19"/>
  <c r="L85" i="19"/>
  <c r="K85" i="19"/>
  <c r="J85" i="19"/>
  <c r="I85" i="19"/>
  <c r="M84" i="19"/>
  <c r="L84" i="19"/>
  <c r="K84" i="19"/>
  <c r="J84" i="19"/>
  <c r="I84" i="19"/>
  <c r="M83" i="19"/>
  <c r="L83" i="19"/>
  <c r="K83" i="19"/>
  <c r="J83" i="19"/>
  <c r="I83" i="19"/>
  <c r="M82" i="19"/>
  <c r="L82" i="19"/>
  <c r="K82" i="19"/>
  <c r="J82" i="19"/>
  <c r="I82" i="19"/>
  <c r="M81" i="19"/>
  <c r="L81" i="19"/>
  <c r="K81" i="19"/>
  <c r="J81" i="19"/>
  <c r="I81" i="19"/>
  <c r="M76" i="19"/>
  <c r="L76" i="19"/>
  <c r="K76" i="19"/>
  <c r="J76" i="19"/>
  <c r="I76" i="19"/>
  <c r="J11" i="7"/>
  <c r="C15" i="20"/>
  <c r="C14" i="20"/>
  <c r="F219" i="13"/>
  <c r="F218" i="13"/>
  <c r="H72" i="19"/>
  <c r="I68" i="19"/>
  <c r="J68" i="19"/>
  <c r="K68" i="19"/>
  <c r="L68" i="19"/>
  <c r="M68" i="19"/>
  <c r="I69" i="19"/>
  <c r="J69" i="19"/>
  <c r="K69" i="19"/>
  <c r="L69" i="19"/>
  <c r="M69" i="19"/>
  <c r="I70" i="19"/>
  <c r="J70" i="19"/>
  <c r="K70" i="19"/>
  <c r="L70" i="19"/>
  <c r="M70" i="19"/>
  <c r="I71" i="19"/>
  <c r="J71" i="19"/>
  <c r="K71" i="19"/>
  <c r="L71" i="19"/>
  <c r="M71" i="19"/>
  <c r="M67" i="19"/>
  <c r="L67" i="19"/>
  <c r="K67" i="19"/>
  <c r="J67" i="19"/>
  <c r="I67" i="19"/>
  <c r="M66" i="19"/>
  <c r="L66" i="19"/>
  <c r="K66" i="19"/>
  <c r="J66" i="19"/>
  <c r="I66" i="19"/>
  <c r="M65" i="19"/>
  <c r="L65" i="19"/>
  <c r="K65" i="19"/>
  <c r="J65" i="19"/>
  <c r="I65" i="19"/>
  <c r="F213" i="13"/>
  <c r="H62" i="19"/>
  <c r="M61" i="19"/>
  <c r="L61" i="19"/>
  <c r="K61" i="19"/>
  <c r="J61" i="19"/>
  <c r="I61" i="19"/>
  <c r="M60" i="19"/>
  <c r="L60" i="19"/>
  <c r="K60" i="19"/>
  <c r="J60" i="19"/>
  <c r="I60" i="19"/>
  <c r="M59" i="19"/>
  <c r="L59" i="19"/>
  <c r="K59" i="19"/>
  <c r="J59" i="19"/>
  <c r="I59" i="19"/>
  <c r="C9" i="20"/>
  <c r="C5" i="20"/>
  <c r="C6" i="20"/>
  <c r="C7" i="20"/>
  <c r="C8" i="20"/>
  <c r="C4" i="20"/>
  <c r="F206" i="13"/>
  <c r="I199" i="13"/>
  <c r="F199" i="13"/>
  <c r="F198" i="13"/>
  <c r="H55" i="19"/>
  <c r="M54" i="19"/>
  <c r="L54" i="19"/>
  <c r="K54" i="19"/>
  <c r="J54" i="19"/>
  <c r="I54" i="19"/>
  <c r="M53" i="19"/>
  <c r="L53" i="19"/>
  <c r="K53" i="19"/>
  <c r="J53" i="19"/>
  <c r="I53" i="19"/>
  <c r="M52" i="19"/>
  <c r="L52" i="19"/>
  <c r="K52" i="19"/>
  <c r="J52" i="19"/>
  <c r="I52" i="19"/>
  <c r="M51" i="19"/>
  <c r="L51" i="19"/>
  <c r="L55" i="19" s="1"/>
  <c r="L57" i="19" s="1"/>
  <c r="K51" i="19"/>
  <c r="K55" i="19" s="1"/>
  <c r="K57" i="19" s="1"/>
  <c r="J51" i="19"/>
  <c r="J55" i="19" s="1"/>
  <c r="J57" i="19" s="1"/>
  <c r="I51" i="19"/>
  <c r="I55" i="19" s="1"/>
  <c r="M55" i="19" l="1"/>
  <c r="M57" i="19" s="1"/>
  <c r="C99" i="19"/>
  <c r="C104" i="19" s="1"/>
  <c r="H47" i="19" l="1"/>
  <c r="I43" i="19"/>
  <c r="J43" i="19"/>
  <c r="K43" i="19"/>
  <c r="L43" i="19"/>
  <c r="M43" i="19"/>
  <c r="I44" i="19"/>
  <c r="J44" i="19"/>
  <c r="K44" i="19"/>
  <c r="L44" i="19"/>
  <c r="M44" i="19"/>
  <c r="I45" i="19"/>
  <c r="J45" i="19"/>
  <c r="K45" i="19"/>
  <c r="L45" i="19"/>
  <c r="M45" i="19"/>
  <c r="I46" i="19"/>
  <c r="J46" i="19"/>
  <c r="K46" i="19"/>
  <c r="L46" i="19"/>
  <c r="M46" i="19"/>
  <c r="M42" i="19"/>
  <c r="L42" i="19"/>
  <c r="K42" i="19"/>
  <c r="J42" i="19"/>
  <c r="I42" i="19"/>
  <c r="M41" i="19"/>
  <c r="L41" i="19"/>
  <c r="K41" i="19"/>
  <c r="J41" i="19"/>
  <c r="I41" i="19"/>
  <c r="I188" i="13"/>
  <c r="I189" i="13"/>
  <c r="I187" i="13"/>
  <c r="J47" i="19" l="1"/>
  <c r="J49" i="19" s="1"/>
  <c r="K47" i="19"/>
  <c r="K49" i="19" s="1"/>
  <c r="F178" i="13"/>
  <c r="J173" i="13" l="1"/>
  <c r="J174" i="13" s="1"/>
  <c r="I170" i="13"/>
  <c r="I173" i="13" s="1"/>
  <c r="I174" i="13" s="1"/>
  <c r="J166" i="13"/>
  <c r="J167" i="13" s="1"/>
  <c r="I167" i="13"/>
  <c r="I172" i="13" l="1"/>
  <c r="I171" i="13"/>
  <c r="I158" i="13"/>
  <c r="I160" i="13" s="1"/>
  <c r="I154" i="13"/>
  <c r="I155" i="13" s="1"/>
  <c r="I153" i="13"/>
  <c r="J149" i="13"/>
  <c r="J151" i="13" s="1"/>
  <c r="J153" i="13" s="1"/>
  <c r="J148" i="13"/>
  <c r="J150" i="13" s="1"/>
  <c r="J152" i="13" s="1"/>
  <c r="J143" i="13"/>
  <c r="J145" i="13" s="1"/>
  <c r="J142" i="13"/>
  <c r="J144" i="13" s="1"/>
  <c r="J137" i="13"/>
  <c r="J139" i="13" s="1"/>
  <c r="J141" i="13" s="1"/>
  <c r="J136" i="13"/>
  <c r="J138" i="13" s="1"/>
  <c r="J140" i="13" s="1"/>
  <c r="J131" i="13"/>
  <c r="J133" i="13" s="1"/>
  <c r="J135" i="13" s="1"/>
  <c r="J130" i="13"/>
  <c r="J132" i="13" s="1"/>
  <c r="J134" i="13" s="1"/>
  <c r="I151" i="13"/>
  <c r="I149" i="13"/>
  <c r="I147" i="13"/>
  <c r="I145" i="13"/>
  <c r="I143" i="13"/>
  <c r="I141" i="13"/>
  <c r="I139" i="13"/>
  <c r="I137" i="13"/>
  <c r="I135" i="13"/>
  <c r="I133" i="13"/>
  <c r="I131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I129" i="13"/>
  <c r="I127" i="13"/>
  <c r="I125" i="13"/>
  <c r="I123" i="13"/>
  <c r="I121" i="13"/>
  <c r="F129" i="13"/>
  <c r="F128" i="13"/>
  <c r="F124" i="13"/>
  <c r="F125" i="13"/>
  <c r="F126" i="13"/>
  <c r="F127" i="13"/>
  <c r="J114" i="13"/>
  <c r="J113" i="13"/>
  <c r="J110" i="13"/>
  <c r="J109" i="13"/>
  <c r="I111" i="13"/>
  <c r="I116" i="13" s="1"/>
  <c r="I107" i="13"/>
  <c r="J104" i="13"/>
  <c r="J103" i="13"/>
  <c r="J94" i="13"/>
  <c r="J93" i="13"/>
  <c r="I106" i="13"/>
  <c r="I104" i="13"/>
  <c r="I102" i="13"/>
  <c r="I100" i="13"/>
  <c r="I98" i="13"/>
  <c r="I96" i="13"/>
  <c r="I94" i="13"/>
  <c r="I92" i="13"/>
  <c r="I90" i="13"/>
  <c r="I88" i="13"/>
  <c r="I108" i="13" l="1"/>
  <c r="I109" i="13" s="1"/>
  <c r="I110" i="13" s="1"/>
  <c r="I161" i="13"/>
  <c r="I156" i="13"/>
  <c r="I157" i="13"/>
  <c r="I159" i="13"/>
  <c r="I162" i="13"/>
  <c r="J146" i="13"/>
  <c r="I112" i="13"/>
  <c r="I113" i="13" s="1"/>
  <c r="I114" i="13" s="1"/>
  <c r="I115" i="13" s="1"/>
  <c r="J147" i="13"/>
  <c r="H36" i="19" l="1"/>
  <c r="M35" i="19"/>
  <c r="L35" i="19"/>
  <c r="K35" i="19"/>
  <c r="J35" i="19"/>
  <c r="I35" i="19"/>
  <c r="M34" i="19"/>
  <c r="L34" i="19"/>
  <c r="K34" i="19"/>
  <c r="J34" i="19"/>
  <c r="I34" i="19"/>
  <c r="F85" i="13"/>
  <c r="F84" i="13"/>
  <c r="F83" i="13"/>
  <c r="F82" i="13"/>
  <c r="F81" i="13"/>
  <c r="F80" i="13"/>
  <c r="J72" i="13"/>
  <c r="J71" i="13"/>
  <c r="M29" i="19"/>
  <c r="L29" i="19"/>
  <c r="K29" i="19"/>
  <c r="J29" i="19"/>
  <c r="I29" i="19"/>
  <c r="M28" i="19"/>
  <c r="L28" i="19"/>
  <c r="K28" i="19"/>
  <c r="J28" i="19"/>
  <c r="I28" i="19"/>
  <c r="M27" i="19"/>
  <c r="L27" i="19"/>
  <c r="K27" i="19"/>
  <c r="J27" i="19"/>
  <c r="I27" i="19"/>
  <c r="M26" i="19"/>
  <c r="L26" i="19"/>
  <c r="K26" i="19"/>
  <c r="J26" i="19"/>
  <c r="I26" i="19"/>
  <c r="M25" i="19"/>
  <c r="L25" i="19"/>
  <c r="K25" i="19"/>
  <c r="J25" i="19"/>
  <c r="I25" i="19"/>
  <c r="H30" i="19"/>
  <c r="H20" i="19"/>
  <c r="H11" i="19"/>
  <c r="M19" i="19"/>
  <c r="L19" i="19"/>
  <c r="K19" i="19"/>
  <c r="J19" i="19"/>
  <c r="I19" i="19"/>
  <c r="M18" i="19"/>
  <c r="L18" i="19"/>
  <c r="K18" i="19"/>
  <c r="J18" i="19"/>
  <c r="I18" i="19"/>
  <c r="M17" i="19"/>
  <c r="L17" i="19"/>
  <c r="K17" i="19"/>
  <c r="J17" i="19"/>
  <c r="I17" i="19"/>
  <c r="M16" i="19"/>
  <c r="L16" i="19"/>
  <c r="K16" i="19"/>
  <c r="J16" i="19"/>
  <c r="I16" i="19"/>
  <c r="M15" i="19"/>
  <c r="L15" i="19"/>
  <c r="K15" i="19"/>
  <c r="J15" i="19"/>
  <c r="I15" i="19"/>
  <c r="M14" i="19"/>
  <c r="L14" i="19"/>
  <c r="K14" i="19"/>
  <c r="J14" i="19"/>
  <c r="I14" i="19"/>
  <c r="I6" i="19"/>
  <c r="J6" i="19"/>
  <c r="K6" i="19"/>
  <c r="L6" i="19"/>
  <c r="M6" i="19"/>
  <c r="I7" i="19"/>
  <c r="J7" i="19"/>
  <c r="K7" i="19"/>
  <c r="L7" i="19"/>
  <c r="M7" i="19"/>
  <c r="I8" i="19"/>
  <c r="J8" i="19"/>
  <c r="K8" i="19"/>
  <c r="L8" i="19"/>
  <c r="M8" i="19"/>
  <c r="I9" i="19"/>
  <c r="J9" i="19"/>
  <c r="K9" i="19"/>
  <c r="L9" i="19"/>
  <c r="M9" i="19"/>
  <c r="I10" i="19"/>
  <c r="J10" i="19"/>
  <c r="K10" i="19"/>
  <c r="L10" i="19"/>
  <c r="M10" i="19"/>
  <c r="J5" i="19"/>
  <c r="K5" i="19"/>
  <c r="L5" i="19"/>
  <c r="M5" i="19"/>
  <c r="I5" i="19"/>
  <c r="C92" i="19" l="1"/>
  <c r="E92" i="19" s="1"/>
  <c r="C94" i="19"/>
  <c r="E94" i="19" s="1"/>
  <c r="C91" i="19"/>
  <c r="E91" i="19" s="1"/>
  <c r="C93" i="19"/>
  <c r="E93" i="19" s="1"/>
  <c r="C90" i="19"/>
  <c r="E90" i="19" s="1"/>
  <c r="F58" i="13"/>
  <c r="F52" i="13"/>
  <c r="F53" i="13"/>
  <c r="F54" i="13"/>
  <c r="F55" i="13"/>
  <c r="F56" i="13"/>
  <c r="F57" i="13"/>
  <c r="F59" i="13"/>
  <c r="F61" i="13"/>
  <c r="F62" i="13"/>
  <c r="F63" i="13"/>
  <c r="F64" i="13"/>
  <c r="F68" i="13"/>
  <c r="F69" i="13"/>
  <c r="F70" i="13"/>
  <c r="F71" i="13"/>
  <c r="F72" i="13"/>
  <c r="F73" i="13"/>
  <c r="F74" i="13"/>
  <c r="F75" i="13"/>
  <c r="F76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20" i="13"/>
  <c r="F121" i="13"/>
  <c r="F122" i="13"/>
  <c r="F123" i="13"/>
  <c r="F130" i="13"/>
  <c r="F131" i="13"/>
  <c r="F154" i="13"/>
  <c r="F155" i="13"/>
  <c r="F156" i="13"/>
  <c r="F157" i="13"/>
  <c r="F158" i="13"/>
  <c r="F159" i="13"/>
  <c r="F160" i="13"/>
  <c r="F161" i="13"/>
  <c r="F162" i="13"/>
  <c r="F163" i="13"/>
  <c r="F164" i="13"/>
  <c r="F166" i="13"/>
  <c r="F167" i="13"/>
  <c r="F168" i="13"/>
  <c r="F169" i="13"/>
  <c r="F170" i="13"/>
  <c r="F171" i="13"/>
  <c r="F172" i="13"/>
  <c r="F173" i="13"/>
  <c r="F174" i="13"/>
  <c r="F175" i="13"/>
  <c r="F176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200" i="13"/>
  <c r="F201" i="13"/>
  <c r="F202" i="13"/>
  <c r="F203" i="13"/>
  <c r="F204" i="13"/>
  <c r="F207" i="13"/>
  <c r="F208" i="13"/>
  <c r="F209" i="13"/>
  <c r="F210" i="13"/>
  <c r="F211" i="13"/>
  <c r="F214" i="13"/>
  <c r="F215" i="13"/>
  <c r="F216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N52" i="13"/>
  <c r="Z52" i="13" s="1"/>
  <c r="N53" i="13"/>
  <c r="V53" i="13" s="1"/>
  <c r="W53" i="13" s="1"/>
  <c r="N54" i="13"/>
  <c r="Y54" i="13" s="1"/>
  <c r="N55" i="13"/>
  <c r="Z55" i="13" s="1"/>
  <c r="N56" i="13"/>
  <c r="Y56" i="13" s="1"/>
  <c r="N57" i="13"/>
  <c r="V57" i="13" s="1"/>
  <c r="W57" i="13" s="1"/>
  <c r="N58" i="13"/>
  <c r="V58" i="13" s="1"/>
  <c r="W58" i="13" s="1"/>
  <c r="N59" i="13"/>
  <c r="Y59" i="13" s="1"/>
  <c r="N60" i="13"/>
  <c r="N61" i="13"/>
  <c r="N62" i="13"/>
  <c r="V62" i="13" s="1"/>
  <c r="W62" i="13" s="1"/>
  <c r="N63" i="13"/>
  <c r="Z63" i="13" s="1"/>
  <c r="N64" i="13"/>
  <c r="V64" i="13" s="1"/>
  <c r="W64" i="13" s="1"/>
  <c r="N65" i="13"/>
  <c r="V65" i="13" s="1"/>
  <c r="W65" i="13" s="1"/>
  <c r="N66" i="13"/>
  <c r="V66" i="13" s="1"/>
  <c r="W66" i="13" s="1"/>
  <c r="N67" i="13"/>
  <c r="Y67" i="13" s="1"/>
  <c r="N68" i="13"/>
  <c r="V68" i="13" s="1"/>
  <c r="W68" i="13" s="1"/>
  <c r="N69" i="13"/>
  <c r="Y69" i="13" s="1"/>
  <c r="N70" i="13"/>
  <c r="V70" i="13" s="1"/>
  <c r="W70" i="13" s="1"/>
  <c r="N71" i="13"/>
  <c r="Y71" i="13" s="1"/>
  <c r="N72" i="13"/>
  <c r="Y72" i="13" s="1"/>
  <c r="N73" i="13"/>
  <c r="V73" i="13" s="1"/>
  <c r="W73" i="13" s="1"/>
  <c r="N74" i="13"/>
  <c r="V74" i="13" s="1"/>
  <c r="W74" i="13" s="1"/>
  <c r="N75" i="13"/>
  <c r="V75" i="13" s="1"/>
  <c r="W75" i="13" s="1"/>
  <c r="N76" i="13"/>
  <c r="N77" i="13"/>
  <c r="N78" i="13"/>
  <c r="V78" i="13" s="1"/>
  <c r="W78" i="13" s="1"/>
  <c r="N79" i="13"/>
  <c r="V79" i="13" s="1"/>
  <c r="W79" i="13" s="1"/>
  <c r="N80" i="13"/>
  <c r="Z80" i="13" s="1"/>
  <c r="N81" i="13"/>
  <c r="N82" i="13"/>
  <c r="N83" i="13"/>
  <c r="V83" i="13" s="1"/>
  <c r="W83" i="13" s="1"/>
  <c r="N84" i="13"/>
  <c r="N85" i="13"/>
  <c r="Z85" i="13" s="1"/>
  <c r="N86" i="13"/>
  <c r="Y86" i="13" s="1"/>
  <c r="N87" i="13"/>
  <c r="Z87" i="13" s="1"/>
  <c r="N88" i="13"/>
  <c r="Z88" i="13" s="1"/>
  <c r="N89" i="13"/>
  <c r="Z89" i="13" s="1"/>
  <c r="N90" i="13"/>
  <c r="Y90" i="13" s="1"/>
  <c r="N91" i="13"/>
  <c r="V91" i="13" s="1"/>
  <c r="W91" i="13" s="1"/>
  <c r="N92" i="13"/>
  <c r="V92" i="13" s="1"/>
  <c r="W92" i="13" s="1"/>
  <c r="N93" i="13"/>
  <c r="Z93" i="13" s="1"/>
  <c r="N94" i="13"/>
  <c r="V94" i="13" s="1"/>
  <c r="W94" i="13" s="1"/>
  <c r="N95" i="13"/>
  <c r="V95" i="13" s="1"/>
  <c r="W95" i="13" s="1"/>
  <c r="N96" i="13"/>
  <c r="N97" i="13"/>
  <c r="Y97" i="13" s="1"/>
  <c r="N98" i="13"/>
  <c r="Z98" i="13" s="1"/>
  <c r="N99" i="13"/>
  <c r="V99" i="13" s="1"/>
  <c r="W99" i="13" s="1"/>
  <c r="N100" i="13"/>
  <c r="N101" i="13"/>
  <c r="Z101" i="13" s="1"/>
  <c r="N102" i="13"/>
  <c r="Y102" i="13" s="1"/>
  <c r="N103" i="13"/>
  <c r="Y103" i="13" s="1"/>
  <c r="N104" i="13"/>
  <c r="N105" i="13"/>
  <c r="Z105" i="13" s="1"/>
  <c r="N106" i="13"/>
  <c r="V106" i="13" s="1"/>
  <c r="W106" i="13" s="1"/>
  <c r="N107" i="13"/>
  <c r="V107" i="13" s="1"/>
  <c r="W107" i="13" s="1"/>
  <c r="N108" i="13"/>
  <c r="V108" i="13" s="1"/>
  <c r="W108" i="13" s="1"/>
  <c r="N109" i="13"/>
  <c r="Z109" i="13" s="1"/>
  <c r="N110" i="13"/>
  <c r="Z110" i="13" s="1"/>
  <c r="N111" i="13"/>
  <c r="Y111" i="13" s="1"/>
  <c r="N112" i="13"/>
  <c r="N113" i="13"/>
  <c r="Z113" i="13" s="1"/>
  <c r="N114" i="13"/>
  <c r="V114" i="13" s="1"/>
  <c r="N115" i="13"/>
  <c r="V115" i="13" s="1"/>
  <c r="W115" i="13" s="1"/>
  <c r="N116" i="13"/>
  <c r="N117" i="13"/>
  <c r="Z117" i="13" s="1"/>
  <c r="N118" i="13"/>
  <c r="Z118" i="13" s="1"/>
  <c r="N119" i="13"/>
  <c r="Z119" i="13" s="1"/>
  <c r="N120" i="13"/>
  <c r="Z120" i="13" s="1"/>
  <c r="N121" i="13"/>
  <c r="Z121" i="13" s="1"/>
  <c r="N122" i="13"/>
  <c r="Z122" i="13" s="1"/>
  <c r="N123" i="13"/>
  <c r="Y123" i="13" s="1"/>
  <c r="N124" i="13"/>
  <c r="V124" i="13" s="1"/>
  <c r="W124" i="13" s="1"/>
  <c r="N125" i="13"/>
  <c r="Z125" i="13" s="1"/>
  <c r="N126" i="13"/>
  <c r="Z126" i="13" s="1"/>
  <c r="N127" i="13"/>
  <c r="Y127" i="13" s="1"/>
  <c r="N128" i="13"/>
  <c r="N129" i="13"/>
  <c r="Y129" i="13" s="1"/>
  <c r="N130" i="13"/>
  <c r="V130" i="13" s="1"/>
  <c r="W130" i="13" s="1"/>
  <c r="N131" i="13"/>
  <c r="Y131" i="13" s="1"/>
  <c r="N132" i="13"/>
  <c r="V132" i="13" s="1"/>
  <c r="W132" i="13" s="1"/>
  <c r="N133" i="13"/>
  <c r="Z133" i="13" s="1"/>
  <c r="N134" i="13"/>
  <c r="N135" i="13"/>
  <c r="Y135" i="13" s="1"/>
  <c r="N136" i="13"/>
  <c r="N137" i="13"/>
  <c r="Z137" i="13" s="1"/>
  <c r="N138" i="13"/>
  <c r="N139" i="13"/>
  <c r="Y139" i="13" s="1"/>
  <c r="N140" i="13"/>
  <c r="V140" i="13" s="1"/>
  <c r="W140" i="13" s="1"/>
  <c r="N141" i="13"/>
  <c r="Z141" i="13" s="1"/>
  <c r="N142" i="13"/>
  <c r="Y142" i="13" s="1"/>
  <c r="N143" i="13"/>
  <c r="Y143" i="13" s="1"/>
  <c r="N144" i="13"/>
  <c r="N145" i="13"/>
  <c r="Y145" i="13" s="1"/>
  <c r="N146" i="13"/>
  <c r="Z146" i="13" s="1"/>
  <c r="N147" i="13"/>
  <c r="V147" i="13" s="1"/>
  <c r="W147" i="13" s="1"/>
  <c r="N148" i="13"/>
  <c r="N149" i="13"/>
  <c r="Z149" i="13" s="1"/>
  <c r="N150" i="13"/>
  <c r="V150" i="13" s="1"/>
  <c r="W150" i="13" s="1"/>
  <c r="N151" i="13"/>
  <c r="V151" i="13" s="1"/>
  <c r="W151" i="13" s="1"/>
  <c r="N152" i="13"/>
  <c r="Z152" i="13" s="1"/>
  <c r="N153" i="13"/>
  <c r="Z153" i="13" s="1"/>
  <c r="N154" i="13"/>
  <c r="Y154" i="13" s="1"/>
  <c r="N155" i="13"/>
  <c r="V155" i="13" s="1"/>
  <c r="W155" i="13" s="1"/>
  <c r="N156" i="13"/>
  <c r="Y156" i="13" s="1"/>
  <c r="N157" i="13"/>
  <c r="V157" i="13" s="1"/>
  <c r="W157" i="13" s="1"/>
  <c r="N158" i="13"/>
  <c r="V158" i="13" s="1"/>
  <c r="W158" i="13" s="1"/>
  <c r="N159" i="13"/>
  <c r="N160" i="13"/>
  <c r="Z160" i="13" s="1"/>
  <c r="N161" i="13"/>
  <c r="V161" i="13" s="1"/>
  <c r="W161" i="13" s="1"/>
  <c r="N162" i="13"/>
  <c r="Z162" i="13" s="1"/>
  <c r="N163" i="13"/>
  <c r="V163" i="13" s="1"/>
  <c r="W163" i="13" s="1"/>
  <c r="N164" i="13"/>
  <c r="Y164" i="13" s="1"/>
  <c r="N165" i="13"/>
  <c r="V165" i="13" s="1"/>
  <c r="W165" i="13" s="1"/>
  <c r="N166" i="13"/>
  <c r="Y166" i="13" s="1"/>
  <c r="N167" i="13"/>
  <c r="N168" i="13"/>
  <c r="Z168" i="13" s="1"/>
  <c r="N169" i="13"/>
  <c r="Y169" i="13" s="1"/>
  <c r="N170" i="13"/>
  <c r="V170" i="13" s="1"/>
  <c r="W170" i="13" s="1"/>
  <c r="N171" i="13"/>
  <c r="Y171" i="13" s="1"/>
  <c r="N172" i="13"/>
  <c r="V172" i="13" s="1"/>
  <c r="W172" i="13" s="1"/>
  <c r="N173" i="13"/>
  <c r="V173" i="13" s="1"/>
  <c r="W173" i="13" s="1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V60" i="13"/>
  <c r="W60" i="13" s="1"/>
  <c r="V61" i="13"/>
  <c r="W61" i="13" s="1"/>
  <c r="V69" i="13"/>
  <c r="W69" i="13" s="1"/>
  <c r="V139" i="13"/>
  <c r="W139" i="13" s="1"/>
  <c r="X54" i="13"/>
  <c r="Y82" i="13"/>
  <c r="Y91" i="13"/>
  <c r="Y99" i="13"/>
  <c r="Z90" i="13"/>
  <c r="Z95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C168" i="13"/>
  <c r="AC169" i="13"/>
  <c r="AC170" i="13"/>
  <c r="AC171" i="13"/>
  <c r="AC172" i="13"/>
  <c r="AC173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H52" i="13"/>
  <c r="AI52" i="13" s="1"/>
  <c r="AL52" i="13" s="1"/>
  <c r="AH53" i="13"/>
  <c r="AI53" i="13" s="1"/>
  <c r="AL53" i="13" s="1"/>
  <c r="AH54" i="13"/>
  <c r="AI54" i="13" s="1"/>
  <c r="AL54" i="13" s="1"/>
  <c r="AH55" i="13"/>
  <c r="AI55" i="13" s="1"/>
  <c r="AL55" i="13" s="1"/>
  <c r="AH56" i="13"/>
  <c r="AI56" i="13" s="1"/>
  <c r="AL56" i="13" s="1"/>
  <c r="AH57" i="13"/>
  <c r="AI57" i="13" s="1"/>
  <c r="AL57" i="13" s="1"/>
  <c r="AH58" i="13"/>
  <c r="AI58" i="13" s="1"/>
  <c r="AL58" i="13" s="1"/>
  <c r="AH61" i="13"/>
  <c r="AI61" i="13" s="1"/>
  <c r="AL61" i="13" s="1"/>
  <c r="AH62" i="13"/>
  <c r="AI62" i="13" s="1"/>
  <c r="AL62" i="13" s="1"/>
  <c r="AH63" i="13"/>
  <c r="AI63" i="13" s="1"/>
  <c r="AL63" i="13" s="1"/>
  <c r="AH64" i="13"/>
  <c r="AI64" i="13" s="1"/>
  <c r="AL64" i="13" s="1"/>
  <c r="AH65" i="13"/>
  <c r="AI65" i="13" s="1"/>
  <c r="AL65" i="13" s="1"/>
  <c r="AH75" i="13"/>
  <c r="AI75" i="13" s="1"/>
  <c r="AL75" i="13" s="1"/>
  <c r="AH76" i="13"/>
  <c r="AI76" i="13" s="1"/>
  <c r="AL76" i="13" s="1"/>
  <c r="AH77" i="13"/>
  <c r="AI77" i="13" s="1"/>
  <c r="AL77" i="13" s="1"/>
  <c r="AH93" i="13"/>
  <c r="AI93" i="13" s="1"/>
  <c r="AL93" i="13" s="1"/>
  <c r="AH94" i="13"/>
  <c r="AI94" i="13" s="1"/>
  <c r="AL94" i="13" s="1"/>
  <c r="AH118" i="13"/>
  <c r="AI118" i="13" s="1"/>
  <c r="AL118" i="13" s="1"/>
  <c r="AH119" i="13"/>
  <c r="AI119" i="13" s="1"/>
  <c r="AL119" i="13" s="1"/>
  <c r="AH126" i="13"/>
  <c r="AI126" i="13" s="1"/>
  <c r="AL126" i="13" s="1"/>
  <c r="AH127" i="13"/>
  <c r="AI127" i="13" s="1"/>
  <c r="AL127" i="13" s="1"/>
  <c r="N174" i="13"/>
  <c r="U174" i="13" s="1"/>
  <c r="N175" i="13"/>
  <c r="V175" i="13" s="1"/>
  <c r="W175" i="13" s="1"/>
  <c r="N176" i="13"/>
  <c r="V176" i="13" s="1"/>
  <c r="W176" i="13" s="1"/>
  <c r="N177" i="13"/>
  <c r="V177" i="13" s="1"/>
  <c r="W177" i="13" s="1"/>
  <c r="N178" i="13"/>
  <c r="U178" i="13" s="1"/>
  <c r="N179" i="13"/>
  <c r="V179" i="13" s="1"/>
  <c r="W179" i="13" s="1"/>
  <c r="N180" i="13"/>
  <c r="V180" i="13" s="1"/>
  <c r="W180" i="13" s="1"/>
  <c r="N181" i="13"/>
  <c r="Y181" i="13" s="1"/>
  <c r="N182" i="13"/>
  <c r="U182" i="13" s="1"/>
  <c r="N183" i="13"/>
  <c r="Y183" i="13" s="1"/>
  <c r="N184" i="13"/>
  <c r="N185" i="13"/>
  <c r="Z185" i="13" s="1"/>
  <c r="N186" i="13"/>
  <c r="U186" i="13" s="1"/>
  <c r="N187" i="13"/>
  <c r="V187" i="13" s="1"/>
  <c r="W187" i="13" s="1"/>
  <c r="N188" i="13"/>
  <c r="N189" i="13"/>
  <c r="V189" i="13" s="1"/>
  <c r="W189" i="13" s="1"/>
  <c r="N190" i="13"/>
  <c r="U190" i="13" s="1"/>
  <c r="N191" i="13"/>
  <c r="V191" i="13" s="1"/>
  <c r="W191" i="13" s="1"/>
  <c r="N192" i="13"/>
  <c r="Y192" i="13" s="1"/>
  <c r="N193" i="13"/>
  <c r="Y193" i="13" s="1"/>
  <c r="N194" i="13"/>
  <c r="U194" i="13" s="1"/>
  <c r="N195" i="13"/>
  <c r="V195" i="13" s="1"/>
  <c r="W195" i="13" s="1"/>
  <c r="N196" i="13"/>
  <c r="V196" i="13" s="1"/>
  <c r="W196" i="13" s="1"/>
  <c r="N197" i="13"/>
  <c r="V197" i="13" s="1"/>
  <c r="W197" i="13" s="1"/>
  <c r="N198" i="13"/>
  <c r="U198" i="13" s="1"/>
  <c r="N199" i="13"/>
  <c r="Y199" i="13" s="1"/>
  <c r="N200" i="13"/>
  <c r="N201" i="13"/>
  <c r="Y201" i="13" s="1"/>
  <c r="N202" i="13"/>
  <c r="U202" i="13" s="1"/>
  <c r="N203" i="13"/>
  <c r="Y203" i="13" s="1"/>
  <c r="N204" i="13"/>
  <c r="N205" i="13"/>
  <c r="V205" i="13" s="1"/>
  <c r="W205" i="13" s="1"/>
  <c r="N206" i="13"/>
  <c r="U206" i="13" s="1"/>
  <c r="N207" i="13"/>
  <c r="V207" i="13" s="1"/>
  <c r="W207" i="13" s="1"/>
  <c r="N208" i="13"/>
  <c r="Y208" i="13" s="1"/>
  <c r="N209" i="13"/>
  <c r="V209" i="13" s="1"/>
  <c r="W209" i="13" s="1"/>
  <c r="N210" i="13"/>
  <c r="V210" i="13" s="1"/>
  <c r="W210" i="13" s="1"/>
  <c r="N211" i="13"/>
  <c r="V211" i="13" s="1"/>
  <c r="W211" i="13" s="1"/>
  <c r="N212" i="13"/>
  <c r="U212" i="13" s="1"/>
  <c r="N213" i="13"/>
  <c r="V213" i="13" s="1"/>
  <c r="W213" i="13" s="1"/>
  <c r="N214" i="13"/>
  <c r="U214" i="13" s="1"/>
  <c r="N215" i="13"/>
  <c r="V215" i="13" s="1"/>
  <c r="W215" i="13" s="1"/>
  <c r="N216" i="13"/>
  <c r="V216" i="13" s="1"/>
  <c r="W216" i="13" s="1"/>
  <c r="N217" i="13"/>
  <c r="V217" i="13" s="1"/>
  <c r="W217" i="13" s="1"/>
  <c r="N218" i="13"/>
  <c r="U218" i="13" s="1"/>
  <c r="X218" i="13" s="1"/>
  <c r="S218" i="13" s="1"/>
  <c r="T218" i="13" s="1"/>
  <c r="N219" i="13"/>
  <c r="V219" i="13" s="1"/>
  <c r="W219" i="13" s="1"/>
  <c r="N220" i="13"/>
  <c r="N221" i="13"/>
  <c r="V221" i="13" s="1"/>
  <c r="W221" i="13" s="1"/>
  <c r="N222" i="13"/>
  <c r="U222" i="13" s="1"/>
  <c r="X222" i="13" s="1"/>
  <c r="N223" i="13"/>
  <c r="V223" i="13" s="1"/>
  <c r="W223" i="13" s="1"/>
  <c r="N224" i="13"/>
  <c r="V224" i="13" s="1"/>
  <c r="W224" i="13" s="1"/>
  <c r="N225" i="13"/>
  <c r="V225" i="13" s="1"/>
  <c r="W225" i="13" s="1"/>
  <c r="N226" i="13"/>
  <c r="U226" i="13" s="1"/>
  <c r="X226" i="13" s="1"/>
  <c r="N227" i="13"/>
  <c r="Y227" i="13" s="1"/>
  <c r="N228" i="13"/>
  <c r="N229" i="13"/>
  <c r="Y229" i="13" s="1"/>
  <c r="N230" i="13"/>
  <c r="U230" i="13" s="1"/>
  <c r="N231" i="13"/>
  <c r="V231" i="13" s="1"/>
  <c r="W231" i="13" s="1"/>
  <c r="N232" i="13"/>
  <c r="V232" i="13" s="1"/>
  <c r="W232" i="13" s="1"/>
  <c r="N233" i="13"/>
  <c r="V233" i="13" s="1"/>
  <c r="W233" i="13" s="1"/>
  <c r="U175" i="13"/>
  <c r="U176" i="13"/>
  <c r="U177" i="13"/>
  <c r="U179" i="13"/>
  <c r="U180" i="13"/>
  <c r="U181" i="13"/>
  <c r="U183" i="13"/>
  <c r="U184" i="13"/>
  <c r="U185" i="13"/>
  <c r="U187" i="13"/>
  <c r="U188" i="13"/>
  <c r="X188" i="13" s="1"/>
  <c r="U189" i="13"/>
  <c r="U191" i="13"/>
  <c r="U192" i="13"/>
  <c r="U193" i="13"/>
  <c r="U195" i="13"/>
  <c r="U196" i="13"/>
  <c r="U197" i="13"/>
  <c r="U199" i="13"/>
  <c r="U200" i="13"/>
  <c r="U201" i="13"/>
  <c r="U203" i="13"/>
  <c r="U204" i="13"/>
  <c r="U205" i="13"/>
  <c r="U207" i="13"/>
  <c r="U208" i="13"/>
  <c r="U209" i="13"/>
  <c r="U210" i="13"/>
  <c r="U211" i="13"/>
  <c r="U213" i="13"/>
  <c r="U215" i="13"/>
  <c r="U216" i="13"/>
  <c r="U217" i="13"/>
  <c r="U219" i="13"/>
  <c r="U220" i="13"/>
  <c r="U221" i="13"/>
  <c r="U223" i="13"/>
  <c r="U224" i="13"/>
  <c r="U225" i="13"/>
  <c r="U227" i="13"/>
  <c r="U228" i="13"/>
  <c r="U229" i="13"/>
  <c r="U231" i="13"/>
  <c r="U232" i="13"/>
  <c r="U233" i="13"/>
  <c r="AC174" i="13"/>
  <c r="AC175" i="13"/>
  <c r="AC176" i="13"/>
  <c r="AC177" i="13"/>
  <c r="AC178" i="13"/>
  <c r="AC179" i="13"/>
  <c r="AC180" i="13"/>
  <c r="AC181" i="13"/>
  <c r="AC182" i="13"/>
  <c r="AC183" i="13"/>
  <c r="AC184" i="13"/>
  <c r="AC185" i="13"/>
  <c r="AC186" i="13"/>
  <c r="AC187" i="13"/>
  <c r="AC188" i="13"/>
  <c r="AC189" i="13"/>
  <c r="AC190" i="13"/>
  <c r="AC191" i="13"/>
  <c r="AC192" i="13"/>
  <c r="AC193" i="13"/>
  <c r="AC194" i="13"/>
  <c r="AC195" i="13"/>
  <c r="AC196" i="13"/>
  <c r="AC197" i="13"/>
  <c r="AC198" i="13"/>
  <c r="AC199" i="13"/>
  <c r="AC200" i="13"/>
  <c r="AC201" i="13"/>
  <c r="AC202" i="13"/>
  <c r="AC203" i="13"/>
  <c r="AC204" i="13"/>
  <c r="AC205" i="13"/>
  <c r="AC206" i="13"/>
  <c r="AC207" i="13"/>
  <c r="AC208" i="13"/>
  <c r="AC209" i="13"/>
  <c r="AC210" i="13"/>
  <c r="AC211" i="13"/>
  <c r="AC212" i="13"/>
  <c r="AC213" i="13"/>
  <c r="AC214" i="13"/>
  <c r="AC215" i="13"/>
  <c r="AC216" i="13"/>
  <c r="AC217" i="13"/>
  <c r="AC218" i="13"/>
  <c r="AC219" i="13"/>
  <c r="AC220" i="13"/>
  <c r="AC221" i="13"/>
  <c r="AC222" i="13"/>
  <c r="AC223" i="13"/>
  <c r="AC224" i="13"/>
  <c r="AC225" i="13"/>
  <c r="AC226" i="13"/>
  <c r="AC227" i="13"/>
  <c r="AC228" i="13"/>
  <c r="AC229" i="13"/>
  <c r="AC230" i="13"/>
  <c r="AC231" i="13"/>
  <c r="AC232" i="13"/>
  <c r="AC233" i="13"/>
  <c r="AD174" i="13"/>
  <c r="AD175" i="13"/>
  <c r="AD176" i="13"/>
  <c r="AD177" i="13"/>
  <c r="AD178" i="13"/>
  <c r="AD179" i="13"/>
  <c r="AD180" i="13"/>
  <c r="AD181" i="13"/>
  <c r="AD182" i="13"/>
  <c r="AD183" i="13"/>
  <c r="AD184" i="13"/>
  <c r="AD185" i="13"/>
  <c r="AD186" i="13"/>
  <c r="AD187" i="13"/>
  <c r="AD188" i="13"/>
  <c r="AD189" i="13"/>
  <c r="AD190" i="13"/>
  <c r="AD191" i="13"/>
  <c r="AD192" i="13"/>
  <c r="AD193" i="13"/>
  <c r="AD194" i="13"/>
  <c r="AD195" i="13"/>
  <c r="AD196" i="13"/>
  <c r="AD197" i="13"/>
  <c r="AD198" i="13"/>
  <c r="AD199" i="13"/>
  <c r="AD200" i="13"/>
  <c r="AD201" i="13"/>
  <c r="AD202" i="13"/>
  <c r="AD203" i="13"/>
  <c r="AD204" i="13"/>
  <c r="AD205" i="13"/>
  <c r="AD206" i="13"/>
  <c r="AD207" i="13"/>
  <c r="AD208" i="13"/>
  <c r="AD209" i="13"/>
  <c r="AD210" i="13"/>
  <c r="AD211" i="13"/>
  <c r="AD212" i="13"/>
  <c r="AD213" i="13"/>
  <c r="AD214" i="13"/>
  <c r="AD215" i="13"/>
  <c r="AD216" i="13"/>
  <c r="AD217" i="13"/>
  <c r="AD218" i="13"/>
  <c r="AD219" i="13"/>
  <c r="AD220" i="13"/>
  <c r="AD221" i="13"/>
  <c r="AD222" i="13"/>
  <c r="AD223" i="13"/>
  <c r="AD224" i="13"/>
  <c r="AD225" i="13"/>
  <c r="AD226" i="13"/>
  <c r="AD227" i="13"/>
  <c r="AD228" i="13"/>
  <c r="AD229" i="13"/>
  <c r="AD230" i="13"/>
  <c r="AD231" i="13"/>
  <c r="AD232" i="13"/>
  <c r="AD233" i="13"/>
  <c r="N234" i="13"/>
  <c r="N235" i="13"/>
  <c r="V235" i="13" s="1"/>
  <c r="W235" i="13" s="1"/>
  <c r="N236" i="13"/>
  <c r="V236" i="13" s="1"/>
  <c r="W236" i="13" s="1"/>
  <c r="N237" i="13"/>
  <c r="N238" i="13"/>
  <c r="V238" i="13" s="1"/>
  <c r="W238" i="13" s="1"/>
  <c r="N239" i="13"/>
  <c r="V239" i="13" s="1"/>
  <c r="W239" i="13" s="1"/>
  <c r="N240" i="13"/>
  <c r="N241" i="13"/>
  <c r="V241" i="13" s="1"/>
  <c r="W241" i="13" s="1"/>
  <c r="N242" i="13"/>
  <c r="V242" i="13" s="1"/>
  <c r="W242" i="13" s="1"/>
  <c r="N243" i="13"/>
  <c r="V243" i="13" s="1"/>
  <c r="W243" i="13" s="1"/>
  <c r="N244" i="13"/>
  <c r="N245" i="13"/>
  <c r="N246" i="13"/>
  <c r="V246" i="13" s="1"/>
  <c r="W246" i="13" s="1"/>
  <c r="N247" i="13"/>
  <c r="V247" i="13" s="1"/>
  <c r="W247" i="13" s="1"/>
  <c r="N248" i="13"/>
  <c r="N249" i="13"/>
  <c r="N250" i="13"/>
  <c r="N251" i="13"/>
  <c r="V251" i="13" s="1"/>
  <c r="W251" i="13" s="1"/>
  <c r="N252" i="13"/>
  <c r="V252" i="13" s="1"/>
  <c r="W252" i="13" s="1"/>
  <c r="N253" i="13"/>
  <c r="N254" i="13"/>
  <c r="V254" i="13" s="1"/>
  <c r="W254" i="13" s="1"/>
  <c r="N255" i="13"/>
  <c r="V255" i="13" s="1"/>
  <c r="W255" i="13" s="1"/>
  <c r="N256" i="13"/>
  <c r="N257" i="13"/>
  <c r="N258" i="13"/>
  <c r="V258" i="13" s="1"/>
  <c r="W258" i="13" s="1"/>
  <c r="N259" i="13"/>
  <c r="V259" i="13" s="1"/>
  <c r="W259" i="13" s="1"/>
  <c r="N260" i="13"/>
  <c r="N261" i="13"/>
  <c r="N262" i="13"/>
  <c r="V262" i="13" s="1"/>
  <c r="W262" i="13" s="1"/>
  <c r="N263" i="13"/>
  <c r="V263" i="13" s="1"/>
  <c r="W263" i="13" s="1"/>
  <c r="N264" i="13"/>
  <c r="V264" i="13" s="1"/>
  <c r="W264" i="13" s="1"/>
  <c r="N265" i="13"/>
  <c r="Z265" i="13" s="1"/>
  <c r="U234" i="13"/>
  <c r="U235" i="13"/>
  <c r="U236" i="13"/>
  <c r="U237" i="13"/>
  <c r="U238" i="13"/>
  <c r="U239" i="13"/>
  <c r="U240" i="13"/>
  <c r="U241" i="13"/>
  <c r="U242" i="13"/>
  <c r="U243" i="13"/>
  <c r="U244" i="13"/>
  <c r="U245" i="13"/>
  <c r="U246" i="13"/>
  <c r="U247" i="13"/>
  <c r="U248" i="13"/>
  <c r="U249" i="13"/>
  <c r="U250" i="13"/>
  <c r="U251" i="13"/>
  <c r="U252" i="13"/>
  <c r="U253" i="13"/>
  <c r="U254" i="13"/>
  <c r="U255" i="13"/>
  <c r="U256" i="13"/>
  <c r="U257" i="13"/>
  <c r="U258" i="13"/>
  <c r="U259" i="13"/>
  <c r="U260" i="13"/>
  <c r="U261" i="13"/>
  <c r="U262" i="13"/>
  <c r="U263" i="13"/>
  <c r="U264" i="13"/>
  <c r="U265" i="13"/>
  <c r="AC234" i="13"/>
  <c r="AC235" i="13"/>
  <c r="AC236" i="13"/>
  <c r="AC237" i="13"/>
  <c r="AC238" i="13"/>
  <c r="AC239" i="13"/>
  <c r="AC240" i="13"/>
  <c r="AC241" i="13"/>
  <c r="AC242" i="13"/>
  <c r="AC243" i="13"/>
  <c r="AC244" i="13"/>
  <c r="AC245" i="13"/>
  <c r="AC246" i="13"/>
  <c r="AC247" i="13"/>
  <c r="AC248" i="13"/>
  <c r="AC249" i="13"/>
  <c r="AC250" i="13"/>
  <c r="AC251" i="13"/>
  <c r="AC252" i="13"/>
  <c r="AC253" i="13"/>
  <c r="AC254" i="13"/>
  <c r="AC255" i="13"/>
  <c r="AC256" i="13"/>
  <c r="AC257" i="13"/>
  <c r="AC258" i="13"/>
  <c r="AC259" i="13"/>
  <c r="AC260" i="13"/>
  <c r="AC261" i="13"/>
  <c r="AC262" i="13"/>
  <c r="AC263" i="13"/>
  <c r="AC264" i="13"/>
  <c r="AC265" i="13"/>
  <c r="AD234" i="13"/>
  <c r="AD235" i="13"/>
  <c r="AD236" i="13"/>
  <c r="AD237" i="13"/>
  <c r="AD238" i="13"/>
  <c r="AD239" i="13"/>
  <c r="AD240" i="13"/>
  <c r="AD241" i="13"/>
  <c r="AD242" i="13"/>
  <c r="AD243" i="13"/>
  <c r="AD244" i="13"/>
  <c r="AD245" i="13"/>
  <c r="AD246" i="13"/>
  <c r="AD247" i="13"/>
  <c r="AD248" i="13"/>
  <c r="AD249" i="13"/>
  <c r="AD250" i="13"/>
  <c r="AD251" i="13"/>
  <c r="AD252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N266" i="13"/>
  <c r="Y266" i="13" s="1"/>
  <c r="N267" i="13"/>
  <c r="Z267" i="13" s="1"/>
  <c r="N268" i="13"/>
  <c r="Y268" i="13" s="1"/>
  <c r="N269" i="13"/>
  <c r="N270" i="13"/>
  <c r="Y270" i="13" s="1"/>
  <c r="N271" i="13"/>
  <c r="Y271" i="13" s="1"/>
  <c r="N272" i="13"/>
  <c r="Y272" i="13" s="1"/>
  <c r="N273" i="13"/>
  <c r="N274" i="13"/>
  <c r="Y274" i="13" s="1"/>
  <c r="N275" i="13"/>
  <c r="Y275" i="13" s="1"/>
  <c r="N276" i="13"/>
  <c r="N277" i="13"/>
  <c r="N278" i="13"/>
  <c r="N279" i="13"/>
  <c r="N280" i="13"/>
  <c r="Z280" i="13" s="1"/>
  <c r="N281" i="13"/>
  <c r="U266" i="13"/>
  <c r="U267" i="13"/>
  <c r="X267" i="13" s="1"/>
  <c r="U268" i="13"/>
  <c r="U269" i="13"/>
  <c r="U270" i="13"/>
  <c r="U271" i="13"/>
  <c r="U272" i="13"/>
  <c r="U273" i="13"/>
  <c r="U274" i="13"/>
  <c r="U275" i="13"/>
  <c r="X275" i="13" s="1"/>
  <c r="U276" i="13"/>
  <c r="U277" i="13"/>
  <c r="U278" i="13"/>
  <c r="U279" i="13"/>
  <c r="U280" i="13"/>
  <c r="U281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W277" i="13" s="1"/>
  <c r="V278" i="13"/>
  <c r="W278" i="13" s="1"/>
  <c r="V279" i="13"/>
  <c r="W279" i="13" s="1"/>
  <c r="V280" i="13"/>
  <c r="W280" i="13" s="1"/>
  <c r="V281" i="13"/>
  <c r="W281" i="13" s="1"/>
  <c r="W266" i="13"/>
  <c r="W267" i="13"/>
  <c r="W268" i="13"/>
  <c r="W269" i="13"/>
  <c r="W270" i="13"/>
  <c r="W271" i="13"/>
  <c r="W272" i="13"/>
  <c r="W273" i="13"/>
  <c r="W274" i="13"/>
  <c r="W275" i="13"/>
  <c r="W276" i="13"/>
  <c r="X272" i="13"/>
  <c r="S272" i="13" s="1"/>
  <c r="T272" i="13" s="1"/>
  <c r="Y280" i="13"/>
  <c r="Z272" i="13"/>
  <c r="Z274" i="13"/>
  <c r="Z279" i="13"/>
  <c r="AC266" i="13"/>
  <c r="AC267" i="13"/>
  <c r="AC268" i="13"/>
  <c r="AC269" i="13"/>
  <c r="AC270" i="13"/>
  <c r="AC271" i="13"/>
  <c r="AC272" i="13"/>
  <c r="AC273" i="13"/>
  <c r="AC274" i="13"/>
  <c r="AC275" i="13"/>
  <c r="AC276" i="13"/>
  <c r="AC277" i="13"/>
  <c r="AC278" i="13"/>
  <c r="AC279" i="13"/>
  <c r="AC280" i="13"/>
  <c r="AC281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N282" i="13"/>
  <c r="V282" i="13" s="1"/>
  <c r="W282" i="13" s="1"/>
  <c r="N283" i="13"/>
  <c r="V283" i="13" s="1"/>
  <c r="W283" i="13" s="1"/>
  <c r="N284" i="13"/>
  <c r="N285" i="13"/>
  <c r="V285" i="13" s="1"/>
  <c r="W285" i="13" s="1"/>
  <c r="N286" i="13"/>
  <c r="V286" i="13" s="1"/>
  <c r="W286" i="13" s="1"/>
  <c r="N287" i="13"/>
  <c r="V287" i="13" s="1"/>
  <c r="W287" i="13" s="1"/>
  <c r="N288" i="13"/>
  <c r="Z288" i="13" s="1"/>
  <c r="N289" i="13"/>
  <c r="U282" i="13"/>
  <c r="U283" i="13"/>
  <c r="U284" i="13"/>
  <c r="U285" i="13"/>
  <c r="U286" i="13"/>
  <c r="U287" i="13"/>
  <c r="U288" i="13"/>
  <c r="U289" i="13"/>
  <c r="V288" i="13"/>
  <c r="W288" i="13" s="1"/>
  <c r="V289" i="13"/>
  <c r="W289" i="13" s="1"/>
  <c r="AC282" i="13"/>
  <c r="AC283" i="13"/>
  <c r="AC284" i="13"/>
  <c r="AC285" i="13"/>
  <c r="AC286" i="13"/>
  <c r="AC287" i="13"/>
  <c r="AC288" i="13"/>
  <c r="AC289" i="13"/>
  <c r="AD282" i="13"/>
  <c r="AD283" i="13"/>
  <c r="AD284" i="13"/>
  <c r="AD285" i="13"/>
  <c r="AD286" i="13"/>
  <c r="AD287" i="13"/>
  <c r="AD288" i="13"/>
  <c r="AD289" i="13"/>
  <c r="N290" i="13"/>
  <c r="V290" i="13" s="1"/>
  <c r="W290" i="13" s="1"/>
  <c r="N291" i="13"/>
  <c r="V291" i="13" s="1"/>
  <c r="W291" i="13" s="1"/>
  <c r="N292" i="13"/>
  <c r="V292" i="13" s="1"/>
  <c r="W292" i="13" s="1"/>
  <c r="N293" i="13"/>
  <c r="V293" i="13" s="1"/>
  <c r="W293" i="13" s="1"/>
  <c r="U290" i="13"/>
  <c r="X290" i="13" s="1"/>
  <c r="S290" i="13" s="1"/>
  <c r="T290" i="13" s="1"/>
  <c r="U291" i="13"/>
  <c r="X291" i="13" s="1"/>
  <c r="U292" i="13"/>
  <c r="AC290" i="13"/>
  <c r="AC291" i="13"/>
  <c r="AC292" i="13"/>
  <c r="AC293" i="13"/>
  <c r="AD290" i="13"/>
  <c r="AD291" i="13"/>
  <c r="AD292" i="13"/>
  <c r="AD293" i="13"/>
  <c r="F13" i="7"/>
  <c r="F14" i="13"/>
  <c r="F15" i="13"/>
  <c r="F16" i="13"/>
  <c r="F17" i="13"/>
  <c r="N14" i="13"/>
  <c r="U14" i="13" s="1"/>
  <c r="X14" i="13" s="1"/>
  <c r="N15" i="13"/>
  <c r="V15" i="13" s="1"/>
  <c r="W15" i="13" s="1"/>
  <c r="N16" i="13"/>
  <c r="N17" i="13"/>
  <c r="U15" i="13"/>
  <c r="U16" i="13"/>
  <c r="U17" i="13"/>
  <c r="AC14" i="13"/>
  <c r="AC15" i="13"/>
  <c r="AC16" i="13"/>
  <c r="AC17" i="13"/>
  <c r="AD14" i="13"/>
  <c r="AD15" i="13"/>
  <c r="AD16" i="13"/>
  <c r="AD17" i="13"/>
  <c r="AH15" i="13"/>
  <c r="AI15" i="13" s="1"/>
  <c r="AL15" i="13" s="1"/>
  <c r="AH16" i="13"/>
  <c r="AI16" i="13" s="1"/>
  <c r="AL16" i="13" s="1"/>
  <c r="AH17" i="13"/>
  <c r="AI17" i="13" s="1"/>
  <c r="AL17" i="13" s="1"/>
  <c r="J9" i="3"/>
  <c r="K9" i="3" s="1"/>
  <c r="G155" i="19" s="1"/>
  <c r="J10" i="3"/>
  <c r="K10" i="3" s="1"/>
  <c r="G156" i="19" s="1"/>
  <c r="J11" i="3"/>
  <c r="K11" i="3" s="1"/>
  <c r="G157" i="19" s="1"/>
  <c r="J12" i="3"/>
  <c r="K12" i="3" s="1"/>
  <c r="G158" i="19" s="1"/>
  <c r="J13" i="3"/>
  <c r="K13" i="3" s="1"/>
  <c r="G159" i="19" s="1"/>
  <c r="J14" i="3"/>
  <c r="K14" i="3" s="1"/>
  <c r="G160" i="19" s="1"/>
  <c r="J15" i="3"/>
  <c r="K15" i="3" s="1"/>
  <c r="G161" i="19" s="1"/>
  <c r="J16" i="3"/>
  <c r="K16" i="3" s="1"/>
  <c r="G162" i="19" s="1"/>
  <c r="J17" i="3"/>
  <c r="K17" i="3" s="1"/>
  <c r="G163" i="19" s="1"/>
  <c r="J18" i="3"/>
  <c r="K18" i="3" s="1"/>
  <c r="G164" i="19" s="1"/>
  <c r="J20" i="3"/>
  <c r="K20" i="3" s="1"/>
  <c r="G166" i="19" s="1"/>
  <c r="J21" i="3"/>
  <c r="K21" i="3" s="1"/>
  <c r="G167" i="19" s="1"/>
  <c r="J23" i="3"/>
  <c r="K23" i="3" s="1"/>
  <c r="J24" i="3"/>
  <c r="K24" i="3" s="1"/>
  <c r="J25" i="3"/>
  <c r="J26" i="3"/>
  <c r="J27" i="3"/>
  <c r="J28" i="3"/>
  <c r="J29" i="3"/>
  <c r="J30" i="3"/>
  <c r="J31" i="3"/>
  <c r="J32" i="3"/>
  <c r="J33" i="3"/>
  <c r="J34" i="3"/>
  <c r="K34" i="3" s="1"/>
  <c r="J35" i="3"/>
  <c r="J36" i="3"/>
  <c r="K36" i="3" s="1"/>
  <c r="J37" i="3"/>
  <c r="K37" i="3" s="1"/>
  <c r="J38" i="3"/>
  <c r="K38" i="3" s="1"/>
  <c r="J39" i="3"/>
  <c r="J40" i="3"/>
  <c r="J41" i="3"/>
  <c r="K41" i="3" s="1"/>
  <c r="J42" i="3"/>
  <c r="K25" i="3"/>
  <c r="K26" i="3"/>
  <c r="K27" i="3"/>
  <c r="K28" i="3"/>
  <c r="K29" i="3"/>
  <c r="K30" i="3"/>
  <c r="K31" i="3"/>
  <c r="K32" i="3"/>
  <c r="K33" i="3"/>
  <c r="K35" i="3"/>
  <c r="K39" i="3"/>
  <c r="K40" i="3"/>
  <c r="N9" i="13"/>
  <c r="N10" i="13"/>
  <c r="N11" i="13"/>
  <c r="Y11" i="13" s="1"/>
  <c r="N12" i="13"/>
  <c r="V12" i="13" s="1"/>
  <c r="W12" i="13" s="1"/>
  <c r="N13" i="13"/>
  <c r="Y13" i="13" s="1"/>
  <c r="N18" i="13"/>
  <c r="V18" i="13" s="1"/>
  <c r="N19" i="13"/>
  <c r="V19" i="13" s="1"/>
  <c r="W19" i="13" s="1"/>
  <c r="N20" i="13"/>
  <c r="V20" i="13" s="1"/>
  <c r="W20" i="13" s="1"/>
  <c r="N21" i="13"/>
  <c r="N22" i="13"/>
  <c r="N23" i="13"/>
  <c r="V23" i="13" s="1"/>
  <c r="N24" i="13"/>
  <c r="V24" i="13" s="1"/>
  <c r="W24" i="13" s="1"/>
  <c r="N25" i="13"/>
  <c r="N26" i="13"/>
  <c r="V26" i="13" s="1"/>
  <c r="W26" i="13" s="1"/>
  <c r="N27" i="13"/>
  <c r="Y27" i="13" s="1"/>
  <c r="N28" i="13"/>
  <c r="V28" i="13" s="1"/>
  <c r="W28" i="13" s="1"/>
  <c r="N29" i="13"/>
  <c r="Z29" i="13" s="1"/>
  <c r="N30" i="13"/>
  <c r="Z30" i="13" s="1"/>
  <c r="N31" i="13"/>
  <c r="V31" i="13" s="1"/>
  <c r="W31" i="13" s="1"/>
  <c r="N32" i="13"/>
  <c r="V32" i="13" s="1"/>
  <c r="W32" i="13" s="1"/>
  <c r="N33" i="13"/>
  <c r="Y33" i="13" s="1"/>
  <c r="N34" i="13"/>
  <c r="N35" i="13"/>
  <c r="V35" i="13" s="1"/>
  <c r="W35" i="13" s="1"/>
  <c r="N36" i="13"/>
  <c r="Z36" i="13" s="1"/>
  <c r="N37" i="13"/>
  <c r="N38" i="13"/>
  <c r="Z38" i="13" s="1"/>
  <c r="N39" i="13"/>
  <c r="Z39" i="13" s="1"/>
  <c r="N40" i="13"/>
  <c r="Z40" i="13" s="1"/>
  <c r="N41" i="13"/>
  <c r="Z41" i="13" s="1"/>
  <c r="N42" i="13"/>
  <c r="V42" i="13" s="1"/>
  <c r="W42" i="13" s="1"/>
  <c r="N43" i="13"/>
  <c r="V43" i="13" s="1"/>
  <c r="W43" i="13" s="1"/>
  <c r="N44" i="13"/>
  <c r="Z44" i="13" s="1"/>
  <c r="N45" i="13"/>
  <c r="N46" i="13"/>
  <c r="V46" i="13" s="1"/>
  <c r="W46" i="13" s="1"/>
  <c r="N47" i="13"/>
  <c r="Z47" i="13" s="1"/>
  <c r="N48" i="13"/>
  <c r="Z48" i="13" s="1"/>
  <c r="N49" i="13"/>
  <c r="N50" i="13"/>
  <c r="Z50" i="13" s="1"/>
  <c r="N51" i="13"/>
  <c r="V51" i="13" s="1"/>
  <c r="W51" i="13" s="1"/>
  <c r="N294" i="13"/>
  <c r="V294" i="13" s="1"/>
  <c r="W294" i="13" s="1"/>
  <c r="N295" i="13"/>
  <c r="Z295" i="13" s="1"/>
  <c r="N296" i="13"/>
  <c r="V296" i="13" s="1"/>
  <c r="W296" i="13" s="1"/>
  <c r="N297" i="13"/>
  <c r="V297" i="13" s="1"/>
  <c r="W297" i="13" s="1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F13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295" i="13"/>
  <c r="F296" i="13"/>
  <c r="F297" i="13"/>
  <c r="F11" i="13"/>
  <c r="F12" i="13"/>
  <c r="F10" i="13"/>
  <c r="F9" i="13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H15" i="7"/>
  <c r="AI15" i="7" s="1"/>
  <c r="AL15" i="7" s="1"/>
  <c r="AH16" i="7"/>
  <c r="AI16" i="7" s="1"/>
  <c r="AL16" i="7" s="1"/>
  <c r="AH17" i="7"/>
  <c r="AI17" i="7" s="1"/>
  <c r="AL17" i="7" s="1"/>
  <c r="AH18" i="7"/>
  <c r="AI18" i="7" s="1"/>
  <c r="AL18" i="7" s="1"/>
  <c r="AH19" i="7"/>
  <c r="AI19" i="7" s="1"/>
  <c r="AL19" i="7" s="1"/>
  <c r="AH20" i="7"/>
  <c r="AI20" i="7" s="1"/>
  <c r="AL20" i="7" s="1"/>
  <c r="AH21" i="7"/>
  <c r="AI21" i="7" s="1"/>
  <c r="AL21" i="7" s="1"/>
  <c r="AH22" i="7"/>
  <c r="AI22" i="7" s="1"/>
  <c r="AL22" i="7" s="1"/>
  <c r="AH23" i="7"/>
  <c r="AI23" i="7" s="1"/>
  <c r="AL23" i="7" s="1"/>
  <c r="AH24" i="7"/>
  <c r="AI24" i="7" s="1"/>
  <c r="AL24" i="7" s="1"/>
  <c r="AH25" i="7"/>
  <c r="AI25" i="7" s="1"/>
  <c r="AL25" i="7" s="1"/>
  <c r="AH26" i="7"/>
  <c r="AI26" i="7" s="1"/>
  <c r="AL26" i="7" s="1"/>
  <c r="AH27" i="7"/>
  <c r="AI27" i="7" s="1"/>
  <c r="AL27" i="7" s="1"/>
  <c r="AH28" i="7"/>
  <c r="AI28" i="7" s="1"/>
  <c r="AL28" i="7" s="1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14" i="7"/>
  <c r="F12" i="7"/>
  <c r="F11" i="7"/>
  <c r="F10" i="7"/>
  <c r="F9" i="7"/>
  <c r="U29" i="7"/>
  <c r="U30" i="7"/>
  <c r="U31" i="7"/>
  <c r="U32" i="7"/>
  <c r="U33" i="7"/>
  <c r="U34" i="7"/>
  <c r="U35" i="7"/>
  <c r="U36" i="7"/>
  <c r="U37" i="7"/>
  <c r="AC29" i="7"/>
  <c r="AC30" i="7"/>
  <c r="AC31" i="7"/>
  <c r="AC32" i="7"/>
  <c r="AC33" i="7"/>
  <c r="AC34" i="7"/>
  <c r="AC35" i="7"/>
  <c r="AC36" i="7"/>
  <c r="AC37" i="7"/>
  <c r="AD29" i="7"/>
  <c r="AD30" i="7"/>
  <c r="AD31" i="7"/>
  <c r="AD32" i="7"/>
  <c r="AD33" i="7"/>
  <c r="AD34" i="7"/>
  <c r="AD35" i="7"/>
  <c r="AD36" i="7"/>
  <c r="AD37" i="7"/>
  <c r="AH29" i="7"/>
  <c r="AI29" i="7" s="1"/>
  <c r="AL29" i="7" s="1"/>
  <c r="AH30" i="7"/>
  <c r="AI30" i="7" s="1"/>
  <c r="AL30" i="7" s="1"/>
  <c r="AH31" i="7"/>
  <c r="AI31" i="7" s="1"/>
  <c r="AL31" i="7" s="1"/>
  <c r="AH32" i="7"/>
  <c r="AI32" i="7" s="1"/>
  <c r="AL32" i="7" s="1"/>
  <c r="AH33" i="7"/>
  <c r="AI33" i="7" s="1"/>
  <c r="AL33" i="7" s="1"/>
  <c r="AH34" i="7"/>
  <c r="AI34" i="7" s="1"/>
  <c r="AL34" i="7" s="1"/>
  <c r="AH35" i="7"/>
  <c r="AI35" i="7" s="1"/>
  <c r="AL35" i="7" s="1"/>
  <c r="AH36" i="7"/>
  <c r="AI36" i="7" s="1"/>
  <c r="AL36" i="7" s="1"/>
  <c r="AH37" i="7"/>
  <c r="AI37" i="7" s="1"/>
  <c r="AL37" i="7" s="1"/>
  <c r="U12" i="13"/>
  <c r="U13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AC12" i="13"/>
  <c r="AC13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D12" i="13"/>
  <c r="AD13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H18" i="13"/>
  <c r="AI18" i="13" s="1"/>
  <c r="AL18" i="13" s="1"/>
  <c r="AH19" i="13"/>
  <c r="AI19" i="13" s="1"/>
  <c r="AL19" i="13" s="1"/>
  <c r="AH20" i="13"/>
  <c r="AI20" i="13" s="1"/>
  <c r="AL20" i="13" s="1"/>
  <c r="AH21" i="13"/>
  <c r="AI21" i="13" s="1"/>
  <c r="AL21" i="13" s="1"/>
  <c r="AH26" i="13"/>
  <c r="AI26" i="13" s="1"/>
  <c r="AL26" i="13" s="1"/>
  <c r="AH28" i="13"/>
  <c r="AI28" i="13" s="1"/>
  <c r="AL28" i="13" s="1"/>
  <c r="AH29" i="13"/>
  <c r="AI29" i="13" s="1"/>
  <c r="AL29" i="13" s="1"/>
  <c r="AH30" i="13"/>
  <c r="AI30" i="13" s="1"/>
  <c r="AL30" i="13" s="1"/>
  <c r="AH31" i="13"/>
  <c r="AI31" i="13" s="1"/>
  <c r="AL31" i="13" s="1"/>
  <c r="AH32" i="13"/>
  <c r="AI32" i="13" s="1"/>
  <c r="AL32" i="13" s="1"/>
  <c r="AH33" i="13"/>
  <c r="AI33" i="13" s="1"/>
  <c r="AL33" i="13" s="1"/>
  <c r="AH34" i="13"/>
  <c r="AI34" i="13" s="1"/>
  <c r="AL34" i="13" s="1"/>
  <c r="AH35" i="13"/>
  <c r="AI35" i="13" s="1"/>
  <c r="AL35" i="13" s="1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H41" i="7"/>
  <c r="AI41" i="7" s="1"/>
  <c r="AL41" i="7" s="1"/>
  <c r="AH42" i="7"/>
  <c r="AI42" i="7" s="1"/>
  <c r="AL42" i="7" s="1"/>
  <c r="AH43" i="7"/>
  <c r="AI43" i="7" s="1"/>
  <c r="AL43" i="7" s="1"/>
  <c r="AH44" i="7"/>
  <c r="AI44" i="7" s="1"/>
  <c r="AL44" i="7" s="1"/>
  <c r="AH45" i="7"/>
  <c r="AI45" i="7" s="1"/>
  <c r="AL45" i="7" s="1"/>
  <c r="AH46" i="7"/>
  <c r="AI46" i="7" s="1"/>
  <c r="AL46" i="7" s="1"/>
  <c r="AH47" i="7"/>
  <c r="AI47" i="7" s="1"/>
  <c r="AL47" i="7" s="1"/>
  <c r="AH48" i="7"/>
  <c r="AI48" i="7" s="1"/>
  <c r="AL48" i="7" s="1"/>
  <c r="AH49" i="7"/>
  <c r="AI49" i="7" s="1"/>
  <c r="AL49" i="7" s="1"/>
  <c r="AH50" i="7"/>
  <c r="AI50" i="7" s="1"/>
  <c r="AL50" i="7" s="1"/>
  <c r="AH51" i="7"/>
  <c r="AI51" i="7" s="1"/>
  <c r="AL51" i="7" s="1"/>
  <c r="AH52" i="7"/>
  <c r="AI52" i="7" s="1"/>
  <c r="AL52" i="7" s="1"/>
  <c r="AH53" i="7"/>
  <c r="AI53" i="7" s="1"/>
  <c r="AL53" i="7" s="1"/>
  <c r="AH54" i="7"/>
  <c r="AI54" i="7" s="1"/>
  <c r="AL54" i="7" s="1"/>
  <c r="AH55" i="7"/>
  <c r="AI55" i="7" s="1"/>
  <c r="AL55" i="7" s="1"/>
  <c r="AH56" i="7"/>
  <c r="AI56" i="7" s="1"/>
  <c r="AL56" i="7" s="1"/>
  <c r="AH57" i="7"/>
  <c r="AI57" i="7" s="1"/>
  <c r="AL57" i="7" s="1"/>
  <c r="U11" i="7"/>
  <c r="U12" i="7"/>
  <c r="U13" i="7"/>
  <c r="U14" i="7"/>
  <c r="U38" i="7"/>
  <c r="U39" i="7"/>
  <c r="U40" i="7"/>
  <c r="U58" i="7"/>
  <c r="U59" i="7"/>
  <c r="U60" i="7"/>
  <c r="U61" i="7"/>
  <c r="U62" i="7"/>
  <c r="U63" i="7"/>
  <c r="U64" i="7"/>
  <c r="U65" i="7"/>
  <c r="U66" i="7"/>
  <c r="AC11" i="7"/>
  <c r="AC12" i="7"/>
  <c r="AC13" i="7"/>
  <c r="AC14" i="7"/>
  <c r="AC38" i="7"/>
  <c r="AC39" i="7"/>
  <c r="AC40" i="7"/>
  <c r="AC58" i="7"/>
  <c r="AC59" i="7"/>
  <c r="AC60" i="7"/>
  <c r="AC61" i="7"/>
  <c r="AC62" i="7"/>
  <c r="AC63" i="7"/>
  <c r="AC64" i="7"/>
  <c r="AC65" i="7"/>
  <c r="AC66" i="7"/>
  <c r="AD11" i="7"/>
  <c r="AD12" i="7"/>
  <c r="AD13" i="7"/>
  <c r="AD14" i="7"/>
  <c r="AD38" i="7"/>
  <c r="AD39" i="7"/>
  <c r="AD40" i="7"/>
  <c r="AD58" i="7"/>
  <c r="AD59" i="7"/>
  <c r="AD60" i="7"/>
  <c r="AD61" i="7"/>
  <c r="AD62" i="7"/>
  <c r="AD63" i="7"/>
  <c r="AD64" i="7"/>
  <c r="AD65" i="7"/>
  <c r="AD66" i="7"/>
  <c r="AH14" i="7"/>
  <c r="AI14" i="7" s="1"/>
  <c r="AL14" i="7" s="1"/>
  <c r="AH38" i="7"/>
  <c r="AI38" i="7" s="1"/>
  <c r="AL38" i="7" s="1"/>
  <c r="AH39" i="7"/>
  <c r="AI39" i="7" s="1"/>
  <c r="AL39" i="7" s="1"/>
  <c r="AH40" i="7"/>
  <c r="AI40" i="7" s="1"/>
  <c r="AL40" i="7" s="1"/>
  <c r="AH58" i="7"/>
  <c r="AI58" i="7" s="1"/>
  <c r="AL58" i="7" s="1"/>
  <c r="AH59" i="7"/>
  <c r="AI59" i="7" s="1"/>
  <c r="AL59" i="7" s="1"/>
  <c r="AH60" i="7"/>
  <c r="AI60" i="7" s="1"/>
  <c r="AL60" i="7" s="1"/>
  <c r="AH61" i="7"/>
  <c r="AI61" i="7" s="1"/>
  <c r="AL61" i="7" s="1"/>
  <c r="AH62" i="7"/>
  <c r="AI62" i="7" s="1"/>
  <c r="AL62" i="7" s="1"/>
  <c r="AH63" i="7"/>
  <c r="AI63" i="7" s="1"/>
  <c r="AL63" i="7" s="1"/>
  <c r="AH64" i="7"/>
  <c r="AI64" i="7" s="1"/>
  <c r="AL64" i="7" s="1"/>
  <c r="AH65" i="7"/>
  <c r="AI65" i="7" s="1"/>
  <c r="AL65" i="7" s="1"/>
  <c r="AH66" i="7"/>
  <c r="AI66" i="7" s="1"/>
  <c r="AL66" i="7" s="1"/>
  <c r="U46" i="13"/>
  <c r="U47" i="13"/>
  <c r="U48" i="13"/>
  <c r="U49" i="13"/>
  <c r="U50" i="13"/>
  <c r="U51" i="13"/>
  <c r="U294" i="13"/>
  <c r="U295" i="13"/>
  <c r="U296" i="13"/>
  <c r="U297" i="13"/>
  <c r="AC46" i="13"/>
  <c r="AC47" i="13"/>
  <c r="AC48" i="13"/>
  <c r="AC49" i="13"/>
  <c r="AC50" i="13"/>
  <c r="AC51" i="13"/>
  <c r="AC294" i="13"/>
  <c r="AC295" i="13"/>
  <c r="AC296" i="13"/>
  <c r="AC297" i="13"/>
  <c r="AD46" i="13"/>
  <c r="AD47" i="13"/>
  <c r="AD48" i="13"/>
  <c r="AD49" i="13"/>
  <c r="AD50" i="13"/>
  <c r="AD51" i="13"/>
  <c r="AD294" i="13"/>
  <c r="AD295" i="13"/>
  <c r="AD296" i="13"/>
  <c r="AD297" i="13"/>
  <c r="AH47" i="13"/>
  <c r="AI47" i="13" s="1"/>
  <c r="AL47" i="13" s="1"/>
  <c r="AH48" i="13"/>
  <c r="AI48" i="13" s="1"/>
  <c r="AL48" i="13" s="1"/>
  <c r="AH49" i="13"/>
  <c r="AI49" i="13" s="1"/>
  <c r="AL49" i="13" s="1"/>
  <c r="AH50" i="13"/>
  <c r="AI50" i="13" s="1"/>
  <c r="AL50" i="13" s="1"/>
  <c r="AH51" i="13"/>
  <c r="AI51" i="13" s="1"/>
  <c r="AL51" i="13" s="1"/>
  <c r="U11" i="13"/>
  <c r="U36" i="13"/>
  <c r="U37" i="13"/>
  <c r="U38" i="13"/>
  <c r="U39" i="13"/>
  <c r="U40" i="13"/>
  <c r="U41" i="13"/>
  <c r="U42" i="13"/>
  <c r="U43" i="13"/>
  <c r="U44" i="13"/>
  <c r="U45" i="13"/>
  <c r="AC11" i="13"/>
  <c r="AC36" i="13"/>
  <c r="AC37" i="13"/>
  <c r="AC38" i="13"/>
  <c r="AC39" i="13"/>
  <c r="AC40" i="13"/>
  <c r="AC41" i="13"/>
  <c r="AC42" i="13"/>
  <c r="AC43" i="13"/>
  <c r="AC44" i="13"/>
  <c r="AC45" i="13"/>
  <c r="AD11" i="13"/>
  <c r="AD36" i="13"/>
  <c r="AD37" i="13"/>
  <c r="AD38" i="13"/>
  <c r="AD39" i="13"/>
  <c r="AD40" i="13"/>
  <c r="AD41" i="13"/>
  <c r="AD42" i="13"/>
  <c r="AD43" i="13"/>
  <c r="AD44" i="13"/>
  <c r="AD45" i="13"/>
  <c r="AH11" i="13"/>
  <c r="AI11" i="13" s="1"/>
  <c r="AL11" i="13" s="1"/>
  <c r="AH36" i="13"/>
  <c r="AI36" i="13" s="1"/>
  <c r="AL36" i="13" s="1"/>
  <c r="AH37" i="13"/>
  <c r="AI37" i="13" s="1"/>
  <c r="AL37" i="13" s="1"/>
  <c r="AH38" i="13"/>
  <c r="AI38" i="13" s="1"/>
  <c r="AL38" i="13" s="1"/>
  <c r="AH39" i="13"/>
  <c r="AI39" i="13" s="1"/>
  <c r="AL39" i="13" s="1"/>
  <c r="AH40" i="13"/>
  <c r="AI40" i="13" s="1"/>
  <c r="AL40" i="13" s="1"/>
  <c r="AH41" i="13"/>
  <c r="AI41" i="13" s="1"/>
  <c r="AL41" i="13" s="1"/>
  <c r="AH42" i="13"/>
  <c r="AI42" i="13" s="1"/>
  <c r="AL42" i="13" s="1"/>
  <c r="AH44" i="13"/>
  <c r="AI44" i="13" s="1"/>
  <c r="AL44" i="13" s="1"/>
  <c r="AH45" i="13"/>
  <c r="AI45" i="13" s="1"/>
  <c r="AL45" i="13" s="1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H68" i="7"/>
  <c r="AI68" i="7" s="1"/>
  <c r="AL68" i="7" s="1"/>
  <c r="AH69" i="7"/>
  <c r="AI69" i="7" s="1"/>
  <c r="AL69" i="7" s="1"/>
  <c r="AH70" i="7"/>
  <c r="AI70" i="7" s="1"/>
  <c r="AL70" i="7" s="1"/>
  <c r="AH71" i="7"/>
  <c r="AI71" i="7" s="1"/>
  <c r="AL71" i="7" s="1"/>
  <c r="AH72" i="7"/>
  <c r="AI72" i="7" s="1"/>
  <c r="AL72" i="7" s="1"/>
  <c r="AH73" i="7"/>
  <c r="AI73" i="7" s="1"/>
  <c r="AL73" i="7" s="1"/>
  <c r="AH74" i="7"/>
  <c r="AI74" i="7" s="1"/>
  <c r="AL74" i="7" s="1"/>
  <c r="AH75" i="7"/>
  <c r="AI75" i="7" s="1"/>
  <c r="AL75" i="7" s="1"/>
  <c r="AH76" i="7"/>
  <c r="AI76" i="7" s="1"/>
  <c r="AL76" i="7" s="1"/>
  <c r="AH77" i="7"/>
  <c r="AI77" i="7" s="1"/>
  <c r="AL77" i="7" s="1"/>
  <c r="AH78" i="7"/>
  <c r="AI78" i="7" s="1"/>
  <c r="AL78" i="7" s="1"/>
  <c r="AH79" i="7"/>
  <c r="AI79" i="7" s="1"/>
  <c r="AL79" i="7" s="1"/>
  <c r="AH80" i="7"/>
  <c r="AI80" i="7" s="1"/>
  <c r="AL80" i="7" s="1"/>
  <c r="AH81" i="7"/>
  <c r="AI81" i="7" s="1"/>
  <c r="AL81" i="7" s="1"/>
  <c r="Q37" i="18"/>
  <c r="X204" i="13" l="1"/>
  <c r="X205" i="13"/>
  <c r="X284" i="13"/>
  <c r="X287" i="13"/>
  <c r="Y234" i="13"/>
  <c r="V234" i="13"/>
  <c r="W234" i="13" s="1"/>
  <c r="Y237" i="13"/>
  <c r="V237" i="13"/>
  <c r="W237" i="13" s="1"/>
  <c r="Y240" i="13"/>
  <c r="V240" i="13"/>
  <c r="W240" i="13" s="1"/>
  <c r="Y284" i="13"/>
  <c r="V284" i="13"/>
  <c r="W284" i="13" s="1"/>
  <c r="Z244" i="13"/>
  <c r="V244" i="13"/>
  <c r="W244" i="13" s="1"/>
  <c r="Y245" i="13"/>
  <c r="V245" i="13"/>
  <c r="W245" i="13" s="1"/>
  <c r="Z248" i="13"/>
  <c r="V248" i="13"/>
  <c r="W248" i="13" s="1"/>
  <c r="Y249" i="13"/>
  <c r="V249" i="13"/>
  <c r="W249" i="13" s="1"/>
  <c r="Y250" i="13"/>
  <c r="V250" i="13"/>
  <c r="W250" i="13" s="1"/>
  <c r="Y253" i="13"/>
  <c r="V253" i="13"/>
  <c r="W253" i="13" s="1"/>
  <c r="Z256" i="13"/>
  <c r="V256" i="13"/>
  <c r="W256" i="13" s="1"/>
  <c r="Z257" i="13"/>
  <c r="V257" i="13"/>
  <c r="W257" i="13" s="1"/>
  <c r="Z260" i="13"/>
  <c r="V260" i="13"/>
  <c r="W260" i="13" s="1"/>
  <c r="Y261" i="13"/>
  <c r="V261" i="13"/>
  <c r="W261" i="13" s="1"/>
  <c r="G171" i="19"/>
  <c r="C181" i="19" s="1"/>
  <c r="X271" i="13"/>
  <c r="X279" i="13"/>
  <c r="Y279" i="13"/>
  <c r="X266" i="13"/>
  <c r="Z172" i="13"/>
  <c r="Z67" i="13"/>
  <c r="Z271" i="13"/>
  <c r="Y267" i="13"/>
  <c r="X276" i="13"/>
  <c r="Z139" i="13"/>
  <c r="Y147" i="13"/>
  <c r="Y55" i="13"/>
  <c r="X135" i="13"/>
  <c r="X63" i="13"/>
  <c r="C95" i="19"/>
  <c r="AA218" i="13"/>
  <c r="S276" i="13"/>
  <c r="T276" i="13" s="1"/>
  <c r="AA276" i="13"/>
  <c r="Z276" i="13"/>
  <c r="X233" i="13"/>
  <c r="S233" i="13" s="1"/>
  <c r="T233" i="13" s="1"/>
  <c r="Y106" i="13"/>
  <c r="Z275" i="13"/>
  <c r="Z268" i="13"/>
  <c r="Y276" i="13"/>
  <c r="AE276" i="13" s="1"/>
  <c r="AF276" i="13" s="1"/>
  <c r="AG276" i="13" s="1"/>
  <c r="X268" i="13"/>
  <c r="X278" i="13"/>
  <c r="AA278" i="13" s="1"/>
  <c r="X274" i="13"/>
  <c r="S274" i="13" s="1"/>
  <c r="T274" i="13" s="1"/>
  <c r="X216" i="13"/>
  <c r="S216" i="13" s="1"/>
  <c r="T216" i="13" s="1"/>
  <c r="Z58" i="13"/>
  <c r="V122" i="13"/>
  <c r="W122" i="13" s="1"/>
  <c r="X280" i="13"/>
  <c r="V265" i="13"/>
  <c r="W265" i="13" s="1"/>
  <c r="Y165" i="13"/>
  <c r="X90" i="13"/>
  <c r="V86" i="13"/>
  <c r="W86" i="13" s="1"/>
  <c r="S278" i="13"/>
  <c r="T278" i="13" s="1"/>
  <c r="Z278" i="13"/>
  <c r="Y278" i="13"/>
  <c r="Z166" i="13"/>
  <c r="Z106" i="13"/>
  <c r="Z86" i="13"/>
  <c r="Z54" i="13"/>
  <c r="Y126" i="13"/>
  <c r="Y78" i="13"/>
  <c r="X114" i="13"/>
  <c r="S114" i="13" s="1"/>
  <c r="T114" i="13" s="1"/>
  <c r="X78" i="13"/>
  <c r="S78" i="13" s="1"/>
  <c r="T78" i="13" s="1"/>
  <c r="V142" i="13"/>
  <c r="W142" i="13" s="1"/>
  <c r="V110" i="13"/>
  <c r="W110" i="13" s="1"/>
  <c r="AA272" i="13"/>
  <c r="AE272" i="13" s="1"/>
  <c r="AF272" i="13" s="1"/>
  <c r="AG272" i="13" s="1"/>
  <c r="Z266" i="13"/>
  <c r="X270" i="13"/>
  <c r="Z102" i="13"/>
  <c r="Z74" i="13"/>
  <c r="Y122" i="13"/>
  <c r="Y94" i="13"/>
  <c r="Y58" i="13"/>
  <c r="X110" i="13"/>
  <c r="S110" i="13" s="1"/>
  <c r="T110" i="13" s="1"/>
  <c r="X66" i="13"/>
  <c r="V102" i="13"/>
  <c r="W102" i="13" s="1"/>
  <c r="V54" i="13"/>
  <c r="W54" i="13" s="1"/>
  <c r="Z270" i="13"/>
  <c r="Y110" i="13"/>
  <c r="X94" i="13"/>
  <c r="X58" i="13"/>
  <c r="S58" i="13" s="1"/>
  <c r="T58" i="13" s="1"/>
  <c r="V126" i="13"/>
  <c r="W126" i="13" s="1"/>
  <c r="V90" i="13"/>
  <c r="W90" i="13" s="1"/>
  <c r="S275" i="13"/>
  <c r="T275" i="13" s="1"/>
  <c r="AA275" i="13"/>
  <c r="S267" i="13"/>
  <c r="T267" i="13" s="1"/>
  <c r="AA267" i="13"/>
  <c r="X122" i="13"/>
  <c r="S122" i="13" s="1"/>
  <c r="T122" i="13" s="1"/>
  <c r="X118" i="13"/>
  <c r="X82" i="13"/>
  <c r="S82" i="13" s="1"/>
  <c r="T82" i="13" s="1"/>
  <c r="X62" i="13"/>
  <c r="S62" i="13" s="1"/>
  <c r="T62" i="13" s="1"/>
  <c r="X281" i="13"/>
  <c r="S281" i="13" s="1"/>
  <c r="T281" i="13" s="1"/>
  <c r="X277" i="13"/>
  <c r="S277" i="13" s="1"/>
  <c r="T277" i="13" s="1"/>
  <c r="X273" i="13"/>
  <c r="AA273" i="13" s="1"/>
  <c r="X269" i="13"/>
  <c r="AA269" i="13" s="1"/>
  <c r="Y172" i="13"/>
  <c r="X172" i="13"/>
  <c r="S172" i="13" s="1"/>
  <c r="T172" i="13" s="1"/>
  <c r="S273" i="13"/>
  <c r="T273" i="13" s="1"/>
  <c r="S269" i="13"/>
  <c r="T269" i="13" s="1"/>
  <c r="Z281" i="13"/>
  <c r="Z277" i="13"/>
  <c r="Z273" i="13"/>
  <c r="Z269" i="13"/>
  <c r="Y281" i="13"/>
  <c r="Y277" i="13"/>
  <c r="Y273" i="13"/>
  <c r="Y269" i="13"/>
  <c r="Y260" i="13"/>
  <c r="Z173" i="13"/>
  <c r="Z165" i="13"/>
  <c r="Z130" i="13"/>
  <c r="Z114" i="13"/>
  <c r="Z82" i="13"/>
  <c r="Z66" i="13"/>
  <c r="Y173" i="13"/>
  <c r="Y162" i="13"/>
  <c r="Y118" i="13"/>
  <c r="Y66" i="13"/>
  <c r="X102" i="13"/>
  <c r="S102" i="13" s="1"/>
  <c r="T102" i="13" s="1"/>
  <c r="X86" i="13"/>
  <c r="S86" i="13" s="1"/>
  <c r="T86" i="13" s="1"/>
  <c r="V169" i="13"/>
  <c r="W169" i="13" s="1"/>
  <c r="V118" i="13"/>
  <c r="W118" i="13" s="1"/>
  <c r="V98" i="13"/>
  <c r="W98" i="13" s="1"/>
  <c r="V82" i="13"/>
  <c r="W82" i="13" s="1"/>
  <c r="X142" i="13"/>
  <c r="X126" i="13"/>
  <c r="X106" i="13"/>
  <c r="S106" i="13" s="1"/>
  <c r="T106" i="13" s="1"/>
  <c r="X74" i="13"/>
  <c r="S74" i="13" s="1"/>
  <c r="T74" i="13" s="1"/>
  <c r="Z161" i="13"/>
  <c r="Z94" i="13"/>
  <c r="Z78" i="13"/>
  <c r="Z62" i="13"/>
  <c r="Y161" i="13"/>
  <c r="Y146" i="13"/>
  <c r="Y114" i="13"/>
  <c r="Y98" i="13"/>
  <c r="Y62" i="13"/>
  <c r="X166" i="13"/>
  <c r="S166" i="13" s="1"/>
  <c r="T166" i="13" s="1"/>
  <c r="X98" i="13"/>
  <c r="S98" i="13" s="1"/>
  <c r="T98" i="13" s="1"/>
  <c r="V162" i="13"/>
  <c r="W162" i="13" s="1"/>
  <c r="X169" i="13"/>
  <c r="S169" i="13" s="1"/>
  <c r="T169" i="13" s="1"/>
  <c r="X165" i="13"/>
  <c r="S165" i="13" s="1"/>
  <c r="T165" i="13" s="1"/>
  <c r="X157" i="13"/>
  <c r="S157" i="13" s="1"/>
  <c r="T157" i="13" s="1"/>
  <c r="X69" i="13"/>
  <c r="S69" i="13" s="1"/>
  <c r="T69" i="13" s="1"/>
  <c r="Z169" i="13"/>
  <c r="Z157" i="13"/>
  <c r="Y157" i="13"/>
  <c r="X161" i="13"/>
  <c r="S161" i="13" s="1"/>
  <c r="T161" i="13" s="1"/>
  <c r="X72" i="13"/>
  <c r="S72" i="13" s="1"/>
  <c r="T72" i="13" s="1"/>
  <c r="V52" i="13"/>
  <c r="W52" i="13" s="1"/>
  <c r="V72" i="13"/>
  <c r="W72" i="13" s="1"/>
  <c r="V56" i="13"/>
  <c r="W56" i="13" s="1"/>
  <c r="Z158" i="13"/>
  <c r="X154" i="13"/>
  <c r="S154" i="13" s="1"/>
  <c r="T154" i="13" s="1"/>
  <c r="Z154" i="13"/>
  <c r="V154" i="13"/>
  <c r="W154" i="13" s="1"/>
  <c r="Z151" i="13"/>
  <c r="Z135" i="13"/>
  <c r="Z111" i="13"/>
  <c r="Z103" i="13"/>
  <c r="Z83" i="13"/>
  <c r="Z75" i="13"/>
  <c r="Y79" i="13"/>
  <c r="Y63" i="13"/>
  <c r="V135" i="13"/>
  <c r="W135" i="13" s="1"/>
  <c r="V123" i="13"/>
  <c r="W123" i="13" s="1"/>
  <c r="X147" i="13"/>
  <c r="S147" i="13" s="1"/>
  <c r="T147" i="13" s="1"/>
  <c r="X138" i="13"/>
  <c r="S138" i="13" s="1"/>
  <c r="T138" i="13" s="1"/>
  <c r="X134" i="13"/>
  <c r="X130" i="13"/>
  <c r="S130" i="13" s="1"/>
  <c r="T130" i="13" s="1"/>
  <c r="Z249" i="13"/>
  <c r="X249" i="13"/>
  <c r="S249" i="13" s="1"/>
  <c r="T249" i="13" s="1"/>
  <c r="Z147" i="13"/>
  <c r="Z131" i="13"/>
  <c r="Z91" i="13"/>
  <c r="Y107" i="13"/>
  <c r="Y95" i="13"/>
  <c r="Y87" i="13"/>
  <c r="X107" i="13"/>
  <c r="S107" i="13" s="1"/>
  <c r="T107" i="13" s="1"/>
  <c r="X67" i="13"/>
  <c r="S67" i="13" s="1"/>
  <c r="T67" i="13" s="1"/>
  <c r="X59" i="13"/>
  <c r="AA59" i="13" s="1"/>
  <c r="V143" i="13"/>
  <c r="W143" i="13" s="1"/>
  <c r="V131" i="13"/>
  <c r="W131" i="13" s="1"/>
  <c r="V111" i="13"/>
  <c r="W111" i="13" s="1"/>
  <c r="V71" i="13"/>
  <c r="W71" i="13" s="1"/>
  <c r="V67" i="13"/>
  <c r="W67" i="13" s="1"/>
  <c r="V63" i="13"/>
  <c r="W63" i="13" s="1"/>
  <c r="V59" i="13"/>
  <c r="W59" i="13" s="1"/>
  <c r="V55" i="13"/>
  <c r="W55" i="13" s="1"/>
  <c r="Y265" i="13"/>
  <c r="X245" i="13"/>
  <c r="S245" i="13" s="1"/>
  <c r="T245" i="13" s="1"/>
  <c r="Z143" i="13"/>
  <c r="Z115" i="13"/>
  <c r="Z107" i="13"/>
  <c r="Z99" i="13"/>
  <c r="Z79" i="13"/>
  <c r="Z71" i="13"/>
  <c r="Z59" i="13"/>
  <c r="Y115" i="13"/>
  <c r="X151" i="13"/>
  <c r="S151" i="13" s="1"/>
  <c r="T151" i="13" s="1"/>
  <c r="X115" i="13"/>
  <c r="S115" i="13" s="1"/>
  <c r="T115" i="13" s="1"/>
  <c r="V119" i="13"/>
  <c r="W119" i="13" s="1"/>
  <c r="Z150" i="13"/>
  <c r="Y150" i="13"/>
  <c r="X150" i="13"/>
  <c r="S150" i="13" s="1"/>
  <c r="T150" i="13" s="1"/>
  <c r="X146" i="13"/>
  <c r="S146" i="13" s="1"/>
  <c r="T146" i="13" s="1"/>
  <c r="V146" i="13"/>
  <c r="W146" i="13" s="1"/>
  <c r="Z142" i="13"/>
  <c r="Y138" i="13"/>
  <c r="V138" i="13"/>
  <c r="W138" i="13" s="1"/>
  <c r="Z138" i="13"/>
  <c r="Z134" i="13"/>
  <c r="V134" i="13"/>
  <c r="W134" i="13" s="1"/>
  <c r="Y134" i="13"/>
  <c r="Y132" i="13"/>
  <c r="Y130" i="13"/>
  <c r="V127" i="13"/>
  <c r="W127" i="13" s="1"/>
  <c r="Z127" i="13"/>
  <c r="X127" i="13"/>
  <c r="S127" i="13" s="1"/>
  <c r="T127" i="13" s="1"/>
  <c r="Z123" i="13"/>
  <c r="V103" i="13"/>
  <c r="W103" i="13" s="1"/>
  <c r="X103" i="13"/>
  <c r="S103" i="13" s="1"/>
  <c r="T103" i="13" s="1"/>
  <c r="X95" i="13"/>
  <c r="S95" i="13" s="1"/>
  <c r="T95" i="13" s="1"/>
  <c r="X244" i="13"/>
  <c r="S244" i="13" s="1"/>
  <c r="T244" i="13" s="1"/>
  <c r="X139" i="13"/>
  <c r="S139" i="13" s="1"/>
  <c r="T139" i="13" s="1"/>
  <c r="X119" i="13"/>
  <c r="AA119" i="13" s="1"/>
  <c r="Y256" i="13"/>
  <c r="X241" i="13"/>
  <c r="AA241" i="13" s="1"/>
  <c r="Y163" i="13"/>
  <c r="X254" i="13"/>
  <c r="S254" i="13" s="1"/>
  <c r="T254" i="13" s="1"/>
  <c r="X242" i="13"/>
  <c r="AA242" i="13" s="1"/>
  <c r="X238" i="13"/>
  <c r="S238" i="13" s="1"/>
  <c r="T238" i="13" s="1"/>
  <c r="X261" i="13"/>
  <c r="AA261" i="13" s="1"/>
  <c r="X258" i="13"/>
  <c r="S258" i="13" s="1"/>
  <c r="T258" i="13" s="1"/>
  <c r="X250" i="13"/>
  <c r="S250" i="13" s="1"/>
  <c r="T250" i="13" s="1"/>
  <c r="X234" i="13"/>
  <c r="AA234" i="13" s="1"/>
  <c r="Z261" i="13"/>
  <c r="X265" i="13"/>
  <c r="S265" i="13" s="1"/>
  <c r="T265" i="13" s="1"/>
  <c r="Z241" i="13"/>
  <c r="Y257" i="13"/>
  <c r="Y241" i="13"/>
  <c r="X257" i="13"/>
  <c r="S257" i="13" s="1"/>
  <c r="T257" i="13" s="1"/>
  <c r="Y158" i="13"/>
  <c r="Y151" i="13"/>
  <c r="Y119" i="13"/>
  <c r="Y75" i="13"/>
  <c r="X173" i="13"/>
  <c r="S173" i="13" s="1"/>
  <c r="T173" i="13" s="1"/>
  <c r="X158" i="13"/>
  <c r="S158" i="13" s="1"/>
  <c r="T158" i="13" s="1"/>
  <c r="X75" i="13"/>
  <c r="V166" i="13"/>
  <c r="W166" i="13" s="1"/>
  <c r="X262" i="13"/>
  <c r="S262" i="13" s="1"/>
  <c r="T262" i="13" s="1"/>
  <c r="Z258" i="13"/>
  <c r="Z253" i="13"/>
  <c r="Z245" i="13"/>
  <c r="Z237" i="13"/>
  <c r="Y254" i="13"/>
  <c r="Y238" i="13"/>
  <c r="X253" i="13"/>
  <c r="X237" i="13"/>
  <c r="X260" i="13"/>
  <c r="AA260" i="13" s="1"/>
  <c r="X256" i="13"/>
  <c r="S256" i="13" s="1"/>
  <c r="T256" i="13" s="1"/>
  <c r="X240" i="13"/>
  <c r="Y52" i="13"/>
  <c r="X152" i="13"/>
  <c r="S152" i="13" s="1"/>
  <c r="T152" i="13" s="1"/>
  <c r="X162" i="13"/>
  <c r="S162" i="13" s="1"/>
  <c r="T162" i="13" s="1"/>
  <c r="X143" i="13"/>
  <c r="AA143" i="13" s="1"/>
  <c r="X131" i="13"/>
  <c r="S131" i="13" s="1"/>
  <c r="T131" i="13" s="1"/>
  <c r="X123" i="13"/>
  <c r="S123" i="13" s="1"/>
  <c r="T123" i="13" s="1"/>
  <c r="X111" i="13"/>
  <c r="S111" i="13" s="1"/>
  <c r="T111" i="13" s="1"/>
  <c r="X99" i="13"/>
  <c r="S99" i="13" s="1"/>
  <c r="T99" i="13" s="1"/>
  <c r="X91" i="13"/>
  <c r="S91" i="13" s="1"/>
  <c r="T91" i="13" s="1"/>
  <c r="X83" i="13"/>
  <c r="S83" i="13" s="1"/>
  <c r="T83" i="13" s="1"/>
  <c r="X55" i="13"/>
  <c r="X246" i="13"/>
  <c r="S246" i="13" s="1"/>
  <c r="T246" i="13" s="1"/>
  <c r="Z254" i="13"/>
  <c r="Z238" i="13"/>
  <c r="Z250" i="13"/>
  <c r="Z242" i="13"/>
  <c r="Z234" i="13"/>
  <c r="Y258" i="13"/>
  <c r="Y242" i="13"/>
  <c r="Y120" i="13"/>
  <c r="Y88" i="13"/>
  <c r="X252" i="13"/>
  <c r="Y252" i="13"/>
  <c r="Z252" i="13"/>
  <c r="X236" i="13"/>
  <c r="Y236" i="13"/>
  <c r="Z236" i="13"/>
  <c r="Z163" i="13"/>
  <c r="X163" i="13"/>
  <c r="AA163" i="13" s="1"/>
  <c r="X159" i="13"/>
  <c r="AA159" i="13" s="1"/>
  <c r="V159" i="13"/>
  <c r="W159" i="13" s="1"/>
  <c r="X144" i="13"/>
  <c r="S144" i="13" s="1"/>
  <c r="T144" i="13" s="1"/>
  <c r="Z136" i="13"/>
  <c r="X136" i="13"/>
  <c r="AA136" i="13" s="1"/>
  <c r="Y136" i="13"/>
  <c r="Z116" i="13"/>
  <c r="Y116" i="13"/>
  <c r="V116" i="13"/>
  <c r="W116" i="13" s="1"/>
  <c r="Z100" i="13"/>
  <c r="X100" i="13"/>
  <c r="S100" i="13" s="1"/>
  <c r="T100" i="13" s="1"/>
  <c r="X96" i="13"/>
  <c r="AA96" i="13" s="1"/>
  <c r="V96" i="13"/>
  <c r="W96" i="13" s="1"/>
  <c r="X60" i="13"/>
  <c r="S60" i="13" s="1"/>
  <c r="T60" i="13" s="1"/>
  <c r="X56" i="13"/>
  <c r="Z240" i="13"/>
  <c r="X259" i="13"/>
  <c r="S259" i="13" s="1"/>
  <c r="T259" i="13" s="1"/>
  <c r="X251" i="13"/>
  <c r="S251" i="13" s="1"/>
  <c r="T251" i="13" s="1"/>
  <c r="X243" i="13"/>
  <c r="S243" i="13" s="1"/>
  <c r="T243" i="13" s="1"/>
  <c r="X235" i="13"/>
  <c r="S235" i="13" s="1"/>
  <c r="T235" i="13" s="1"/>
  <c r="Z56" i="13"/>
  <c r="Y100" i="13"/>
  <c r="X116" i="13"/>
  <c r="S116" i="13" s="1"/>
  <c r="T116" i="13" s="1"/>
  <c r="X88" i="13"/>
  <c r="S88" i="13" s="1"/>
  <c r="T88" i="13" s="1"/>
  <c r="X52" i="13"/>
  <c r="S52" i="13" s="1"/>
  <c r="T52" i="13" s="1"/>
  <c r="V144" i="13"/>
  <c r="W144" i="13" s="1"/>
  <c r="W114" i="13"/>
  <c r="V100" i="13"/>
  <c r="W100" i="13" s="1"/>
  <c r="X264" i="13"/>
  <c r="X248" i="13"/>
  <c r="Y248" i="13"/>
  <c r="X170" i="13"/>
  <c r="AA170" i="13" s="1"/>
  <c r="Z167" i="13"/>
  <c r="X167" i="13"/>
  <c r="AA167" i="13" s="1"/>
  <c r="Y167" i="13"/>
  <c r="Z148" i="13"/>
  <c r="Y148" i="13"/>
  <c r="V148" i="13"/>
  <c r="W148" i="13" s="1"/>
  <c r="Z132" i="13"/>
  <c r="X132" i="13"/>
  <c r="AA132" i="13" s="1"/>
  <c r="X128" i="13"/>
  <c r="S128" i="13" s="1"/>
  <c r="T128" i="13" s="1"/>
  <c r="V128" i="13"/>
  <c r="W128" i="13" s="1"/>
  <c r="X112" i="13"/>
  <c r="S112" i="13" s="1"/>
  <c r="T112" i="13" s="1"/>
  <c r="Z104" i="13"/>
  <c r="X104" i="13"/>
  <c r="AA104" i="13" s="1"/>
  <c r="Y104" i="13"/>
  <c r="Z76" i="13"/>
  <c r="Y76" i="13"/>
  <c r="X68" i="13"/>
  <c r="S68" i="13" s="1"/>
  <c r="T68" i="13" s="1"/>
  <c r="Y68" i="13"/>
  <c r="X64" i="13"/>
  <c r="AA64" i="13" s="1"/>
  <c r="Y244" i="13"/>
  <c r="X263" i="13"/>
  <c r="S263" i="13" s="1"/>
  <c r="T263" i="13" s="1"/>
  <c r="X255" i="13"/>
  <c r="S255" i="13" s="1"/>
  <c r="T255" i="13" s="1"/>
  <c r="X247" i="13"/>
  <c r="S247" i="13" s="1"/>
  <c r="T247" i="13" s="1"/>
  <c r="X239" i="13"/>
  <c r="AA239" i="13" s="1"/>
  <c r="Z264" i="13"/>
  <c r="Y264" i="13"/>
  <c r="Z68" i="13"/>
  <c r="Y152" i="13"/>
  <c r="X148" i="13"/>
  <c r="AA148" i="13" s="1"/>
  <c r="X120" i="13"/>
  <c r="AA120" i="13" s="1"/>
  <c r="V112" i="13"/>
  <c r="W112" i="13" s="1"/>
  <c r="Z262" i="13"/>
  <c r="Z246" i="13"/>
  <c r="Y262" i="13"/>
  <c r="Y246" i="13"/>
  <c r="Y83" i="13"/>
  <c r="Z263" i="13"/>
  <c r="Z259" i="13"/>
  <c r="Z255" i="13"/>
  <c r="Z251" i="13"/>
  <c r="Z247" i="13"/>
  <c r="Z243" i="13"/>
  <c r="Z239" i="13"/>
  <c r="Z235" i="13"/>
  <c r="Y263" i="13"/>
  <c r="Y259" i="13"/>
  <c r="Y255" i="13"/>
  <c r="Y251" i="13"/>
  <c r="Y247" i="13"/>
  <c r="Y243" i="13"/>
  <c r="Y239" i="13"/>
  <c r="Y235" i="13"/>
  <c r="Z171" i="13"/>
  <c r="Z164" i="13"/>
  <c r="Z156" i="13"/>
  <c r="Z145" i="13"/>
  <c r="Z129" i="13"/>
  <c r="Z97" i="13"/>
  <c r="Z72" i="13"/>
  <c r="Z60" i="13"/>
  <c r="Y155" i="13"/>
  <c r="Y140" i="13"/>
  <c r="Y124" i="13"/>
  <c r="Y108" i="13"/>
  <c r="Y92" i="13"/>
  <c r="Y60" i="13"/>
  <c r="X155" i="13"/>
  <c r="S155" i="13" s="1"/>
  <c r="T155" i="13" s="1"/>
  <c r="X140" i="13"/>
  <c r="S140" i="13" s="1"/>
  <c r="T140" i="13" s="1"/>
  <c r="X124" i="13"/>
  <c r="S124" i="13" s="1"/>
  <c r="T124" i="13" s="1"/>
  <c r="X108" i="13"/>
  <c r="S108" i="13" s="1"/>
  <c r="T108" i="13" s="1"/>
  <c r="X92" i="13"/>
  <c r="S92" i="13" s="1"/>
  <c r="T92" i="13" s="1"/>
  <c r="X76" i="13"/>
  <c r="V167" i="13"/>
  <c r="W167" i="13" s="1"/>
  <c r="V152" i="13"/>
  <c r="W152" i="13" s="1"/>
  <c r="V136" i="13"/>
  <c r="W136" i="13" s="1"/>
  <c r="V120" i="13"/>
  <c r="W120" i="13" s="1"/>
  <c r="V104" i="13"/>
  <c r="W104" i="13" s="1"/>
  <c r="V88" i="13"/>
  <c r="W88" i="13" s="1"/>
  <c r="V76" i="13"/>
  <c r="W76" i="13" s="1"/>
  <c r="X227" i="13"/>
  <c r="S227" i="13" s="1"/>
  <c r="T227" i="13" s="1"/>
  <c r="X183" i="13"/>
  <c r="S183" i="13" s="1"/>
  <c r="T183" i="13" s="1"/>
  <c r="Z170" i="13"/>
  <c r="Z159" i="13"/>
  <c r="Z155" i="13"/>
  <c r="Z144" i="13"/>
  <c r="Z140" i="13"/>
  <c r="Z128" i="13"/>
  <c r="Z124" i="13"/>
  <c r="Z112" i="13"/>
  <c r="Z108" i="13"/>
  <c r="Z96" i="13"/>
  <c r="Z92" i="13"/>
  <c r="Z64" i="13"/>
  <c r="Y170" i="13"/>
  <c r="Y159" i="13"/>
  <c r="Y144" i="13"/>
  <c r="Y128" i="13"/>
  <c r="Y112" i="13"/>
  <c r="Y96" i="13"/>
  <c r="Y64" i="13"/>
  <c r="X160" i="13"/>
  <c r="V160" i="13"/>
  <c r="W160" i="13" s="1"/>
  <c r="X149" i="13"/>
  <c r="V149" i="13"/>
  <c r="W149" i="13" s="1"/>
  <c r="X137" i="13"/>
  <c r="V137" i="13"/>
  <c r="W137" i="13" s="1"/>
  <c r="X125" i="13"/>
  <c r="V125" i="13"/>
  <c r="W125" i="13" s="1"/>
  <c r="X117" i="13"/>
  <c r="V117" i="13"/>
  <c r="W117" i="13" s="1"/>
  <c r="X109" i="13"/>
  <c r="V109" i="13"/>
  <c r="W109" i="13" s="1"/>
  <c r="X101" i="13"/>
  <c r="V101" i="13"/>
  <c r="W101" i="13" s="1"/>
  <c r="X89" i="13"/>
  <c r="V89" i="13"/>
  <c r="W89" i="13" s="1"/>
  <c r="Y81" i="13"/>
  <c r="Z81" i="13"/>
  <c r="X77" i="13"/>
  <c r="Y77" i="13"/>
  <c r="Z77" i="13"/>
  <c r="V77" i="13"/>
  <c r="W77" i="13" s="1"/>
  <c r="Z73" i="13"/>
  <c r="X73" i="13"/>
  <c r="S73" i="13" s="1"/>
  <c r="T73" i="13" s="1"/>
  <c r="Y65" i="13"/>
  <c r="X65" i="13"/>
  <c r="Y53" i="13"/>
  <c r="X53" i="13"/>
  <c r="V81" i="13"/>
  <c r="W81" i="13" s="1"/>
  <c r="X168" i="13"/>
  <c r="V168" i="13"/>
  <c r="W168" i="13" s="1"/>
  <c r="X153" i="13"/>
  <c r="V153" i="13"/>
  <c r="W153" i="13" s="1"/>
  <c r="X141" i="13"/>
  <c r="V141" i="13"/>
  <c r="W141" i="13" s="1"/>
  <c r="X133" i="13"/>
  <c r="V133" i="13"/>
  <c r="W133" i="13" s="1"/>
  <c r="X121" i="13"/>
  <c r="V121" i="13"/>
  <c r="W121" i="13" s="1"/>
  <c r="X113" i="13"/>
  <c r="V113" i="13"/>
  <c r="W113" i="13" s="1"/>
  <c r="X105" i="13"/>
  <c r="V105" i="13"/>
  <c r="W105" i="13" s="1"/>
  <c r="X93" i="13"/>
  <c r="V93" i="13"/>
  <c r="W93" i="13" s="1"/>
  <c r="X85" i="13"/>
  <c r="V85" i="13"/>
  <c r="W85" i="13" s="1"/>
  <c r="Y61" i="13"/>
  <c r="X61" i="13"/>
  <c r="Y57" i="13"/>
  <c r="X57" i="13"/>
  <c r="Z69" i="13"/>
  <c r="Z65" i="13"/>
  <c r="Z61" i="13"/>
  <c r="Z57" i="13"/>
  <c r="Z53" i="13"/>
  <c r="Y168" i="13"/>
  <c r="Y160" i="13"/>
  <c r="Y153" i="13"/>
  <c r="Y149" i="13"/>
  <c r="Y141" i="13"/>
  <c r="Y137" i="13"/>
  <c r="Y133" i="13"/>
  <c r="Y125" i="13"/>
  <c r="Y121" i="13"/>
  <c r="Y117" i="13"/>
  <c r="Y113" i="13"/>
  <c r="Y109" i="13"/>
  <c r="Y105" i="13"/>
  <c r="Y101" i="13"/>
  <c r="Y93" i="13"/>
  <c r="Y89" i="13"/>
  <c r="Y85" i="13"/>
  <c r="S54" i="13"/>
  <c r="T54" i="13" s="1"/>
  <c r="AA54" i="13"/>
  <c r="X171" i="13"/>
  <c r="V171" i="13"/>
  <c r="W171" i="13" s="1"/>
  <c r="X164" i="13"/>
  <c r="V164" i="13"/>
  <c r="W164" i="13" s="1"/>
  <c r="X156" i="13"/>
  <c r="V156" i="13"/>
  <c r="W156" i="13" s="1"/>
  <c r="X145" i="13"/>
  <c r="V145" i="13"/>
  <c r="W145" i="13" s="1"/>
  <c r="X129" i="13"/>
  <c r="V129" i="13"/>
  <c r="W129" i="13" s="1"/>
  <c r="X97" i="13"/>
  <c r="V97" i="13"/>
  <c r="W97" i="13" s="1"/>
  <c r="X87" i="13"/>
  <c r="S87" i="13" s="1"/>
  <c r="T87" i="13" s="1"/>
  <c r="V87" i="13"/>
  <c r="W87" i="13" s="1"/>
  <c r="X79" i="13"/>
  <c r="S79" i="13" s="1"/>
  <c r="T79" i="13" s="1"/>
  <c r="X81" i="13"/>
  <c r="S81" i="13" s="1"/>
  <c r="T81" i="13" s="1"/>
  <c r="X80" i="13"/>
  <c r="S80" i="13" s="1"/>
  <c r="T80" i="13" s="1"/>
  <c r="X84" i="13"/>
  <c r="S84" i="13" s="1"/>
  <c r="T84" i="13" s="1"/>
  <c r="Z84" i="13"/>
  <c r="V84" i="13"/>
  <c r="W84" i="13" s="1"/>
  <c r="V80" i="13"/>
  <c r="W80" i="13" s="1"/>
  <c r="Y84" i="13"/>
  <c r="Y80" i="13"/>
  <c r="Y74" i="13"/>
  <c r="Y73" i="13"/>
  <c r="X71" i="13"/>
  <c r="S71" i="13" s="1"/>
  <c r="T71" i="13" s="1"/>
  <c r="X70" i="13"/>
  <c r="S70" i="13" s="1"/>
  <c r="T70" i="13" s="1"/>
  <c r="Y70" i="13"/>
  <c r="Z70" i="13"/>
  <c r="Z225" i="13"/>
  <c r="X217" i="13"/>
  <c r="AA217" i="13" s="1"/>
  <c r="V229" i="13"/>
  <c r="W229" i="13" s="1"/>
  <c r="Z181" i="13"/>
  <c r="Y225" i="13"/>
  <c r="Y185" i="13"/>
  <c r="V183" i="13"/>
  <c r="W183" i="13" s="1"/>
  <c r="Z211" i="13"/>
  <c r="X206" i="13"/>
  <c r="S206" i="13" s="1"/>
  <c r="T206" i="13" s="1"/>
  <c r="Y211" i="13"/>
  <c r="V201" i="13"/>
  <c r="W201" i="13" s="1"/>
  <c r="Z197" i="13"/>
  <c r="Y197" i="13"/>
  <c r="X182" i="13"/>
  <c r="S182" i="13" s="1"/>
  <c r="T182" i="13" s="1"/>
  <c r="V185" i="13"/>
  <c r="W185" i="13" s="1"/>
  <c r="Z221" i="13"/>
  <c r="Z193" i="13"/>
  <c r="Y221" i="13"/>
  <c r="X193" i="13"/>
  <c r="S193" i="13" s="1"/>
  <c r="T193" i="13" s="1"/>
  <c r="Z233" i="13"/>
  <c r="Z217" i="13"/>
  <c r="Z205" i="13"/>
  <c r="Z189" i="13"/>
  <c r="Y233" i="13"/>
  <c r="Y217" i="13"/>
  <c r="Y205" i="13"/>
  <c r="Y189" i="13"/>
  <c r="Y177" i="13"/>
  <c r="X189" i="13"/>
  <c r="S189" i="13" s="1"/>
  <c r="T189" i="13" s="1"/>
  <c r="V193" i="13"/>
  <c r="W193" i="13" s="1"/>
  <c r="V181" i="13"/>
  <c r="W181" i="13" s="1"/>
  <c r="X225" i="13"/>
  <c r="S225" i="13" s="1"/>
  <c r="T225" i="13" s="1"/>
  <c r="X211" i="13"/>
  <c r="S211" i="13" s="1"/>
  <c r="T211" i="13" s="1"/>
  <c r="X197" i="13"/>
  <c r="AA197" i="13" s="1"/>
  <c r="X181" i="13"/>
  <c r="S181" i="13" s="1"/>
  <c r="T181" i="13" s="1"/>
  <c r="Z177" i="13"/>
  <c r="X221" i="13"/>
  <c r="S221" i="13" s="1"/>
  <c r="T221" i="13" s="1"/>
  <c r="X177" i="13"/>
  <c r="S177" i="13" s="1"/>
  <c r="T177" i="13" s="1"/>
  <c r="Z229" i="13"/>
  <c r="Z201" i="13"/>
  <c r="Y187" i="13"/>
  <c r="Y175" i="13"/>
  <c r="X229" i="13"/>
  <c r="S229" i="13" s="1"/>
  <c r="T229" i="13" s="1"/>
  <c r="X201" i="13"/>
  <c r="S201" i="13" s="1"/>
  <c r="T201" i="13" s="1"/>
  <c r="X185" i="13"/>
  <c r="S185" i="13" s="1"/>
  <c r="T185" i="13" s="1"/>
  <c r="X187" i="13"/>
  <c r="AA187" i="13" s="1"/>
  <c r="Z187" i="13"/>
  <c r="Z175" i="13"/>
  <c r="Z14" i="13"/>
  <c r="X203" i="13"/>
  <c r="V203" i="13"/>
  <c r="W203" i="13" s="1"/>
  <c r="Z215" i="13"/>
  <c r="Z207" i="13"/>
  <c r="Y215" i="13"/>
  <c r="Y207" i="13"/>
  <c r="X215" i="13"/>
  <c r="S215" i="13" s="1"/>
  <c r="T215" i="13" s="1"/>
  <c r="X198" i="13"/>
  <c r="S198" i="13" s="1"/>
  <c r="T198" i="13" s="1"/>
  <c r="X174" i="13"/>
  <c r="S174" i="13" s="1"/>
  <c r="T174" i="13" s="1"/>
  <c r="X231" i="13"/>
  <c r="S231" i="13" s="1"/>
  <c r="T231" i="13" s="1"/>
  <c r="Y288" i="13"/>
  <c r="X210" i="13"/>
  <c r="S210" i="13" s="1"/>
  <c r="T210" i="13" s="1"/>
  <c r="V227" i="13"/>
  <c r="W227" i="13" s="1"/>
  <c r="Z284" i="13"/>
  <c r="Z231" i="13"/>
  <c r="Z219" i="13"/>
  <c r="Z203" i="13"/>
  <c r="Z191" i="13"/>
  <c r="Y231" i="13"/>
  <c r="Y219" i="13"/>
  <c r="Y191" i="13"/>
  <c r="X195" i="13"/>
  <c r="S195" i="13" s="1"/>
  <c r="T195" i="13" s="1"/>
  <c r="V199" i="13"/>
  <c r="W199" i="13" s="1"/>
  <c r="V228" i="13"/>
  <c r="W228" i="13" s="1"/>
  <c r="Y228" i="13"/>
  <c r="Z228" i="13"/>
  <c r="X220" i="13"/>
  <c r="S220" i="13" s="1"/>
  <c r="T220" i="13" s="1"/>
  <c r="V220" i="13"/>
  <c r="W220" i="13" s="1"/>
  <c r="Y204" i="13"/>
  <c r="Z204" i="13"/>
  <c r="Y188" i="13"/>
  <c r="Z188" i="13"/>
  <c r="V184" i="13"/>
  <c r="W184" i="13" s="1"/>
  <c r="X184" i="13"/>
  <c r="Y184" i="13"/>
  <c r="Z184" i="13"/>
  <c r="V34" i="13"/>
  <c r="W34" i="13" s="1"/>
  <c r="Y34" i="13"/>
  <c r="Z220" i="13"/>
  <c r="Z208" i="13"/>
  <c r="Z192" i="13"/>
  <c r="Z176" i="13"/>
  <c r="Y220" i="13"/>
  <c r="Y176" i="13"/>
  <c r="X213" i="13"/>
  <c r="S213" i="13" s="1"/>
  <c r="T213" i="13" s="1"/>
  <c r="Y216" i="13"/>
  <c r="Z216" i="13"/>
  <c r="X208" i="13"/>
  <c r="S208" i="13" s="1"/>
  <c r="T208" i="13" s="1"/>
  <c r="V208" i="13"/>
  <c r="W208" i="13" s="1"/>
  <c r="V200" i="13"/>
  <c r="W200" i="13" s="1"/>
  <c r="Y200" i="13"/>
  <c r="Z200" i="13"/>
  <c r="X192" i="13"/>
  <c r="V192" i="13"/>
  <c r="W192" i="13" s="1"/>
  <c r="X26" i="13"/>
  <c r="S26" i="13" s="1"/>
  <c r="T26" i="13" s="1"/>
  <c r="X18" i="13"/>
  <c r="S18" i="13" s="1"/>
  <c r="T18" i="13" s="1"/>
  <c r="X288" i="13"/>
  <c r="S288" i="13" s="1"/>
  <c r="T288" i="13" s="1"/>
  <c r="X176" i="13"/>
  <c r="V188" i="13"/>
  <c r="W188" i="13" s="1"/>
  <c r="Y232" i="13"/>
  <c r="Z232" i="13"/>
  <c r="X232" i="13"/>
  <c r="X34" i="13"/>
  <c r="S34" i="13" s="1"/>
  <c r="T34" i="13" s="1"/>
  <c r="X30" i="13"/>
  <c r="S30" i="13" s="1"/>
  <c r="T30" i="13" s="1"/>
  <c r="X22" i="13"/>
  <c r="AA22" i="13" s="1"/>
  <c r="Y37" i="13"/>
  <c r="V37" i="13"/>
  <c r="W37" i="13" s="1"/>
  <c r="Z287" i="13"/>
  <c r="Y287" i="13"/>
  <c r="Z290" i="13"/>
  <c r="Y290" i="13"/>
  <c r="Z224" i="13"/>
  <c r="Z210" i="13"/>
  <c r="Z196" i="13"/>
  <c r="Z180" i="13"/>
  <c r="Y224" i="13"/>
  <c r="Y210" i="13"/>
  <c r="Y196" i="13"/>
  <c r="Y180" i="13"/>
  <c r="V204" i="13"/>
  <c r="W204" i="13" s="1"/>
  <c r="X33" i="13"/>
  <c r="S33" i="13" s="1"/>
  <c r="T33" i="13" s="1"/>
  <c r="X29" i="13"/>
  <c r="AA29" i="13" s="1"/>
  <c r="X25" i="13"/>
  <c r="S25" i="13" s="1"/>
  <c r="T25" i="13" s="1"/>
  <c r="X21" i="13"/>
  <c r="S21" i="13" s="1"/>
  <c r="T21" i="13" s="1"/>
  <c r="X13" i="13"/>
  <c r="AA13" i="13" s="1"/>
  <c r="Y291" i="13"/>
  <c r="Z223" i="13"/>
  <c r="Z209" i="13"/>
  <c r="Z195" i="13"/>
  <c r="Z179" i="13"/>
  <c r="Y223" i="13"/>
  <c r="Y209" i="13"/>
  <c r="Y195" i="13"/>
  <c r="Y179" i="13"/>
  <c r="X209" i="13"/>
  <c r="S209" i="13" s="1"/>
  <c r="T209" i="13" s="1"/>
  <c r="X199" i="13"/>
  <c r="S199" i="13" s="1"/>
  <c r="T199" i="13" s="1"/>
  <c r="X224" i="13"/>
  <c r="S224" i="13" s="1"/>
  <c r="T224" i="13" s="1"/>
  <c r="X219" i="13"/>
  <c r="S219" i="13" s="1"/>
  <c r="T219" i="13" s="1"/>
  <c r="X207" i="13"/>
  <c r="AA207" i="13" s="1"/>
  <c r="X196" i="13"/>
  <c r="S196" i="13" s="1"/>
  <c r="T196" i="13" s="1"/>
  <c r="X191" i="13"/>
  <c r="S191" i="13" s="1"/>
  <c r="T191" i="13" s="1"/>
  <c r="X180" i="13"/>
  <c r="X175" i="13"/>
  <c r="AA175" i="13" s="1"/>
  <c r="Z227" i="13"/>
  <c r="Z213" i="13"/>
  <c r="Z199" i="13"/>
  <c r="Z183" i="13"/>
  <c r="Y213" i="13"/>
  <c r="X228" i="13"/>
  <c r="X223" i="13"/>
  <c r="X200" i="13"/>
  <c r="S200" i="13" s="1"/>
  <c r="T200" i="13" s="1"/>
  <c r="X179" i="13"/>
  <c r="AA179" i="13" s="1"/>
  <c r="X35" i="13"/>
  <c r="S35" i="13" s="1"/>
  <c r="T35" i="13" s="1"/>
  <c r="X292" i="13"/>
  <c r="S292" i="13" s="1"/>
  <c r="T292" i="13" s="1"/>
  <c r="Z230" i="13"/>
  <c r="Z226" i="13"/>
  <c r="Z222" i="13"/>
  <c r="Z218" i="13"/>
  <c r="Z214" i="13"/>
  <c r="Z212" i="13"/>
  <c r="Z206" i="13"/>
  <c r="Z202" i="13"/>
  <c r="Z198" i="13"/>
  <c r="Z194" i="13"/>
  <c r="Z190" i="13"/>
  <c r="Z186" i="13"/>
  <c r="Z182" i="13"/>
  <c r="Z178" i="13"/>
  <c r="Z174" i="13"/>
  <c r="Y230" i="13"/>
  <c r="Y226" i="13"/>
  <c r="Y222" i="13"/>
  <c r="Y218" i="13"/>
  <c r="Y214" i="13"/>
  <c r="Y212" i="13"/>
  <c r="Y206" i="13"/>
  <c r="Y202" i="13"/>
  <c r="Y198" i="13"/>
  <c r="Y194" i="13"/>
  <c r="Y190" i="13"/>
  <c r="Y186" i="13"/>
  <c r="Y182" i="13"/>
  <c r="Y178" i="13"/>
  <c r="Y174" i="13"/>
  <c r="X212" i="13"/>
  <c r="X202" i="13"/>
  <c r="S202" i="13" s="1"/>
  <c r="T202" i="13" s="1"/>
  <c r="X186" i="13"/>
  <c r="S186" i="13" s="1"/>
  <c r="T186" i="13" s="1"/>
  <c r="X178" i="13"/>
  <c r="S178" i="13" s="1"/>
  <c r="T178" i="13" s="1"/>
  <c r="X214" i="13"/>
  <c r="X194" i="13"/>
  <c r="S194" i="13" s="1"/>
  <c r="T194" i="13" s="1"/>
  <c r="X190" i="13"/>
  <c r="S190" i="13" s="1"/>
  <c r="T190" i="13" s="1"/>
  <c r="S291" i="13"/>
  <c r="T291" i="13" s="1"/>
  <c r="AA291" i="13"/>
  <c r="S205" i="13"/>
  <c r="T205" i="13" s="1"/>
  <c r="AA205" i="13"/>
  <c r="S204" i="13"/>
  <c r="T204" i="13" s="1"/>
  <c r="AA204" i="13"/>
  <c r="S188" i="13"/>
  <c r="T188" i="13" s="1"/>
  <c r="AA188" i="13"/>
  <c r="S226" i="13"/>
  <c r="T226" i="13" s="1"/>
  <c r="AA226" i="13"/>
  <c r="S222" i="13"/>
  <c r="T222" i="13" s="1"/>
  <c r="AA222" i="13"/>
  <c r="Y14" i="13"/>
  <c r="X16" i="13"/>
  <c r="S16" i="13" s="1"/>
  <c r="T16" i="13" s="1"/>
  <c r="X283" i="13"/>
  <c r="AA283" i="13" s="1"/>
  <c r="X230" i="13"/>
  <c r="V230" i="13"/>
  <c r="W230" i="13" s="1"/>
  <c r="V226" i="13"/>
  <c r="W226" i="13" s="1"/>
  <c r="V222" i="13"/>
  <c r="W222" i="13" s="1"/>
  <c r="V218" i="13"/>
  <c r="V214" i="13"/>
  <c r="V212" i="13"/>
  <c r="V206" i="13"/>
  <c r="V202" i="13"/>
  <c r="V198" i="13"/>
  <c r="V194" i="13"/>
  <c r="V190" i="13"/>
  <c r="V186" i="13"/>
  <c r="V182" i="13"/>
  <c r="V178" i="13"/>
  <c r="V174" i="13"/>
  <c r="X286" i="13"/>
  <c r="AA286" i="13" s="1"/>
  <c r="X282" i="13"/>
  <c r="S282" i="13" s="1"/>
  <c r="T282" i="13" s="1"/>
  <c r="Y22" i="13"/>
  <c r="V22" i="13"/>
  <c r="W22" i="13" s="1"/>
  <c r="AA290" i="13"/>
  <c r="Z283" i="13"/>
  <c r="Y283" i="13"/>
  <c r="X289" i="13"/>
  <c r="S289" i="13" s="1"/>
  <c r="T289" i="13" s="1"/>
  <c r="X285" i="13"/>
  <c r="AA285" i="13" s="1"/>
  <c r="V49" i="13"/>
  <c r="W49" i="13" s="1"/>
  <c r="Y49" i="13"/>
  <c r="Z49" i="13"/>
  <c r="Z33" i="13"/>
  <c r="V33" i="13"/>
  <c r="W33" i="13" s="1"/>
  <c r="V25" i="13"/>
  <c r="W25" i="13" s="1"/>
  <c r="Z25" i="13"/>
  <c r="Y25" i="13"/>
  <c r="Z21" i="13"/>
  <c r="Y21" i="13"/>
  <c r="V21" i="13"/>
  <c r="W21" i="13" s="1"/>
  <c r="V45" i="13"/>
  <c r="W45" i="13" s="1"/>
  <c r="Z45" i="13"/>
  <c r="Y45" i="13"/>
  <c r="V295" i="13"/>
  <c r="W295" i="13" s="1"/>
  <c r="Z37" i="13"/>
  <c r="X45" i="13"/>
  <c r="S45" i="13" s="1"/>
  <c r="T45" i="13" s="1"/>
  <c r="X37" i="13"/>
  <c r="S37" i="13" s="1"/>
  <c r="T37" i="13" s="1"/>
  <c r="Z286" i="13"/>
  <c r="Y286" i="13"/>
  <c r="Y292" i="13"/>
  <c r="Z289" i="13"/>
  <c r="Z285" i="13"/>
  <c r="Y289" i="13"/>
  <c r="Y285" i="13"/>
  <c r="X41" i="13"/>
  <c r="AA41" i="13" s="1"/>
  <c r="Z282" i="13"/>
  <c r="Y282" i="13"/>
  <c r="Z46" i="13"/>
  <c r="X50" i="13"/>
  <c r="S50" i="13" s="1"/>
  <c r="T50" i="13" s="1"/>
  <c r="Z22" i="13"/>
  <c r="V30" i="13"/>
  <c r="W30" i="13" s="1"/>
  <c r="Z42" i="13"/>
  <c r="Y41" i="13"/>
  <c r="V41" i="13"/>
  <c r="W41" i="13" s="1"/>
  <c r="Z296" i="13"/>
  <c r="Y295" i="13"/>
  <c r="V50" i="13"/>
  <c r="W50" i="13" s="1"/>
  <c r="X295" i="13"/>
  <c r="S295" i="13" s="1"/>
  <c r="T295" i="13" s="1"/>
  <c r="X49" i="13"/>
  <c r="S49" i="13" s="1"/>
  <c r="T49" i="13" s="1"/>
  <c r="Y29" i="13"/>
  <c r="Y18" i="13"/>
  <c r="V29" i="13"/>
  <c r="W29" i="13" s="1"/>
  <c r="V13" i="13"/>
  <c r="W13" i="13" s="1"/>
  <c r="Z292" i="13"/>
  <c r="X296" i="13"/>
  <c r="AA296" i="13" s="1"/>
  <c r="X46" i="13"/>
  <c r="S46" i="13" s="1"/>
  <c r="T46" i="13" s="1"/>
  <c r="Z34" i="13"/>
  <c r="Y38" i="13"/>
  <c r="V38" i="13"/>
  <c r="W38" i="13" s="1"/>
  <c r="Y50" i="13"/>
  <c r="Z13" i="13"/>
  <c r="Y26" i="13"/>
  <c r="Z291" i="13"/>
  <c r="Y293" i="13"/>
  <c r="U293" i="13"/>
  <c r="X293" i="13" s="1"/>
  <c r="Y42" i="13"/>
  <c r="X42" i="13"/>
  <c r="S42" i="13" s="1"/>
  <c r="T42" i="13" s="1"/>
  <c r="X38" i="13"/>
  <c r="AA38" i="13" s="1"/>
  <c r="Z51" i="13"/>
  <c r="Y296" i="13"/>
  <c r="Y46" i="13"/>
  <c r="Z26" i="13"/>
  <c r="Z18" i="13"/>
  <c r="Y30" i="13"/>
  <c r="Y15" i="13"/>
  <c r="Z293" i="13"/>
  <c r="Z27" i="13"/>
  <c r="Y16" i="13"/>
  <c r="Z16" i="13"/>
  <c r="Z15" i="13"/>
  <c r="V16" i="13"/>
  <c r="W16" i="13" s="1"/>
  <c r="X15" i="13"/>
  <c r="Z11" i="13"/>
  <c r="Y51" i="13"/>
  <c r="X17" i="13"/>
  <c r="S17" i="13" s="1"/>
  <c r="T17" i="13" s="1"/>
  <c r="Y17" i="13"/>
  <c r="V17" i="13"/>
  <c r="W17" i="13" s="1"/>
  <c r="V47" i="13"/>
  <c r="W47" i="13" s="1"/>
  <c r="V39" i="13"/>
  <c r="W39" i="13" s="1"/>
  <c r="Y39" i="13"/>
  <c r="Y47" i="13"/>
  <c r="V14" i="13"/>
  <c r="W14" i="13" s="1"/>
  <c r="Y31" i="13"/>
  <c r="Z17" i="13"/>
  <c r="V11" i="13"/>
  <c r="W11" i="13" s="1"/>
  <c r="X23" i="13"/>
  <c r="AA23" i="13" s="1"/>
  <c r="AA17" i="13"/>
  <c r="AA14" i="13"/>
  <c r="S14" i="13"/>
  <c r="T14" i="13" s="1"/>
  <c r="Z43" i="13"/>
  <c r="Y43" i="13"/>
  <c r="Z297" i="13"/>
  <c r="Y297" i="13"/>
  <c r="Z31" i="13"/>
  <c r="Y35" i="13"/>
  <c r="Y19" i="13"/>
  <c r="X31" i="13"/>
  <c r="S31" i="13" s="1"/>
  <c r="T31" i="13" s="1"/>
  <c r="X19" i="13"/>
  <c r="V27" i="13"/>
  <c r="W27" i="13" s="1"/>
  <c r="X43" i="13"/>
  <c r="AA43" i="13" s="1"/>
  <c r="X39" i="13"/>
  <c r="S39" i="13" s="1"/>
  <c r="T39" i="13" s="1"/>
  <c r="X11" i="13"/>
  <c r="AA11" i="13" s="1"/>
  <c r="X297" i="13"/>
  <c r="AA297" i="13" s="1"/>
  <c r="X51" i="13"/>
  <c r="AA51" i="13" s="1"/>
  <c r="X47" i="13"/>
  <c r="AA47" i="13" s="1"/>
  <c r="Z35" i="13"/>
  <c r="Z19" i="13"/>
  <c r="Y23" i="13"/>
  <c r="X27" i="13"/>
  <c r="Z23" i="13"/>
  <c r="Z294" i="13"/>
  <c r="X44" i="13"/>
  <c r="AA44" i="13" s="1"/>
  <c r="X40" i="13"/>
  <c r="AA40" i="13" s="1"/>
  <c r="X36" i="13"/>
  <c r="S36" i="13" s="1"/>
  <c r="T36" i="13" s="1"/>
  <c r="V48" i="13"/>
  <c r="W48" i="13" s="1"/>
  <c r="W23" i="13"/>
  <c r="W18" i="13"/>
  <c r="V44" i="13"/>
  <c r="W44" i="13" s="1"/>
  <c r="V40" i="13"/>
  <c r="W40" i="13" s="1"/>
  <c r="V36" i="13"/>
  <c r="W36" i="13" s="1"/>
  <c r="Y294" i="13"/>
  <c r="Y48" i="13"/>
  <c r="Y44" i="13"/>
  <c r="Y40" i="13"/>
  <c r="Y36" i="13"/>
  <c r="X294" i="13"/>
  <c r="S294" i="13" s="1"/>
  <c r="T294" i="13" s="1"/>
  <c r="X48" i="13"/>
  <c r="S48" i="13" s="1"/>
  <c r="T48" i="13" s="1"/>
  <c r="Z32" i="13"/>
  <c r="Z28" i="13"/>
  <c r="Z24" i="13"/>
  <c r="Z20" i="13"/>
  <c r="Z12" i="13"/>
  <c r="Y32" i="13"/>
  <c r="Y28" i="13"/>
  <c r="Y24" i="13"/>
  <c r="Y20" i="13"/>
  <c r="Y12" i="13"/>
  <c r="X32" i="13"/>
  <c r="X28" i="13"/>
  <c r="X24" i="13"/>
  <c r="X20" i="13"/>
  <c r="X12" i="13"/>
  <c r="Y10" i="13"/>
  <c r="Z10" i="13"/>
  <c r="Z9" i="13"/>
  <c r="Y9" i="13"/>
  <c r="K27" i="16"/>
  <c r="K26" i="16"/>
  <c r="K25" i="16"/>
  <c r="K59" i="9"/>
  <c r="F298" i="13"/>
  <c r="F82" i="7"/>
  <c r="F60" i="9"/>
  <c r="U67" i="7"/>
  <c r="AC67" i="7"/>
  <c r="AD67" i="7"/>
  <c r="AH67" i="7"/>
  <c r="AI67" i="7" s="1"/>
  <c r="AL67" i="7" s="1"/>
  <c r="V30" i="18"/>
  <c r="D5" i="18"/>
  <c r="S134" i="13" l="1"/>
  <c r="T134" i="13" s="1"/>
  <c r="AA134" i="13"/>
  <c r="S135" i="13"/>
  <c r="T135" i="13" s="1"/>
  <c r="AA135" i="13"/>
  <c r="AA15" i="13"/>
  <c r="S15" i="13"/>
  <c r="T15" i="13" s="1"/>
  <c r="AE275" i="13"/>
  <c r="AF275" i="13" s="1"/>
  <c r="AG275" i="13" s="1"/>
  <c r="S284" i="13"/>
  <c r="T284" i="13" s="1"/>
  <c r="AA284" i="13"/>
  <c r="AE284" i="13" s="1"/>
  <c r="AF284" i="13" s="1"/>
  <c r="AG284" i="13" s="1"/>
  <c r="S287" i="13"/>
  <c r="T287" i="13" s="1"/>
  <c r="AA287" i="13"/>
  <c r="AE287" i="13" s="1"/>
  <c r="AF287" i="13" s="1"/>
  <c r="AG287" i="13" s="1"/>
  <c r="S279" i="13"/>
  <c r="T279" i="13" s="1"/>
  <c r="AA279" i="13"/>
  <c r="S266" i="13"/>
  <c r="T266" i="13" s="1"/>
  <c r="AA266" i="13"/>
  <c r="S63" i="13"/>
  <c r="T63" i="13" s="1"/>
  <c r="AA63" i="13"/>
  <c r="S90" i="13"/>
  <c r="T90" i="13" s="1"/>
  <c r="AA90" i="13"/>
  <c r="AE90" i="13" s="1"/>
  <c r="AF90" i="13" s="1"/>
  <c r="AG90" i="13" s="1"/>
  <c r="AE54" i="13"/>
  <c r="AF54" i="13" s="1"/>
  <c r="AG54" i="13" s="1"/>
  <c r="AA66" i="13"/>
  <c r="S66" i="13"/>
  <c r="T66" i="13" s="1"/>
  <c r="S94" i="13"/>
  <c r="T94" i="13" s="1"/>
  <c r="AA94" i="13"/>
  <c r="S118" i="13"/>
  <c r="T118" i="13" s="1"/>
  <c r="AA118" i="13"/>
  <c r="AE118" i="13" s="1"/>
  <c r="AF118" i="13" s="1"/>
  <c r="AG118" i="13" s="1"/>
  <c r="S142" i="13"/>
  <c r="T142" i="13" s="1"/>
  <c r="AA142" i="13"/>
  <c r="S126" i="13"/>
  <c r="T126" i="13" s="1"/>
  <c r="AA126" i="13"/>
  <c r="AE126" i="13" s="1"/>
  <c r="AF126" i="13" s="1"/>
  <c r="AG126" i="13" s="1"/>
  <c r="S240" i="13"/>
  <c r="T240" i="13" s="1"/>
  <c r="AA240" i="13"/>
  <c r="AA82" i="13"/>
  <c r="AE82" i="13" s="1"/>
  <c r="AF82" i="13" s="1"/>
  <c r="AG82" i="13" s="1"/>
  <c r="AA58" i="13"/>
  <c r="AE58" i="13" s="1"/>
  <c r="AF58" i="13" s="1"/>
  <c r="AG58" i="13" s="1"/>
  <c r="AA123" i="13"/>
  <c r="AE123" i="13" s="1"/>
  <c r="AF123" i="13" s="1"/>
  <c r="AG123" i="13" s="1"/>
  <c r="S242" i="13"/>
  <c r="T242" i="13" s="1"/>
  <c r="AE94" i="13"/>
  <c r="AF94" i="13" s="1"/>
  <c r="AG94" i="13" s="1"/>
  <c r="AE279" i="13"/>
  <c r="AF279" i="13" s="1"/>
  <c r="AG279" i="13" s="1"/>
  <c r="AE278" i="13"/>
  <c r="AF278" i="13" s="1"/>
  <c r="AG278" i="13" s="1"/>
  <c r="AA233" i="13"/>
  <c r="AE233" i="13" s="1"/>
  <c r="AF233" i="13" s="1"/>
  <c r="AG233" i="13" s="1"/>
  <c r="AA78" i="13"/>
  <c r="AA115" i="13"/>
  <c r="AA254" i="13"/>
  <c r="AE267" i="13"/>
  <c r="AF267" i="13" s="1"/>
  <c r="AG267" i="13" s="1"/>
  <c r="AE66" i="13"/>
  <c r="AF66" i="13" s="1"/>
  <c r="AG66" i="13" s="1"/>
  <c r="AE266" i="13"/>
  <c r="AF266" i="13" s="1"/>
  <c r="AG266" i="13" s="1"/>
  <c r="AA274" i="13"/>
  <c r="AE274" i="13" s="1"/>
  <c r="AF274" i="13" s="1"/>
  <c r="AG274" i="13" s="1"/>
  <c r="S271" i="13"/>
  <c r="T271" i="13" s="1"/>
  <c r="AA271" i="13"/>
  <c r="AE271" i="13" s="1"/>
  <c r="AF271" i="13" s="1"/>
  <c r="AG271" i="13" s="1"/>
  <c r="AA69" i="13"/>
  <c r="AA74" i="13"/>
  <c r="AE74" i="13" s="1"/>
  <c r="AF74" i="13" s="1"/>
  <c r="AG74" i="13" s="1"/>
  <c r="AA86" i="13"/>
  <c r="AE86" i="13" s="1"/>
  <c r="AF86" i="13" s="1"/>
  <c r="AG86" i="13" s="1"/>
  <c r="AA216" i="13"/>
  <c r="AE216" i="13" s="1"/>
  <c r="AF216" i="13" s="1"/>
  <c r="AG216" i="13" s="1"/>
  <c r="AA161" i="13"/>
  <c r="AE161" i="13" s="1"/>
  <c r="AF161" i="13" s="1"/>
  <c r="AG161" i="13" s="1"/>
  <c r="AE260" i="13"/>
  <c r="AF260" i="13" s="1"/>
  <c r="AG260" i="13" s="1"/>
  <c r="AA114" i="13"/>
  <c r="AE114" i="13" s="1"/>
  <c r="AF114" i="13" s="1"/>
  <c r="AG114" i="13" s="1"/>
  <c r="S280" i="13"/>
  <c r="T280" i="13" s="1"/>
  <c r="AA280" i="13"/>
  <c r="AE280" i="13" s="1"/>
  <c r="AF280" i="13" s="1"/>
  <c r="AG280" i="13" s="1"/>
  <c r="AA224" i="13"/>
  <c r="AE224" i="13" s="1"/>
  <c r="AF224" i="13" s="1"/>
  <c r="AG224" i="13" s="1"/>
  <c r="AA122" i="13"/>
  <c r="AE122" i="13" s="1"/>
  <c r="AF122" i="13" s="1"/>
  <c r="AG122" i="13" s="1"/>
  <c r="S239" i="13"/>
  <c r="T239" i="13" s="1"/>
  <c r="AA67" i="13"/>
  <c r="AA107" i="13"/>
  <c r="S268" i="13"/>
  <c r="T268" i="13" s="1"/>
  <c r="AA268" i="13"/>
  <c r="AE268" i="13" s="1"/>
  <c r="AF268" i="13" s="1"/>
  <c r="AG268" i="13" s="1"/>
  <c r="AA62" i="13"/>
  <c r="AE62" i="13" s="1"/>
  <c r="AF62" i="13" s="1"/>
  <c r="AG62" i="13" s="1"/>
  <c r="AA154" i="13"/>
  <c r="AE154" i="13" s="1"/>
  <c r="AF154" i="13" s="1"/>
  <c r="AG154" i="13" s="1"/>
  <c r="AA72" i="13"/>
  <c r="AE72" i="13" s="1"/>
  <c r="AF72" i="13" s="1"/>
  <c r="AG72" i="13" s="1"/>
  <c r="AA169" i="13"/>
  <c r="AE169" i="13" s="1"/>
  <c r="AF169" i="13" s="1"/>
  <c r="AG169" i="13" s="1"/>
  <c r="AA250" i="13"/>
  <c r="AA110" i="13"/>
  <c r="AE110" i="13" s="1"/>
  <c r="AF110" i="13" s="1"/>
  <c r="AG110" i="13" s="1"/>
  <c r="S270" i="13"/>
  <c r="T270" i="13" s="1"/>
  <c r="AA270" i="13"/>
  <c r="AE270" i="13" s="1"/>
  <c r="AF270" i="13" s="1"/>
  <c r="AG270" i="13" s="1"/>
  <c r="S59" i="13"/>
  <c r="T59" i="13" s="1"/>
  <c r="AA165" i="13"/>
  <c r="AE165" i="13" s="1"/>
  <c r="AF165" i="13" s="1"/>
  <c r="AG165" i="13" s="1"/>
  <c r="AA277" i="13"/>
  <c r="AE277" i="13" s="1"/>
  <c r="AF277" i="13" s="1"/>
  <c r="AG277" i="13" s="1"/>
  <c r="AA172" i="13"/>
  <c r="AE172" i="13" s="1"/>
  <c r="AF172" i="13" s="1"/>
  <c r="AG172" i="13" s="1"/>
  <c r="AA281" i="13"/>
  <c r="AE281" i="13" s="1"/>
  <c r="AF281" i="13" s="1"/>
  <c r="AG281" i="13" s="1"/>
  <c r="AE269" i="13"/>
  <c r="AF269" i="13" s="1"/>
  <c r="AG269" i="13" s="1"/>
  <c r="AE273" i="13"/>
  <c r="AF273" i="13" s="1"/>
  <c r="AG273" i="13" s="1"/>
  <c r="S197" i="13"/>
  <c r="T197" i="13" s="1"/>
  <c r="S159" i="13"/>
  <c r="T159" i="13" s="1"/>
  <c r="AA106" i="13"/>
  <c r="AE106" i="13" s="1"/>
  <c r="AF106" i="13" s="1"/>
  <c r="AG106" i="13" s="1"/>
  <c r="AA263" i="13"/>
  <c r="AE263" i="13" s="1"/>
  <c r="AF263" i="13" s="1"/>
  <c r="AG263" i="13" s="1"/>
  <c r="AA102" i="13"/>
  <c r="AE102" i="13" s="1"/>
  <c r="AF102" i="13" s="1"/>
  <c r="AG102" i="13" s="1"/>
  <c r="AA103" i="13"/>
  <c r="AE103" i="13" s="1"/>
  <c r="AF103" i="13" s="1"/>
  <c r="AG103" i="13" s="1"/>
  <c r="AA166" i="13"/>
  <c r="AE166" i="13" s="1"/>
  <c r="AF166" i="13" s="1"/>
  <c r="AG166" i="13" s="1"/>
  <c r="AA130" i="13"/>
  <c r="AE130" i="13" s="1"/>
  <c r="AF130" i="13" s="1"/>
  <c r="AG130" i="13" s="1"/>
  <c r="AA98" i="13"/>
  <c r="AE98" i="13" s="1"/>
  <c r="AF98" i="13" s="1"/>
  <c r="AG98" i="13" s="1"/>
  <c r="AA157" i="13"/>
  <c r="AE157" i="13" s="1"/>
  <c r="AF157" i="13" s="1"/>
  <c r="AG157" i="13" s="1"/>
  <c r="AE78" i="13"/>
  <c r="AF78" i="13" s="1"/>
  <c r="AG78" i="13" s="1"/>
  <c r="AA244" i="13"/>
  <c r="AE244" i="13" s="1"/>
  <c r="AF244" i="13" s="1"/>
  <c r="AG244" i="13" s="1"/>
  <c r="AA245" i="13"/>
  <c r="AE115" i="13"/>
  <c r="AF115" i="13" s="1"/>
  <c r="AG115" i="13" s="1"/>
  <c r="AE250" i="13"/>
  <c r="AF250" i="13" s="1"/>
  <c r="AG250" i="13" s="1"/>
  <c r="AE135" i="13"/>
  <c r="AF135" i="13" s="1"/>
  <c r="AG135" i="13" s="1"/>
  <c r="AE134" i="13"/>
  <c r="AF134" i="13" s="1"/>
  <c r="AG134" i="13" s="1"/>
  <c r="AE67" i="13"/>
  <c r="AF67" i="13" s="1"/>
  <c r="AG67" i="13" s="1"/>
  <c r="AA155" i="13"/>
  <c r="AE155" i="13" s="1"/>
  <c r="AF155" i="13" s="1"/>
  <c r="AG155" i="13" s="1"/>
  <c r="S136" i="13"/>
  <c r="T136" i="13" s="1"/>
  <c r="AA147" i="13"/>
  <c r="AE147" i="13" s="1"/>
  <c r="AF147" i="13" s="1"/>
  <c r="AG147" i="13" s="1"/>
  <c r="AA146" i="13"/>
  <c r="AE146" i="13" s="1"/>
  <c r="AF146" i="13" s="1"/>
  <c r="AG146" i="13" s="1"/>
  <c r="AA138" i="13"/>
  <c r="AE138" i="13" s="1"/>
  <c r="AF138" i="13" s="1"/>
  <c r="AG138" i="13" s="1"/>
  <c r="AA151" i="13"/>
  <c r="AE151" i="13" s="1"/>
  <c r="AF151" i="13" s="1"/>
  <c r="AG151" i="13" s="1"/>
  <c r="AA162" i="13"/>
  <c r="AE162" i="13" s="1"/>
  <c r="AF162" i="13" s="1"/>
  <c r="AG162" i="13" s="1"/>
  <c r="AE59" i="13"/>
  <c r="AF59" i="13" s="1"/>
  <c r="AG59" i="13" s="1"/>
  <c r="AE163" i="13"/>
  <c r="AF163" i="13" s="1"/>
  <c r="AG163" i="13" s="1"/>
  <c r="AA128" i="13"/>
  <c r="AE63" i="13"/>
  <c r="AF63" i="13" s="1"/>
  <c r="AG63" i="13" s="1"/>
  <c r="S260" i="13"/>
  <c r="T260" i="13" s="1"/>
  <c r="AE107" i="13"/>
  <c r="AF107" i="13" s="1"/>
  <c r="AG107" i="13" s="1"/>
  <c r="AE143" i="13"/>
  <c r="AF143" i="13" s="1"/>
  <c r="AG143" i="13" s="1"/>
  <c r="AA249" i="13"/>
  <c r="AE249" i="13" s="1"/>
  <c r="AF249" i="13" s="1"/>
  <c r="AG249" i="13" s="1"/>
  <c r="AA95" i="13"/>
  <c r="AE95" i="13" s="1"/>
  <c r="AF95" i="13" s="1"/>
  <c r="AG95" i="13" s="1"/>
  <c r="AE142" i="13"/>
  <c r="AF142" i="13" s="1"/>
  <c r="AG142" i="13" s="1"/>
  <c r="AA150" i="13"/>
  <c r="AE150" i="13" s="1"/>
  <c r="AF150" i="13" s="1"/>
  <c r="AG150" i="13" s="1"/>
  <c r="S143" i="13"/>
  <c r="T143" i="13" s="1"/>
  <c r="AA139" i="13"/>
  <c r="AE139" i="13" s="1"/>
  <c r="AF139" i="13" s="1"/>
  <c r="AG139" i="13" s="1"/>
  <c r="S120" i="13"/>
  <c r="T120" i="13" s="1"/>
  <c r="AA127" i="13"/>
  <c r="AE127" i="13" s="1"/>
  <c r="AF127" i="13" s="1"/>
  <c r="AG127" i="13" s="1"/>
  <c r="S119" i="13"/>
  <c r="T119" i="13" s="1"/>
  <c r="AA60" i="13"/>
  <c r="AE132" i="13"/>
  <c r="AF132" i="13" s="1"/>
  <c r="AG132" i="13" s="1"/>
  <c r="AA91" i="13"/>
  <c r="AE91" i="13" s="1"/>
  <c r="AF91" i="13" s="1"/>
  <c r="AG91" i="13" s="1"/>
  <c r="AA257" i="13"/>
  <c r="AE257" i="13" s="1"/>
  <c r="AF257" i="13" s="1"/>
  <c r="AG257" i="13" s="1"/>
  <c r="S234" i="13"/>
  <c r="T234" i="13" s="1"/>
  <c r="S241" i="13"/>
  <c r="T241" i="13" s="1"/>
  <c r="AA131" i="13"/>
  <c r="AE131" i="13" s="1"/>
  <c r="AF131" i="13" s="1"/>
  <c r="AG131" i="13" s="1"/>
  <c r="AA238" i="13"/>
  <c r="AE238" i="13" s="1"/>
  <c r="AF238" i="13" s="1"/>
  <c r="AG238" i="13" s="1"/>
  <c r="AE261" i="13"/>
  <c r="AF261" i="13" s="1"/>
  <c r="AG261" i="13" s="1"/>
  <c r="AE241" i="13"/>
  <c r="AF241" i="13" s="1"/>
  <c r="AG241" i="13" s="1"/>
  <c r="AA152" i="13"/>
  <c r="AE152" i="13" s="1"/>
  <c r="AF152" i="13" s="1"/>
  <c r="AG152" i="13" s="1"/>
  <c r="AA262" i="13"/>
  <c r="AE262" i="13" s="1"/>
  <c r="AF262" i="13" s="1"/>
  <c r="AG262" i="13" s="1"/>
  <c r="AA158" i="13"/>
  <c r="AE158" i="13" s="1"/>
  <c r="AF158" i="13" s="1"/>
  <c r="AG158" i="13" s="1"/>
  <c r="AA258" i="13"/>
  <c r="AE258" i="13" s="1"/>
  <c r="AF258" i="13" s="1"/>
  <c r="AG258" i="13" s="1"/>
  <c r="AE234" i="13"/>
  <c r="AF234" i="13" s="1"/>
  <c r="AG234" i="13" s="1"/>
  <c r="AA265" i="13"/>
  <c r="AE265" i="13" s="1"/>
  <c r="AF265" i="13" s="1"/>
  <c r="AG265" i="13" s="1"/>
  <c r="AA83" i="13"/>
  <c r="AE83" i="13" s="1"/>
  <c r="AF83" i="13" s="1"/>
  <c r="AG83" i="13" s="1"/>
  <c r="S132" i="13"/>
  <c r="T132" i="13" s="1"/>
  <c r="AA124" i="13"/>
  <c r="S104" i="13"/>
  <c r="T104" i="13" s="1"/>
  <c r="S96" i="13"/>
  <c r="T96" i="13" s="1"/>
  <c r="AA144" i="13"/>
  <c r="AE144" i="13" s="1"/>
  <c r="AF144" i="13" s="1"/>
  <c r="AG144" i="13" s="1"/>
  <c r="AA52" i="13"/>
  <c r="AE52" i="13" s="1"/>
  <c r="AF52" i="13" s="1"/>
  <c r="AG52" i="13" s="1"/>
  <c r="AA173" i="13"/>
  <c r="AE173" i="13" s="1"/>
  <c r="AF173" i="13" s="1"/>
  <c r="AG173" i="13" s="1"/>
  <c r="AA246" i="13"/>
  <c r="AE246" i="13" s="1"/>
  <c r="AF246" i="13" s="1"/>
  <c r="AG246" i="13" s="1"/>
  <c r="S261" i="13"/>
  <c r="T261" i="13" s="1"/>
  <c r="S75" i="13"/>
  <c r="T75" i="13" s="1"/>
  <c r="AA75" i="13"/>
  <c r="AE75" i="13" s="1"/>
  <c r="AF75" i="13" s="1"/>
  <c r="AG75" i="13" s="1"/>
  <c r="AE119" i="13"/>
  <c r="AF119" i="13" s="1"/>
  <c r="AG119" i="13" s="1"/>
  <c r="S163" i="13"/>
  <c r="T163" i="13" s="1"/>
  <c r="AE124" i="13"/>
  <c r="AF124" i="13" s="1"/>
  <c r="AG124" i="13" s="1"/>
  <c r="AA99" i="13"/>
  <c r="AE99" i="13" s="1"/>
  <c r="AF99" i="13" s="1"/>
  <c r="AG99" i="13" s="1"/>
  <c r="AE245" i="13"/>
  <c r="AF245" i="13" s="1"/>
  <c r="AG245" i="13" s="1"/>
  <c r="AA100" i="13"/>
  <c r="AE100" i="13" s="1"/>
  <c r="AF100" i="13" s="1"/>
  <c r="AG100" i="13" s="1"/>
  <c r="AA112" i="13"/>
  <c r="AE112" i="13" s="1"/>
  <c r="AF112" i="13" s="1"/>
  <c r="AG112" i="13" s="1"/>
  <c r="S64" i="13"/>
  <c r="T64" i="13" s="1"/>
  <c r="AA247" i="13"/>
  <c r="AE247" i="13" s="1"/>
  <c r="AF247" i="13" s="1"/>
  <c r="AG247" i="13" s="1"/>
  <c r="AE254" i="13"/>
  <c r="AF254" i="13" s="1"/>
  <c r="AG254" i="13" s="1"/>
  <c r="AA88" i="13"/>
  <c r="AE88" i="13" s="1"/>
  <c r="AF88" i="13" s="1"/>
  <c r="AG88" i="13" s="1"/>
  <c r="S253" i="13"/>
  <c r="T253" i="13" s="1"/>
  <c r="AA253" i="13"/>
  <c r="AE253" i="13" s="1"/>
  <c r="AF253" i="13" s="1"/>
  <c r="AG253" i="13" s="1"/>
  <c r="AA227" i="13"/>
  <c r="AE227" i="13" s="1"/>
  <c r="AF227" i="13" s="1"/>
  <c r="AG227" i="13" s="1"/>
  <c r="S148" i="13"/>
  <c r="T148" i="13" s="1"/>
  <c r="S170" i="13"/>
  <c r="T170" i="13" s="1"/>
  <c r="AA235" i="13"/>
  <c r="AE235" i="13" s="1"/>
  <c r="AF235" i="13" s="1"/>
  <c r="AG235" i="13" s="1"/>
  <c r="AA243" i="13"/>
  <c r="AE243" i="13" s="1"/>
  <c r="AF243" i="13" s="1"/>
  <c r="AG243" i="13" s="1"/>
  <c r="AA255" i="13"/>
  <c r="AE255" i="13" s="1"/>
  <c r="AF255" i="13" s="1"/>
  <c r="AG255" i="13" s="1"/>
  <c r="AA111" i="13"/>
  <c r="AE111" i="13" s="1"/>
  <c r="AF111" i="13" s="1"/>
  <c r="AG111" i="13" s="1"/>
  <c r="AA256" i="13"/>
  <c r="AE256" i="13" s="1"/>
  <c r="AF256" i="13" s="1"/>
  <c r="AG256" i="13" s="1"/>
  <c r="AE242" i="13"/>
  <c r="AF242" i="13" s="1"/>
  <c r="AG242" i="13" s="1"/>
  <c r="S55" i="13"/>
  <c r="T55" i="13" s="1"/>
  <c r="AA55" i="13"/>
  <c r="AE55" i="13" s="1"/>
  <c r="AF55" i="13" s="1"/>
  <c r="AG55" i="13" s="1"/>
  <c r="AE120" i="13"/>
  <c r="AF120" i="13" s="1"/>
  <c r="AG120" i="13" s="1"/>
  <c r="AE64" i="13"/>
  <c r="AF64" i="13" s="1"/>
  <c r="AG64" i="13" s="1"/>
  <c r="AE136" i="13"/>
  <c r="AF136" i="13" s="1"/>
  <c r="AG136" i="13" s="1"/>
  <c r="S237" i="13"/>
  <c r="T237" i="13" s="1"/>
  <c r="AA237" i="13"/>
  <c r="AE237" i="13" s="1"/>
  <c r="AF237" i="13" s="1"/>
  <c r="AG237" i="13" s="1"/>
  <c r="AA87" i="13"/>
  <c r="AE87" i="13" s="1"/>
  <c r="AF87" i="13" s="1"/>
  <c r="AG87" i="13" s="1"/>
  <c r="AA116" i="13"/>
  <c r="AE116" i="13" s="1"/>
  <c r="AF116" i="13" s="1"/>
  <c r="AG116" i="13" s="1"/>
  <c r="AE148" i="13"/>
  <c r="AF148" i="13" s="1"/>
  <c r="AG148" i="13" s="1"/>
  <c r="AE170" i="13"/>
  <c r="AF170" i="13" s="1"/>
  <c r="AG170" i="13" s="1"/>
  <c r="S167" i="13"/>
  <c r="T167" i="13" s="1"/>
  <c r="AA92" i="13"/>
  <c r="AE92" i="13" s="1"/>
  <c r="AF92" i="13" s="1"/>
  <c r="AG92" i="13" s="1"/>
  <c r="AA140" i="13"/>
  <c r="AE140" i="13" s="1"/>
  <c r="AF140" i="13" s="1"/>
  <c r="AG140" i="13" s="1"/>
  <c r="AA251" i="13"/>
  <c r="AE251" i="13" s="1"/>
  <c r="AF251" i="13" s="1"/>
  <c r="AG251" i="13" s="1"/>
  <c r="AA259" i="13"/>
  <c r="AE259" i="13" s="1"/>
  <c r="AF259" i="13" s="1"/>
  <c r="AG259" i="13" s="1"/>
  <c r="S248" i="13"/>
  <c r="T248" i="13" s="1"/>
  <c r="AA248" i="13"/>
  <c r="AE248" i="13" s="1"/>
  <c r="AF248" i="13" s="1"/>
  <c r="AG248" i="13" s="1"/>
  <c r="S236" i="13"/>
  <c r="T236" i="13" s="1"/>
  <c r="AA236" i="13"/>
  <c r="AE236" i="13" s="1"/>
  <c r="AF236" i="13" s="1"/>
  <c r="AG236" i="13" s="1"/>
  <c r="AE240" i="13"/>
  <c r="AF240" i="13" s="1"/>
  <c r="AG240" i="13" s="1"/>
  <c r="S252" i="13"/>
  <c r="T252" i="13" s="1"/>
  <c r="AA252" i="13"/>
  <c r="AE252" i="13" s="1"/>
  <c r="AF252" i="13" s="1"/>
  <c r="AG252" i="13" s="1"/>
  <c r="AA177" i="13"/>
  <c r="AE177" i="13" s="1"/>
  <c r="AF177" i="13" s="1"/>
  <c r="AG177" i="13" s="1"/>
  <c r="AA79" i="13"/>
  <c r="AE79" i="13" s="1"/>
  <c r="AF79" i="13" s="1"/>
  <c r="AG79" i="13" s="1"/>
  <c r="AA68" i="13"/>
  <c r="AE68" i="13" s="1"/>
  <c r="AF68" i="13" s="1"/>
  <c r="AG68" i="13" s="1"/>
  <c r="AE60" i="13"/>
  <c r="AF60" i="13" s="1"/>
  <c r="AG60" i="13" s="1"/>
  <c r="S264" i="13"/>
  <c r="T264" i="13" s="1"/>
  <c r="AA264" i="13"/>
  <c r="AE264" i="13" s="1"/>
  <c r="AF264" i="13" s="1"/>
  <c r="AG264" i="13" s="1"/>
  <c r="S56" i="13"/>
  <c r="T56" i="13" s="1"/>
  <c r="AA56" i="13"/>
  <c r="AE56" i="13" s="1"/>
  <c r="AF56" i="13" s="1"/>
  <c r="AG56" i="13" s="1"/>
  <c r="AA288" i="13"/>
  <c r="AE288" i="13" s="1"/>
  <c r="AF288" i="13" s="1"/>
  <c r="AG288" i="13" s="1"/>
  <c r="AA190" i="13"/>
  <c r="AE190" i="13" s="1"/>
  <c r="AF190" i="13" s="1"/>
  <c r="AG190" i="13" s="1"/>
  <c r="AA183" i="13"/>
  <c r="AE183" i="13" s="1"/>
  <c r="AF183" i="13" s="1"/>
  <c r="AG183" i="13" s="1"/>
  <c r="S217" i="13"/>
  <c r="T217" i="13" s="1"/>
  <c r="AE69" i="13"/>
  <c r="AF69" i="13" s="1"/>
  <c r="AG69" i="13" s="1"/>
  <c r="AE96" i="13"/>
  <c r="AF96" i="13" s="1"/>
  <c r="AG96" i="13" s="1"/>
  <c r="AE128" i="13"/>
  <c r="AF128" i="13" s="1"/>
  <c r="AG128" i="13" s="1"/>
  <c r="AE159" i="13"/>
  <c r="AF159" i="13" s="1"/>
  <c r="AG159" i="13" s="1"/>
  <c r="AA108" i="13"/>
  <c r="AE108" i="13" s="1"/>
  <c r="AF108" i="13" s="1"/>
  <c r="AG108" i="13" s="1"/>
  <c r="AE104" i="13"/>
  <c r="AF104" i="13" s="1"/>
  <c r="AG104" i="13" s="1"/>
  <c r="S76" i="13"/>
  <c r="T76" i="13" s="1"/>
  <c r="AA76" i="13"/>
  <c r="AE76" i="13" s="1"/>
  <c r="AF76" i="13" s="1"/>
  <c r="AG76" i="13" s="1"/>
  <c r="AE239" i="13"/>
  <c r="AF239" i="13" s="1"/>
  <c r="AG239" i="13" s="1"/>
  <c r="AA221" i="13"/>
  <c r="AE221" i="13" s="1"/>
  <c r="AF221" i="13" s="1"/>
  <c r="AG221" i="13" s="1"/>
  <c r="AE167" i="13"/>
  <c r="AF167" i="13" s="1"/>
  <c r="AG167" i="13" s="1"/>
  <c r="AA70" i="13"/>
  <c r="AE70" i="13" s="1"/>
  <c r="AF70" i="13" s="1"/>
  <c r="AG70" i="13" s="1"/>
  <c r="AA84" i="13"/>
  <c r="AE84" i="13" s="1"/>
  <c r="AF84" i="13" s="1"/>
  <c r="AG84" i="13" s="1"/>
  <c r="S85" i="13"/>
  <c r="T85" i="13" s="1"/>
  <c r="AA85" i="13"/>
  <c r="AE85" i="13" s="1"/>
  <c r="AF85" i="13" s="1"/>
  <c r="AG85" i="13" s="1"/>
  <c r="S105" i="13"/>
  <c r="T105" i="13" s="1"/>
  <c r="AA105" i="13"/>
  <c r="AE105" i="13" s="1"/>
  <c r="AF105" i="13" s="1"/>
  <c r="AG105" i="13" s="1"/>
  <c r="S121" i="13"/>
  <c r="T121" i="13" s="1"/>
  <c r="AA121" i="13"/>
  <c r="AE121" i="13" s="1"/>
  <c r="AF121" i="13" s="1"/>
  <c r="AG121" i="13" s="1"/>
  <c r="S141" i="13"/>
  <c r="T141" i="13" s="1"/>
  <c r="AA141" i="13"/>
  <c r="AE141" i="13" s="1"/>
  <c r="AF141" i="13" s="1"/>
  <c r="AG141" i="13" s="1"/>
  <c r="S168" i="13"/>
  <c r="T168" i="13" s="1"/>
  <c r="AA168" i="13"/>
  <c r="AE168" i="13" s="1"/>
  <c r="AF168" i="13" s="1"/>
  <c r="AG168" i="13" s="1"/>
  <c r="S53" i="13"/>
  <c r="T53" i="13" s="1"/>
  <c r="AA53" i="13"/>
  <c r="AE53" i="13" s="1"/>
  <c r="AF53" i="13" s="1"/>
  <c r="AG53" i="13" s="1"/>
  <c r="S97" i="13"/>
  <c r="T97" i="13" s="1"/>
  <c r="AA97" i="13"/>
  <c r="AE97" i="13" s="1"/>
  <c r="AF97" i="13" s="1"/>
  <c r="AG97" i="13" s="1"/>
  <c r="S145" i="13"/>
  <c r="T145" i="13" s="1"/>
  <c r="AA145" i="13"/>
  <c r="AE145" i="13" s="1"/>
  <c r="AF145" i="13" s="1"/>
  <c r="AG145" i="13" s="1"/>
  <c r="S164" i="13"/>
  <c r="T164" i="13" s="1"/>
  <c r="AA164" i="13"/>
  <c r="AE164" i="13" s="1"/>
  <c r="AF164" i="13" s="1"/>
  <c r="AG164" i="13" s="1"/>
  <c r="AA181" i="13"/>
  <c r="AE181" i="13" s="1"/>
  <c r="AF181" i="13" s="1"/>
  <c r="AG181" i="13" s="1"/>
  <c r="AA71" i="13"/>
  <c r="AE71" i="13" s="1"/>
  <c r="AF71" i="13" s="1"/>
  <c r="AG71" i="13" s="1"/>
  <c r="AA73" i="13"/>
  <c r="AE73" i="13" s="1"/>
  <c r="AF73" i="13" s="1"/>
  <c r="AG73" i="13" s="1"/>
  <c r="AA81" i="13"/>
  <c r="AE81" i="13" s="1"/>
  <c r="AF81" i="13" s="1"/>
  <c r="AG81" i="13" s="1"/>
  <c r="S93" i="13"/>
  <c r="T93" i="13" s="1"/>
  <c r="AA93" i="13"/>
  <c r="AE93" i="13" s="1"/>
  <c r="AF93" i="13" s="1"/>
  <c r="AG93" i="13" s="1"/>
  <c r="S113" i="13"/>
  <c r="T113" i="13" s="1"/>
  <c r="AA113" i="13"/>
  <c r="AE113" i="13" s="1"/>
  <c r="AF113" i="13" s="1"/>
  <c r="AG113" i="13" s="1"/>
  <c r="S133" i="13"/>
  <c r="T133" i="13" s="1"/>
  <c r="AA133" i="13"/>
  <c r="AE133" i="13" s="1"/>
  <c r="AF133" i="13" s="1"/>
  <c r="AG133" i="13" s="1"/>
  <c r="S153" i="13"/>
  <c r="T153" i="13" s="1"/>
  <c r="AA153" i="13"/>
  <c r="AE153" i="13" s="1"/>
  <c r="AF153" i="13" s="1"/>
  <c r="AG153" i="13" s="1"/>
  <c r="S65" i="13"/>
  <c r="T65" i="13" s="1"/>
  <c r="AA65" i="13"/>
  <c r="AE65" i="13" s="1"/>
  <c r="AF65" i="13" s="1"/>
  <c r="AG65" i="13" s="1"/>
  <c r="S61" i="13"/>
  <c r="T61" i="13" s="1"/>
  <c r="AA61" i="13"/>
  <c r="AE61" i="13" s="1"/>
  <c r="AF61" i="13" s="1"/>
  <c r="AG61" i="13" s="1"/>
  <c r="S77" i="13"/>
  <c r="T77" i="13" s="1"/>
  <c r="AA77" i="13"/>
  <c r="AE77" i="13" s="1"/>
  <c r="AF77" i="13" s="1"/>
  <c r="AG77" i="13" s="1"/>
  <c r="S89" i="13"/>
  <c r="T89" i="13" s="1"/>
  <c r="AA89" i="13"/>
  <c r="AE89" i="13" s="1"/>
  <c r="AF89" i="13" s="1"/>
  <c r="AG89" i="13" s="1"/>
  <c r="S109" i="13"/>
  <c r="T109" i="13" s="1"/>
  <c r="AA109" i="13"/>
  <c r="AE109" i="13" s="1"/>
  <c r="AF109" i="13" s="1"/>
  <c r="AG109" i="13" s="1"/>
  <c r="S125" i="13"/>
  <c r="T125" i="13" s="1"/>
  <c r="AA125" i="13"/>
  <c r="AE125" i="13" s="1"/>
  <c r="AF125" i="13" s="1"/>
  <c r="AG125" i="13" s="1"/>
  <c r="S149" i="13"/>
  <c r="T149" i="13" s="1"/>
  <c r="AA149" i="13"/>
  <c r="AE149" i="13" s="1"/>
  <c r="AF149" i="13" s="1"/>
  <c r="AG149" i="13" s="1"/>
  <c r="AA30" i="13"/>
  <c r="AE30" i="13" s="1"/>
  <c r="AF30" i="13" s="1"/>
  <c r="AG30" i="13" s="1"/>
  <c r="S129" i="13"/>
  <c r="T129" i="13" s="1"/>
  <c r="AA129" i="13"/>
  <c r="AE129" i="13" s="1"/>
  <c r="AF129" i="13" s="1"/>
  <c r="AG129" i="13" s="1"/>
  <c r="S156" i="13"/>
  <c r="T156" i="13" s="1"/>
  <c r="AA156" i="13"/>
  <c r="AE156" i="13" s="1"/>
  <c r="AF156" i="13" s="1"/>
  <c r="AG156" i="13" s="1"/>
  <c r="S171" i="13"/>
  <c r="T171" i="13" s="1"/>
  <c r="AA171" i="13"/>
  <c r="AE171" i="13" s="1"/>
  <c r="AF171" i="13" s="1"/>
  <c r="AG171" i="13" s="1"/>
  <c r="S57" i="13"/>
  <c r="T57" i="13" s="1"/>
  <c r="AA57" i="13"/>
  <c r="AE57" i="13" s="1"/>
  <c r="AF57" i="13" s="1"/>
  <c r="AG57" i="13" s="1"/>
  <c r="S101" i="13"/>
  <c r="T101" i="13" s="1"/>
  <c r="AA101" i="13"/>
  <c r="AE101" i="13" s="1"/>
  <c r="AF101" i="13" s="1"/>
  <c r="AG101" i="13" s="1"/>
  <c r="S117" i="13"/>
  <c r="T117" i="13" s="1"/>
  <c r="AA117" i="13"/>
  <c r="AE117" i="13" s="1"/>
  <c r="AF117" i="13" s="1"/>
  <c r="AG117" i="13" s="1"/>
  <c r="S137" i="13"/>
  <c r="T137" i="13" s="1"/>
  <c r="AA137" i="13"/>
  <c r="AE137" i="13" s="1"/>
  <c r="AF137" i="13" s="1"/>
  <c r="AG137" i="13" s="1"/>
  <c r="S160" i="13"/>
  <c r="T160" i="13" s="1"/>
  <c r="AA160" i="13"/>
  <c r="AE160" i="13" s="1"/>
  <c r="AF160" i="13" s="1"/>
  <c r="AG160" i="13" s="1"/>
  <c r="AA80" i="13"/>
  <c r="AE80" i="13" s="1"/>
  <c r="AF80" i="13" s="1"/>
  <c r="AG80" i="13" s="1"/>
  <c r="AA202" i="13"/>
  <c r="AE202" i="13" s="1"/>
  <c r="AF202" i="13" s="1"/>
  <c r="AG202" i="13" s="1"/>
  <c r="AE197" i="13"/>
  <c r="AF197" i="13" s="1"/>
  <c r="AG197" i="13" s="1"/>
  <c r="AA206" i="13"/>
  <c r="AE206" i="13" s="1"/>
  <c r="AF206" i="13" s="1"/>
  <c r="AG206" i="13" s="1"/>
  <c r="AA231" i="13"/>
  <c r="AE231" i="13" s="1"/>
  <c r="AF231" i="13" s="1"/>
  <c r="AG231" i="13" s="1"/>
  <c r="S207" i="13"/>
  <c r="T207" i="13" s="1"/>
  <c r="AA193" i="13"/>
  <c r="AE193" i="13" s="1"/>
  <c r="AF193" i="13" s="1"/>
  <c r="AG193" i="13" s="1"/>
  <c r="S187" i="13"/>
  <c r="T187" i="13" s="1"/>
  <c r="AA21" i="13"/>
  <c r="AE21" i="13" s="1"/>
  <c r="AF21" i="13" s="1"/>
  <c r="AG21" i="13" s="1"/>
  <c r="AA182" i="13"/>
  <c r="AE182" i="13" s="1"/>
  <c r="AF182" i="13" s="1"/>
  <c r="AG182" i="13" s="1"/>
  <c r="AE217" i="13"/>
  <c r="AF217" i="13" s="1"/>
  <c r="AG217" i="13" s="1"/>
  <c r="AA201" i="13"/>
  <c r="AE201" i="13" s="1"/>
  <c r="AF201" i="13" s="1"/>
  <c r="AG201" i="13" s="1"/>
  <c r="AE175" i="13"/>
  <c r="AF175" i="13" s="1"/>
  <c r="AG175" i="13" s="1"/>
  <c r="AA225" i="13"/>
  <c r="AE225" i="13" s="1"/>
  <c r="AF225" i="13" s="1"/>
  <c r="AG225" i="13" s="1"/>
  <c r="AA191" i="13"/>
  <c r="AE191" i="13" s="1"/>
  <c r="AF191" i="13" s="1"/>
  <c r="AG191" i="13" s="1"/>
  <c r="AE187" i="13"/>
  <c r="AF187" i="13" s="1"/>
  <c r="AG187" i="13" s="1"/>
  <c r="S29" i="13"/>
  <c r="T29" i="13" s="1"/>
  <c r="AA208" i="13"/>
  <c r="AE208" i="13" s="1"/>
  <c r="AF208" i="13" s="1"/>
  <c r="AG208" i="13" s="1"/>
  <c r="AA18" i="13"/>
  <c r="AE18" i="13" s="1"/>
  <c r="AF18" i="13" s="1"/>
  <c r="AG18" i="13" s="1"/>
  <c r="AA209" i="13"/>
  <c r="AE209" i="13" s="1"/>
  <c r="AF209" i="13" s="1"/>
  <c r="AG209" i="13" s="1"/>
  <c r="S179" i="13"/>
  <c r="T179" i="13" s="1"/>
  <c r="AA185" i="13"/>
  <c r="AE185" i="13" s="1"/>
  <c r="AF185" i="13" s="1"/>
  <c r="AG185" i="13" s="1"/>
  <c r="AA189" i="13"/>
  <c r="AE189" i="13" s="1"/>
  <c r="AF189" i="13" s="1"/>
  <c r="AG189" i="13" s="1"/>
  <c r="S175" i="13"/>
  <c r="T175" i="13" s="1"/>
  <c r="AA174" i="13"/>
  <c r="AE174" i="13" s="1"/>
  <c r="AF174" i="13" s="1"/>
  <c r="AG174" i="13" s="1"/>
  <c r="AA211" i="13"/>
  <c r="AE211" i="13" s="1"/>
  <c r="AF211" i="13" s="1"/>
  <c r="AG211" i="13" s="1"/>
  <c r="AA26" i="13"/>
  <c r="AE26" i="13" s="1"/>
  <c r="AF26" i="13" s="1"/>
  <c r="AG26" i="13" s="1"/>
  <c r="AA220" i="13"/>
  <c r="AE220" i="13" s="1"/>
  <c r="AF220" i="13" s="1"/>
  <c r="AG220" i="13" s="1"/>
  <c r="AE205" i="13"/>
  <c r="AF205" i="13" s="1"/>
  <c r="AG205" i="13" s="1"/>
  <c r="AA229" i="13"/>
  <c r="AE229" i="13" s="1"/>
  <c r="AF229" i="13" s="1"/>
  <c r="AG229" i="13" s="1"/>
  <c r="AE204" i="13"/>
  <c r="AF204" i="13" s="1"/>
  <c r="AG204" i="13" s="1"/>
  <c r="S38" i="13"/>
  <c r="T38" i="13" s="1"/>
  <c r="AA198" i="13"/>
  <c r="AE198" i="13" s="1"/>
  <c r="AF198" i="13" s="1"/>
  <c r="AG198" i="13" s="1"/>
  <c r="AE207" i="13"/>
  <c r="AF207" i="13" s="1"/>
  <c r="AG207" i="13" s="1"/>
  <c r="AA215" i="13"/>
  <c r="AE215" i="13" s="1"/>
  <c r="AF215" i="13" s="1"/>
  <c r="AG215" i="13" s="1"/>
  <c r="AA199" i="13"/>
  <c r="AE199" i="13" s="1"/>
  <c r="AF199" i="13" s="1"/>
  <c r="AG199" i="13" s="1"/>
  <c r="AA35" i="13"/>
  <c r="AE35" i="13" s="1"/>
  <c r="AF35" i="13" s="1"/>
  <c r="AG35" i="13" s="1"/>
  <c r="AE11" i="13"/>
  <c r="AF11" i="13" s="1"/>
  <c r="AG11" i="13" s="1"/>
  <c r="S203" i="13"/>
  <c r="T203" i="13" s="1"/>
  <c r="AA203" i="13"/>
  <c r="AE203" i="13" s="1"/>
  <c r="AF203" i="13" s="1"/>
  <c r="AG203" i="13" s="1"/>
  <c r="S13" i="13"/>
  <c r="T13" i="13" s="1"/>
  <c r="S22" i="13"/>
  <c r="T22" i="13" s="1"/>
  <c r="AA25" i="13"/>
  <c r="AE25" i="13" s="1"/>
  <c r="AF25" i="13" s="1"/>
  <c r="AG25" i="13" s="1"/>
  <c r="AA45" i="13"/>
  <c r="AE45" i="13" s="1"/>
  <c r="AF45" i="13" s="1"/>
  <c r="AG45" i="13" s="1"/>
  <c r="S286" i="13"/>
  <c r="T286" i="13" s="1"/>
  <c r="AA213" i="13"/>
  <c r="AE213" i="13" s="1"/>
  <c r="AF213" i="13" s="1"/>
  <c r="AG213" i="13" s="1"/>
  <c r="AA178" i="13"/>
  <c r="AE178" i="13" s="1"/>
  <c r="AF178" i="13" s="1"/>
  <c r="AG178" i="13" s="1"/>
  <c r="AE13" i="13"/>
  <c r="AF13" i="13" s="1"/>
  <c r="AG13" i="13" s="1"/>
  <c r="AA195" i="13"/>
  <c r="AE195" i="13" s="1"/>
  <c r="AF195" i="13" s="1"/>
  <c r="AG195" i="13" s="1"/>
  <c r="AA292" i="13"/>
  <c r="AE292" i="13" s="1"/>
  <c r="AF292" i="13" s="1"/>
  <c r="AG292" i="13" s="1"/>
  <c r="AA196" i="13"/>
  <c r="AE196" i="13" s="1"/>
  <c r="AF196" i="13" s="1"/>
  <c r="AG196" i="13" s="1"/>
  <c r="AA186" i="13"/>
  <c r="AE186" i="13" s="1"/>
  <c r="AF186" i="13" s="1"/>
  <c r="AG186" i="13" s="1"/>
  <c r="AA210" i="13"/>
  <c r="AE210" i="13" s="1"/>
  <c r="AF210" i="13" s="1"/>
  <c r="AG210" i="13" s="1"/>
  <c r="S41" i="13"/>
  <c r="T41" i="13" s="1"/>
  <c r="AA33" i="13"/>
  <c r="AE33" i="13" s="1"/>
  <c r="AF33" i="13" s="1"/>
  <c r="AG33" i="13" s="1"/>
  <c r="AA34" i="13"/>
  <c r="AE34" i="13" s="1"/>
  <c r="AF34" i="13" s="1"/>
  <c r="AG34" i="13" s="1"/>
  <c r="S285" i="13"/>
  <c r="T285" i="13" s="1"/>
  <c r="AA200" i="13"/>
  <c r="AE200" i="13" s="1"/>
  <c r="AF200" i="13" s="1"/>
  <c r="AG200" i="13" s="1"/>
  <c r="AA219" i="13"/>
  <c r="AE219" i="13" s="1"/>
  <c r="AF219" i="13" s="1"/>
  <c r="AG219" i="13" s="1"/>
  <c r="S223" i="13"/>
  <c r="T223" i="13" s="1"/>
  <c r="AA223" i="13"/>
  <c r="AE223" i="13" s="1"/>
  <c r="AF223" i="13" s="1"/>
  <c r="AG223" i="13" s="1"/>
  <c r="S232" i="13"/>
  <c r="T232" i="13" s="1"/>
  <c r="AA232" i="13"/>
  <c r="AE232" i="13" s="1"/>
  <c r="AF232" i="13" s="1"/>
  <c r="AG232" i="13" s="1"/>
  <c r="S176" i="13"/>
  <c r="T176" i="13" s="1"/>
  <c r="AA176" i="13"/>
  <c r="AE176" i="13" s="1"/>
  <c r="AF176" i="13" s="1"/>
  <c r="AG176" i="13" s="1"/>
  <c r="S192" i="13"/>
  <c r="T192" i="13" s="1"/>
  <c r="AA192" i="13"/>
  <c r="AE192" i="13" s="1"/>
  <c r="AF192" i="13" s="1"/>
  <c r="AG192" i="13" s="1"/>
  <c r="S184" i="13"/>
  <c r="T184" i="13" s="1"/>
  <c r="AA184" i="13"/>
  <c r="AE184" i="13" s="1"/>
  <c r="AF184" i="13" s="1"/>
  <c r="AG184" i="13" s="1"/>
  <c r="AA37" i="13"/>
  <c r="AE37" i="13" s="1"/>
  <c r="AF37" i="13" s="1"/>
  <c r="AG37" i="13" s="1"/>
  <c r="AE290" i="13"/>
  <c r="AF290" i="13" s="1"/>
  <c r="AG290" i="13" s="1"/>
  <c r="S228" i="13"/>
  <c r="T228" i="13" s="1"/>
  <c r="AA228" i="13"/>
  <c r="AE228" i="13" s="1"/>
  <c r="AF228" i="13" s="1"/>
  <c r="AG228" i="13" s="1"/>
  <c r="S180" i="13"/>
  <c r="T180" i="13" s="1"/>
  <c r="AA180" i="13"/>
  <c r="AE180" i="13" s="1"/>
  <c r="AF180" i="13" s="1"/>
  <c r="AG180" i="13" s="1"/>
  <c r="AA50" i="13"/>
  <c r="AE50" i="13" s="1"/>
  <c r="AF50" i="13" s="1"/>
  <c r="AG50" i="13" s="1"/>
  <c r="S23" i="13"/>
  <c r="T23" i="13" s="1"/>
  <c r="AE291" i="13"/>
  <c r="AF291" i="13" s="1"/>
  <c r="AG291" i="13" s="1"/>
  <c r="AE188" i="13"/>
  <c r="AF188" i="13" s="1"/>
  <c r="AG188" i="13" s="1"/>
  <c r="AE179" i="13"/>
  <c r="AF179" i="13" s="1"/>
  <c r="AG179" i="13" s="1"/>
  <c r="AA16" i="13"/>
  <c r="AE16" i="13" s="1"/>
  <c r="AF16" i="13" s="1"/>
  <c r="AG16" i="13" s="1"/>
  <c r="S214" i="13"/>
  <c r="T214" i="13" s="1"/>
  <c r="AA214" i="13"/>
  <c r="AE214" i="13" s="1"/>
  <c r="AF214" i="13" s="1"/>
  <c r="AG214" i="13" s="1"/>
  <c r="AE22" i="13"/>
  <c r="AF22" i="13" s="1"/>
  <c r="AG22" i="13" s="1"/>
  <c r="AA49" i="13"/>
  <c r="AE49" i="13" s="1"/>
  <c r="AF49" i="13" s="1"/>
  <c r="AG49" i="13" s="1"/>
  <c r="S283" i="13"/>
  <c r="T283" i="13" s="1"/>
  <c r="AA194" i="13"/>
  <c r="AE194" i="13" s="1"/>
  <c r="AF194" i="13" s="1"/>
  <c r="AG194" i="13" s="1"/>
  <c r="S212" i="13"/>
  <c r="T212" i="13" s="1"/>
  <c r="AA212" i="13"/>
  <c r="AE212" i="13" s="1"/>
  <c r="AF212" i="13" s="1"/>
  <c r="AG212" i="13" s="1"/>
  <c r="AA282" i="13"/>
  <c r="AE282" i="13" s="1"/>
  <c r="AF282" i="13" s="1"/>
  <c r="AG282" i="13" s="1"/>
  <c r="AE283" i="13"/>
  <c r="AF283" i="13" s="1"/>
  <c r="AG283" i="13" s="1"/>
  <c r="W178" i="13"/>
  <c r="W194" i="13"/>
  <c r="AE226" i="13"/>
  <c r="AF226" i="13" s="1"/>
  <c r="AG226" i="13" s="1"/>
  <c r="W182" i="13"/>
  <c r="W198" i="13"/>
  <c r="W212" i="13"/>
  <c r="W186" i="13"/>
  <c r="W202" i="13"/>
  <c r="W214" i="13"/>
  <c r="AE222" i="13"/>
  <c r="AF222" i="13" s="1"/>
  <c r="AG222" i="13" s="1"/>
  <c r="W174" i="13"/>
  <c r="W190" i="13"/>
  <c r="W206" i="13"/>
  <c r="W218" i="13"/>
  <c r="AE218" i="13"/>
  <c r="AF218" i="13" s="1"/>
  <c r="AG218" i="13" s="1"/>
  <c r="S230" i="13"/>
  <c r="T230" i="13" s="1"/>
  <c r="AA230" i="13"/>
  <c r="AE230" i="13" s="1"/>
  <c r="AF230" i="13" s="1"/>
  <c r="AG230" i="13" s="1"/>
  <c r="AE47" i="13"/>
  <c r="AF47" i="13" s="1"/>
  <c r="AG47" i="13" s="1"/>
  <c r="AE15" i="13"/>
  <c r="AF15" i="13" s="1"/>
  <c r="AG15" i="13" s="1"/>
  <c r="AE286" i="13"/>
  <c r="AF286" i="13" s="1"/>
  <c r="AG286" i="13" s="1"/>
  <c r="AA289" i="13"/>
  <c r="AE289" i="13" s="1"/>
  <c r="AF289" i="13" s="1"/>
  <c r="AG289" i="13" s="1"/>
  <c r="AE51" i="13"/>
  <c r="AF51" i="13" s="1"/>
  <c r="AG51" i="13" s="1"/>
  <c r="AE296" i="13"/>
  <c r="AF296" i="13" s="1"/>
  <c r="AG296" i="13" s="1"/>
  <c r="AA39" i="13"/>
  <c r="AE39" i="13" s="1"/>
  <c r="AF39" i="13" s="1"/>
  <c r="AG39" i="13" s="1"/>
  <c r="AE285" i="13"/>
  <c r="AF285" i="13" s="1"/>
  <c r="AG285" i="13" s="1"/>
  <c r="AA295" i="13"/>
  <c r="AE295" i="13" s="1"/>
  <c r="AF295" i="13" s="1"/>
  <c r="AG295" i="13" s="1"/>
  <c r="AE41" i="13"/>
  <c r="AF41" i="13" s="1"/>
  <c r="AG41" i="13" s="1"/>
  <c r="S47" i="13"/>
  <c r="T47" i="13" s="1"/>
  <c r="S296" i="13"/>
  <c r="T296" i="13" s="1"/>
  <c r="AE29" i="13"/>
  <c r="AF29" i="13" s="1"/>
  <c r="AG29" i="13" s="1"/>
  <c r="AE38" i="13"/>
  <c r="AF38" i="13" s="1"/>
  <c r="AG38" i="13" s="1"/>
  <c r="AA46" i="13"/>
  <c r="S293" i="13"/>
  <c r="T293" i="13" s="1"/>
  <c r="AA293" i="13"/>
  <c r="AE293" i="13" s="1"/>
  <c r="AF293" i="13" s="1"/>
  <c r="AG293" i="13" s="1"/>
  <c r="AA42" i="13"/>
  <c r="AE42" i="13" s="1"/>
  <c r="AF42" i="13" s="1"/>
  <c r="AG42" i="13" s="1"/>
  <c r="AE46" i="13"/>
  <c r="AF46" i="13" s="1"/>
  <c r="AG46" i="13" s="1"/>
  <c r="AA31" i="13"/>
  <c r="AE31" i="13" s="1"/>
  <c r="AF31" i="13" s="1"/>
  <c r="AG31" i="13" s="1"/>
  <c r="AE297" i="13"/>
  <c r="AF297" i="13" s="1"/>
  <c r="AG297" i="13" s="1"/>
  <c r="AE17" i="13"/>
  <c r="AF17" i="13" s="1"/>
  <c r="AG17" i="13" s="1"/>
  <c r="AA36" i="13"/>
  <c r="AE36" i="13" s="1"/>
  <c r="AF36" i="13" s="1"/>
  <c r="AG36" i="13" s="1"/>
  <c r="S44" i="13"/>
  <c r="T44" i="13" s="1"/>
  <c r="AE23" i="13"/>
  <c r="AF23" i="13" s="1"/>
  <c r="AG23" i="13" s="1"/>
  <c r="AE14" i="13"/>
  <c r="AF14" i="13" s="1"/>
  <c r="AG14" i="13" s="1"/>
  <c r="AE40" i="13"/>
  <c r="AF40" i="13" s="1"/>
  <c r="AG40" i="13" s="1"/>
  <c r="S11" i="13"/>
  <c r="T11" i="13" s="1"/>
  <c r="S297" i="13"/>
  <c r="T297" i="13" s="1"/>
  <c r="AE43" i="13"/>
  <c r="AF43" i="13" s="1"/>
  <c r="AG43" i="13" s="1"/>
  <c r="S40" i="13"/>
  <c r="T40" i="13" s="1"/>
  <c r="S43" i="13"/>
  <c r="T43" i="13" s="1"/>
  <c r="S51" i="13"/>
  <c r="T51" i="13" s="1"/>
  <c r="S27" i="13"/>
  <c r="T27" i="13" s="1"/>
  <c r="AA27" i="13"/>
  <c r="AE27" i="13" s="1"/>
  <c r="AF27" i="13" s="1"/>
  <c r="AG27" i="13" s="1"/>
  <c r="S19" i="13"/>
  <c r="T19" i="13" s="1"/>
  <c r="AA19" i="13"/>
  <c r="AE19" i="13" s="1"/>
  <c r="AF19" i="13" s="1"/>
  <c r="AG19" i="13" s="1"/>
  <c r="AA294" i="13"/>
  <c r="AE294" i="13" s="1"/>
  <c r="AF294" i="13" s="1"/>
  <c r="AG294" i="13" s="1"/>
  <c r="AA48" i="13"/>
  <c r="AE48" i="13" s="1"/>
  <c r="AF48" i="13" s="1"/>
  <c r="AG48" i="13" s="1"/>
  <c r="AE44" i="13"/>
  <c r="AF44" i="13" s="1"/>
  <c r="AG44" i="13" s="1"/>
  <c r="S20" i="13"/>
  <c r="T20" i="13" s="1"/>
  <c r="AA20" i="13"/>
  <c r="AE20" i="13" s="1"/>
  <c r="AF20" i="13" s="1"/>
  <c r="AG20" i="13" s="1"/>
  <c r="S24" i="13"/>
  <c r="T24" i="13" s="1"/>
  <c r="AA24" i="13"/>
  <c r="AE24" i="13" s="1"/>
  <c r="AF24" i="13" s="1"/>
  <c r="AG24" i="13" s="1"/>
  <c r="S28" i="13"/>
  <c r="T28" i="13" s="1"/>
  <c r="AA28" i="13"/>
  <c r="AE28" i="13" s="1"/>
  <c r="AF28" i="13" s="1"/>
  <c r="AG28" i="13" s="1"/>
  <c r="S12" i="13"/>
  <c r="T12" i="13" s="1"/>
  <c r="AA12" i="13"/>
  <c r="AE12" i="13" s="1"/>
  <c r="AF12" i="13" s="1"/>
  <c r="AG12" i="13" s="1"/>
  <c r="S32" i="13"/>
  <c r="T32" i="13" s="1"/>
  <c r="AA32" i="13"/>
  <c r="AE32" i="13" s="1"/>
  <c r="AF32" i="13" s="1"/>
  <c r="AG32" i="13" s="1"/>
  <c r="V28" i="18"/>
  <c r="U10" i="7"/>
  <c r="AC10" i="7"/>
  <c r="AD10" i="7"/>
  <c r="U10" i="13"/>
  <c r="X10" i="13" s="1"/>
  <c r="S10" i="13" s="1"/>
  <c r="T10" i="13" s="1"/>
  <c r="V10" i="13"/>
  <c r="W10" i="13" s="1"/>
  <c r="AC10" i="13"/>
  <c r="AD10" i="13"/>
  <c r="AH10" i="13"/>
  <c r="AI10" i="13" s="1"/>
  <c r="AL10" i="13" s="1"/>
  <c r="F25" i="4"/>
  <c r="W4" i="18"/>
  <c r="Q43" i="18"/>
  <c r="Q42" i="18"/>
  <c r="Q41" i="18"/>
  <c r="Q40" i="18"/>
  <c r="Q39" i="18"/>
  <c r="Q38" i="18"/>
  <c r="AA96" i="15"/>
  <c r="AA95" i="15"/>
  <c r="AA94" i="15"/>
  <c r="AA93" i="15"/>
  <c r="AA92" i="15"/>
  <c r="AA91" i="15"/>
  <c r="AA90" i="15"/>
  <c r="AA89" i="15"/>
  <c r="AA88" i="15"/>
  <c r="AA87" i="15"/>
  <c r="AA86" i="15"/>
  <c r="AA85" i="15"/>
  <c r="AA84" i="15"/>
  <c r="AA83" i="15"/>
  <c r="AA82" i="15"/>
  <c r="AA81" i="15"/>
  <c r="AA80" i="15"/>
  <c r="AA79" i="15"/>
  <c r="AA78" i="15"/>
  <c r="AA77" i="15"/>
  <c r="AA76" i="15"/>
  <c r="AA75" i="15"/>
  <c r="AA74" i="15"/>
  <c r="AA73" i="15"/>
  <c r="AA72" i="15"/>
  <c r="AA71" i="15"/>
  <c r="AA70" i="15"/>
  <c r="AA69" i="15"/>
  <c r="AA68" i="15"/>
  <c r="AA67" i="15"/>
  <c r="AA66" i="15"/>
  <c r="AA65" i="15"/>
  <c r="AA64" i="15"/>
  <c r="AA63" i="15"/>
  <c r="F63" i="15"/>
  <c r="AA62" i="15"/>
  <c r="F62" i="15"/>
  <c r="AA61" i="15"/>
  <c r="F61" i="15"/>
  <c r="AA60" i="15"/>
  <c r="F60" i="15"/>
  <c r="AA59" i="15"/>
  <c r="F59" i="15"/>
  <c r="AA58" i="15"/>
  <c r="F58" i="15"/>
  <c r="AA57" i="15"/>
  <c r="F57" i="15"/>
  <c r="AA56" i="15"/>
  <c r="F56" i="15"/>
  <c r="AA55" i="15"/>
  <c r="F55" i="15"/>
  <c r="AA54" i="15"/>
  <c r="F54" i="15"/>
  <c r="AA53" i="15"/>
  <c r="F53" i="15"/>
  <c r="AA52" i="15"/>
  <c r="F52" i="15"/>
  <c r="AA51" i="15"/>
  <c r="F51" i="15"/>
  <c r="AA50" i="15"/>
  <c r="F50" i="15"/>
  <c r="AA49" i="15"/>
  <c r="F49" i="15"/>
  <c r="AA48" i="15"/>
  <c r="F48" i="15"/>
  <c r="AA47" i="15"/>
  <c r="F47" i="15"/>
  <c r="AA46" i="15"/>
  <c r="F46" i="15"/>
  <c r="AA45" i="15"/>
  <c r="F45" i="15"/>
  <c r="AA44" i="15"/>
  <c r="F44" i="15"/>
  <c r="AA43" i="15"/>
  <c r="F43" i="15"/>
  <c r="AA42" i="15"/>
  <c r="F42" i="15"/>
  <c r="AA41" i="15"/>
  <c r="F41" i="15"/>
  <c r="AA40" i="15"/>
  <c r="F40" i="15"/>
  <c r="AA39" i="15"/>
  <c r="F39" i="15"/>
  <c r="AA38" i="15"/>
  <c r="F38" i="15"/>
  <c r="AA37" i="15"/>
  <c r="F37" i="15"/>
  <c r="AA36" i="15"/>
  <c r="F36" i="15"/>
  <c r="AA35" i="15"/>
  <c r="F35" i="15"/>
  <c r="AA34" i="15"/>
  <c r="F34" i="15"/>
  <c r="AA33" i="15"/>
  <c r="F33" i="15"/>
  <c r="AA32" i="15"/>
  <c r="F32" i="15"/>
  <c r="AA31" i="15"/>
  <c r="F31" i="15"/>
  <c r="AA30" i="15"/>
  <c r="F30" i="15"/>
  <c r="AA29" i="15"/>
  <c r="F29" i="15"/>
  <c r="AA28" i="15"/>
  <c r="F28" i="15"/>
  <c r="AA27" i="15"/>
  <c r="F27" i="15"/>
  <c r="AA26" i="15"/>
  <c r="F26" i="15"/>
  <c r="AA25" i="15"/>
  <c r="F25" i="15"/>
  <c r="AA24" i="15"/>
  <c r="F24" i="15"/>
  <c r="L16" i="15"/>
  <c r="L15" i="15"/>
  <c r="AA64" i="4"/>
  <c r="F64" i="4"/>
  <c r="AA63" i="4"/>
  <c r="F63" i="4"/>
  <c r="AA62" i="4"/>
  <c r="F62" i="4"/>
  <c r="AA61" i="4"/>
  <c r="F61" i="4"/>
  <c r="AA60" i="4"/>
  <c r="F60" i="4"/>
  <c r="AA59" i="4"/>
  <c r="F59" i="4"/>
  <c r="AA58" i="4"/>
  <c r="F58" i="4"/>
  <c r="AA57" i="4"/>
  <c r="F57" i="4"/>
  <c r="AA56" i="4"/>
  <c r="F56" i="4"/>
  <c r="AA55" i="4"/>
  <c r="F55" i="4"/>
  <c r="AA54" i="4"/>
  <c r="F54" i="4"/>
  <c r="AA53" i="4"/>
  <c r="F53" i="4"/>
  <c r="AA52" i="4"/>
  <c r="F52" i="4"/>
  <c r="AA51" i="4"/>
  <c r="F51" i="4"/>
  <c r="AA50" i="4"/>
  <c r="F50" i="4"/>
  <c r="AA49" i="4"/>
  <c r="F49" i="4"/>
  <c r="AA48" i="4"/>
  <c r="F48" i="4"/>
  <c r="AA47" i="4"/>
  <c r="F47" i="4"/>
  <c r="AA46" i="4"/>
  <c r="F46" i="4"/>
  <c r="AA45" i="4"/>
  <c r="F45" i="4"/>
  <c r="AA44" i="4"/>
  <c r="F44" i="4"/>
  <c r="AA43" i="4"/>
  <c r="F43" i="4"/>
  <c r="AA42" i="4"/>
  <c r="F42" i="4"/>
  <c r="AA41" i="4"/>
  <c r="F41" i="4"/>
  <c r="AA40" i="4"/>
  <c r="F40" i="4"/>
  <c r="AA39" i="4"/>
  <c r="F39" i="4"/>
  <c r="AA38" i="4"/>
  <c r="F38" i="4"/>
  <c r="AA37" i="4"/>
  <c r="F37" i="4"/>
  <c r="AA36" i="4"/>
  <c r="F36" i="4"/>
  <c r="AA35" i="4"/>
  <c r="F35" i="4"/>
  <c r="AA34" i="4"/>
  <c r="F34" i="4"/>
  <c r="AA33" i="4"/>
  <c r="F33" i="4"/>
  <c r="AA32" i="4"/>
  <c r="F32" i="4"/>
  <c r="AA31" i="4"/>
  <c r="F31" i="4"/>
  <c r="AA30" i="4"/>
  <c r="F30" i="4"/>
  <c r="AA29" i="4"/>
  <c r="F29" i="4"/>
  <c r="AA28" i="4"/>
  <c r="F28" i="4"/>
  <c r="AA27" i="4"/>
  <c r="F27" i="4"/>
  <c r="AA26" i="4"/>
  <c r="F26" i="4"/>
  <c r="AA25" i="4"/>
  <c r="L17" i="4"/>
  <c r="L16" i="4"/>
  <c r="E64" i="16"/>
  <c r="E63" i="16"/>
  <c r="E62" i="16"/>
  <c r="E49" i="16"/>
  <c r="E48" i="16"/>
  <c r="E47" i="16"/>
  <c r="E27" i="16"/>
  <c r="E26" i="16"/>
  <c r="E25" i="16"/>
  <c r="K17" i="16"/>
  <c r="E17" i="16"/>
  <c r="K16" i="16"/>
  <c r="E16" i="16"/>
  <c r="K15" i="16"/>
  <c r="E15" i="16"/>
  <c r="D125" i="18"/>
  <c r="J125" i="18" s="1"/>
  <c r="D124" i="18"/>
  <c r="F124" i="18" s="1"/>
  <c r="G124" i="18" s="1"/>
  <c r="H124" i="18" s="1"/>
  <c r="D123" i="18"/>
  <c r="J123" i="18" s="1"/>
  <c r="D122" i="18"/>
  <c r="F122" i="18" s="1"/>
  <c r="G122" i="18" s="1"/>
  <c r="H122" i="18" s="1"/>
  <c r="D121" i="18"/>
  <c r="J121" i="18" s="1"/>
  <c r="D120" i="18"/>
  <c r="F120" i="18" s="1"/>
  <c r="G120" i="18" s="1"/>
  <c r="H120" i="18" s="1"/>
  <c r="D119" i="18"/>
  <c r="J119" i="18" s="1"/>
  <c r="D118" i="18"/>
  <c r="J118" i="18" s="1"/>
  <c r="D117" i="18"/>
  <c r="J117" i="18" s="1"/>
  <c r="D116" i="18"/>
  <c r="F116" i="18" s="1"/>
  <c r="G116" i="18" s="1"/>
  <c r="H116" i="18" s="1"/>
  <c r="D115" i="18"/>
  <c r="J115" i="18" s="1"/>
  <c r="D114" i="18"/>
  <c r="F114" i="18" s="1"/>
  <c r="G114" i="18" s="1"/>
  <c r="H114" i="18" s="1"/>
  <c r="D113" i="18"/>
  <c r="J113" i="18" s="1"/>
  <c r="D112" i="18"/>
  <c r="F112" i="18" s="1"/>
  <c r="G112" i="18" s="1"/>
  <c r="H112" i="18" s="1"/>
  <c r="D111" i="18"/>
  <c r="J111" i="18" s="1"/>
  <c r="D110" i="18"/>
  <c r="J110" i="18" s="1"/>
  <c r="D109" i="18"/>
  <c r="J109" i="18" s="1"/>
  <c r="D108" i="18"/>
  <c r="F108" i="18" s="1"/>
  <c r="G108" i="18" s="1"/>
  <c r="H108" i="18" s="1"/>
  <c r="D107" i="18"/>
  <c r="J107" i="18" s="1"/>
  <c r="D106" i="18"/>
  <c r="F106" i="18" s="1"/>
  <c r="G106" i="18" s="1"/>
  <c r="H106" i="18" s="1"/>
  <c r="D105" i="18"/>
  <c r="J105" i="18" s="1"/>
  <c r="D104" i="18"/>
  <c r="F104" i="18" s="1"/>
  <c r="G104" i="18" s="1"/>
  <c r="H104" i="18" s="1"/>
  <c r="D103" i="18"/>
  <c r="J103" i="18" s="1"/>
  <c r="D102" i="18"/>
  <c r="J102" i="18" s="1"/>
  <c r="D101" i="18"/>
  <c r="J101" i="18" s="1"/>
  <c r="D100" i="18"/>
  <c r="F100" i="18" s="1"/>
  <c r="G100" i="18" s="1"/>
  <c r="H100" i="18" s="1"/>
  <c r="D99" i="18"/>
  <c r="J99" i="18" s="1"/>
  <c r="D98" i="18"/>
  <c r="F98" i="18" s="1"/>
  <c r="G98" i="18" s="1"/>
  <c r="H98" i="18" s="1"/>
  <c r="D97" i="18"/>
  <c r="J97" i="18" s="1"/>
  <c r="D96" i="18"/>
  <c r="F96" i="18" s="1"/>
  <c r="G96" i="18" s="1"/>
  <c r="H96" i="18" s="1"/>
  <c r="D95" i="18"/>
  <c r="J95" i="18" s="1"/>
  <c r="D94" i="18"/>
  <c r="J94" i="18" s="1"/>
  <c r="D93" i="18"/>
  <c r="J93" i="18" s="1"/>
  <c r="D92" i="18"/>
  <c r="F92" i="18" s="1"/>
  <c r="G92" i="18" s="1"/>
  <c r="H92" i="18" s="1"/>
  <c r="D91" i="18"/>
  <c r="J91" i="18" s="1"/>
  <c r="D90" i="18"/>
  <c r="F90" i="18" s="1"/>
  <c r="G90" i="18" s="1"/>
  <c r="H90" i="18" s="1"/>
  <c r="D89" i="18"/>
  <c r="J89" i="18" s="1"/>
  <c r="D88" i="18"/>
  <c r="F88" i="18" s="1"/>
  <c r="G88" i="18" s="1"/>
  <c r="H88" i="18" s="1"/>
  <c r="D87" i="18"/>
  <c r="J87" i="18" s="1"/>
  <c r="D86" i="18"/>
  <c r="J86" i="18" s="1"/>
  <c r="D85" i="18"/>
  <c r="J85" i="18" s="1"/>
  <c r="D84" i="18"/>
  <c r="F84" i="18" s="1"/>
  <c r="G84" i="18" s="1"/>
  <c r="H84" i="18" s="1"/>
  <c r="D83" i="18"/>
  <c r="J83" i="18" s="1"/>
  <c r="D82" i="18"/>
  <c r="F82" i="18" s="1"/>
  <c r="G82" i="18" s="1"/>
  <c r="H82" i="18" s="1"/>
  <c r="D81" i="18"/>
  <c r="J81" i="18" s="1"/>
  <c r="D80" i="18"/>
  <c r="F80" i="18" s="1"/>
  <c r="G80" i="18" s="1"/>
  <c r="H80" i="18" s="1"/>
  <c r="D79" i="18"/>
  <c r="J79" i="18" s="1"/>
  <c r="D78" i="18"/>
  <c r="J78" i="18" s="1"/>
  <c r="D77" i="18"/>
  <c r="J77" i="18" s="1"/>
  <c r="D76" i="18"/>
  <c r="F76" i="18" s="1"/>
  <c r="G76" i="18" s="1"/>
  <c r="H76" i="18" s="1"/>
  <c r="D75" i="18"/>
  <c r="J75" i="18" s="1"/>
  <c r="D74" i="18"/>
  <c r="F74" i="18" s="1"/>
  <c r="G74" i="18" s="1"/>
  <c r="H74" i="18" s="1"/>
  <c r="D73" i="18"/>
  <c r="J73" i="18" s="1"/>
  <c r="D72" i="18"/>
  <c r="F72" i="18" s="1"/>
  <c r="G72" i="18" s="1"/>
  <c r="H72" i="18" s="1"/>
  <c r="D71" i="18"/>
  <c r="J71" i="18" s="1"/>
  <c r="D70" i="18"/>
  <c r="J70" i="18" s="1"/>
  <c r="D69" i="18"/>
  <c r="J69" i="18" s="1"/>
  <c r="D68" i="18"/>
  <c r="F68" i="18" s="1"/>
  <c r="G68" i="18" s="1"/>
  <c r="H68" i="18" s="1"/>
  <c r="D67" i="18"/>
  <c r="J67" i="18" s="1"/>
  <c r="D66" i="18"/>
  <c r="F66" i="18" s="1"/>
  <c r="G66" i="18" s="1"/>
  <c r="H66" i="18" s="1"/>
  <c r="D65" i="18"/>
  <c r="J65" i="18" s="1"/>
  <c r="D64" i="18"/>
  <c r="F64" i="18" s="1"/>
  <c r="G64" i="18" s="1"/>
  <c r="H64" i="18" s="1"/>
  <c r="D63" i="18"/>
  <c r="J63" i="18" s="1"/>
  <c r="D62" i="18"/>
  <c r="J62" i="18" s="1"/>
  <c r="D61" i="18"/>
  <c r="J61" i="18" s="1"/>
  <c r="D60" i="18"/>
  <c r="J60" i="18" s="1"/>
  <c r="D59" i="18"/>
  <c r="E59" i="18" s="1"/>
  <c r="D58" i="18"/>
  <c r="J58" i="18" s="1"/>
  <c r="D57" i="18"/>
  <c r="F57" i="18" s="1"/>
  <c r="G57" i="18" s="1"/>
  <c r="H57" i="18" s="1"/>
  <c r="D56" i="18"/>
  <c r="F56" i="18" s="1"/>
  <c r="G56" i="18" s="1"/>
  <c r="H56" i="18" s="1"/>
  <c r="D55" i="18"/>
  <c r="F55" i="18" s="1"/>
  <c r="G55" i="18" s="1"/>
  <c r="H55" i="18" s="1"/>
  <c r="D54" i="18"/>
  <c r="J54" i="18" s="1"/>
  <c r="D53" i="18"/>
  <c r="F53" i="18" s="1"/>
  <c r="G53" i="18" s="1"/>
  <c r="H53" i="18" s="1"/>
  <c r="D52" i="18"/>
  <c r="E52" i="18" s="1"/>
  <c r="D51" i="18"/>
  <c r="J51" i="18" s="1"/>
  <c r="D50" i="18"/>
  <c r="E50" i="18" s="1"/>
  <c r="D49" i="18"/>
  <c r="J49" i="18" s="1"/>
  <c r="D48" i="18"/>
  <c r="E48" i="18" s="1"/>
  <c r="D47" i="18"/>
  <c r="J47" i="18" s="1"/>
  <c r="D46" i="18"/>
  <c r="F46" i="18" s="1"/>
  <c r="G46" i="18" s="1"/>
  <c r="H46" i="18" s="1"/>
  <c r="D45" i="18"/>
  <c r="J45" i="18" s="1"/>
  <c r="D44" i="18"/>
  <c r="J44" i="18" s="1"/>
  <c r="D43" i="18"/>
  <c r="E43" i="18" s="1"/>
  <c r="D42" i="18"/>
  <c r="J42" i="18" s="1"/>
  <c r="D41" i="18"/>
  <c r="F41" i="18" s="1"/>
  <c r="G41" i="18" s="1"/>
  <c r="H41" i="18" s="1"/>
  <c r="D40" i="18"/>
  <c r="E40" i="18" s="1"/>
  <c r="D39" i="18"/>
  <c r="J39" i="18" s="1"/>
  <c r="AQ38" i="18"/>
  <c r="D38" i="18"/>
  <c r="F38" i="18" s="1"/>
  <c r="G38" i="18" s="1"/>
  <c r="H38" i="18" s="1"/>
  <c r="AQ37" i="18"/>
  <c r="D37" i="18"/>
  <c r="F37" i="18" s="1"/>
  <c r="G37" i="18" s="1"/>
  <c r="H37" i="18" s="1"/>
  <c r="AQ36" i="18"/>
  <c r="D36" i="18"/>
  <c r="J36" i="18" s="1"/>
  <c r="D35" i="18"/>
  <c r="J35" i="18" s="1"/>
  <c r="W34" i="18"/>
  <c r="V34" i="18"/>
  <c r="Q36" i="18"/>
  <c r="D34" i="18"/>
  <c r="J34" i="18" s="1"/>
  <c r="Q35" i="18"/>
  <c r="D33" i="18"/>
  <c r="J33" i="18" s="1"/>
  <c r="D32" i="18"/>
  <c r="F32" i="18" s="1"/>
  <c r="G32" i="18" s="1"/>
  <c r="H32" i="18" s="1"/>
  <c r="D31" i="18"/>
  <c r="F31" i="18" s="1"/>
  <c r="G31" i="18" s="1"/>
  <c r="H31" i="18" s="1"/>
  <c r="AU30" i="18"/>
  <c r="D30" i="18"/>
  <c r="F30" i="18" s="1"/>
  <c r="G30" i="18" s="1"/>
  <c r="H30" i="18" s="1"/>
  <c r="AU29" i="18"/>
  <c r="D29" i="18"/>
  <c r="E29" i="18" s="1"/>
  <c r="AU28" i="18"/>
  <c r="D28" i="18"/>
  <c r="E28" i="18" s="1"/>
  <c r="AU27" i="18"/>
  <c r="D27" i="18"/>
  <c r="J27" i="18" s="1"/>
  <c r="AU26" i="18"/>
  <c r="D26" i="18"/>
  <c r="AU25" i="18"/>
  <c r="D25" i="18"/>
  <c r="J25" i="18" s="1"/>
  <c r="AU24" i="18"/>
  <c r="D24" i="18"/>
  <c r="J24" i="18" s="1"/>
  <c r="AU23" i="18"/>
  <c r="D23" i="18"/>
  <c r="F23" i="18" s="1"/>
  <c r="G23" i="18" s="1"/>
  <c r="H23" i="18" s="1"/>
  <c r="AU22" i="18"/>
  <c r="D22" i="18"/>
  <c r="F22" i="18" s="1"/>
  <c r="G22" i="18" s="1"/>
  <c r="H22" i="18" s="1"/>
  <c r="AU21" i="18"/>
  <c r="D21" i="18"/>
  <c r="E21" i="18" s="1"/>
  <c r="AU20" i="18"/>
  <c r="D20" i="18"/>
  <c r="E20" i="18" s="1"/>
  <c r="AU19" i="18"/>
  <c r="D19" i="18"/>
  <c r="J19" i="18" s="1"/>
  <c r="AU18" i="18"/>
  <c r="D18" i="18"/>
  <c r="AU17" i="18"/>
  <c r="D17" i="18"/>
  <c r="AU16" i="18"/>
  <c r="D16" i="18"/>
  <c r="J16" i="18" s="1"/>
  <c r="AU15" i="18"/>
  <c r="D15" i="18"/>
  <c r="F15" i="18" s="1"/>
  <c r="G15" i="18" s="1"/>
  <c r="H15" i="18" s="1"/>
  <c r="AU14" i="18"/>
  <c r="D14" i="18"/>
  <c r="E14" i="18" s="1"/>
  <c r="AU13" i="18"/>
  <c r="D13" i="18"/>
  <c r="J13" i="18" s="1"/>
  <c r="AU12" i="18"/>
  <c r="D12" i="18"/>
  <c r="E12" i="18" s="1"/>
  <c r="AU11" i="18"/>
  <c r="D11" i="18"/>
  <c r="J11" i="18" s="1"/>
  <c r="AU10" i="18"/>
  <c r="D10" i="18"/>
  <c r="E10" i="18" s="1"/>
  <c r="AU9" i="18"/>
  <c r="D9" i="18"/>
  <c r="AU8" i="18"/>
  <c r="D8" i="18"/>
  <c r="J8" i="18" s="1"/>
  <c r="AU7" i="18"/>
  <c r="D7" i="18"/>
  <c r="F7" i="18" s="1"/>
  <c r="G7" i="18" s="1"/>
  <c r="H7" i="18" s="1"/>
  <c r="AU6" i="18"/>
  <c r="D6" i="18"/>
  <c r="F6" i="18" s="1"/>
  <c r="G6" i="18" s="1"/>
  <c r="H6" i="18" s="1"/>
  <c r="AU5" i="18"/>
  <c r="AK5" i="18"/>
  <c r="AH5" i="18"/>
  <c r="F5" i="18"/>
  <c r="G5" i="18" s="1"/>
  <c r="H5" i="18" s="1"/>
  <c r="AU4" i="18"/>
  <c r="F4" i="18"/>
  <c r="G4" i="18" s="1"/>
  <c r="H4" i="18" s="1"/>
  <c r="E4" i="18"/>
  <c r="AU3" i="18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E114" i="18" l="1"/>
  <c r="E103" i="18"/>
  <c r="V56" i="18"/>
  <c r="W56" i="18" s="1"/>
  <c r="E42" i="18"/>
  <c r="E87" i="18"/>
  <c r="J112" i="18"/>
  <c r="F60" i="18"/>
  <c r="G60" i="18" s="1"/>
  <c r="H60" i="18" s="1"/>
  <c r="F29" i="18"/>
  <c r="G29" i="18" s="1"/>
  <c r="H29" i="18" s="1"/>
  <c r="J114" i="18"/>
  <c r="E16" i="18"/>
  <c r="E19" i="18"/>
  <c r="E36" i="18"/>
  <c r="F45" i="18"/>
  <c r="G45" i="18" s="1"/>
  <c r="H45" i="18" s="1"/>
  <c r="E66" i="18"/>
  <c r="E95" i="18"/>
  <c r="E119" i="18"/>
  <c r="F19" i="18"/>
  <c r="G19" i="18" s="1"/>
  <c r="H19" i="18" s="1"/>
  <c r="J66" i="18"/>
  <c r="F16" i="18"/>
  <c r="G16" i="18" s="1"/>
  <c r="H16" i="18" s="1"/>
  <c r="F36" i="18"/>
  <c r="G36" i="18" s="1"/>
  <c r="H36" i="18" s="1"/>
  <c r="J46" i="18"/>
  <c r="M25" i="4"/>
  <c r="E98" i="18"/>
  <c r="E111" i="18"/>
  <c r="E11" i="18"/>
  <c r="J43" i="18"/>
  <c r="J98" i="18"/>
  <c r="AQ43" i="18"/>
  <c r="V50" i="18" s="1"/>
  <c r="W50" i="18" s="1"/>
  <c r="V62" i="18"/>
  <c r="W62" i="18" s="1"/>
  <c r="AA10" i="13"/>
  <c r="AE10" i="13" s="1"/>
  <c r="AF10" i="13" s="1"/>
  <c r="AG10" i="13" s="1"/>
  <c r="J37" i="18"/>
  <c r="E90" i="18"/>
  <c r="E106" i="18"/>
  <c r="E122" i="18"/>
  <c r="J20" i="18"/>
  <c r="E44" i="18"/>
  <c r="E79" i="18"/>
  <c r="J90" i="18"/>
  <c r="J96" i="18"/>
  <c r="J106" i="18"/>
  <c r="J122" i="18"/>
  <c r="E8" i="18"/>
  <c r="E41" i="18"/>
  <c r="F52" i="18"/>
  <c r="G52" i="18" s="1"/>
  <c r="H52" i="18" s="1"/>
  <c r="F12" i="18"/>
  <c r="G12" i="18" s="1"/>
  <c r="H12" i="18" s="1"/>
  <c r="F24" i="18"/>
  <c r="G24" i="18" s="1"/>
  <c r="H24" i="18" s="1"/>
  <c r="J41" i="18"/>
  <c r="F44" i="18"/>
  <c r="G44" i="18" s="1"/>
  <c r="H44" i="18" s="1"/>
  <c r="J48" i="18"/>
  <c r="E74" i="18"/>
  <c r="J55" i="18"/>
  <c r="E35" i="18"/>
  <c r="F27" i="18"/>
  <c r="G27" i="18" s="1"/>
  <c r="H27" i="18" s="1"/>
  <c r="J29" i="18"/>
  <c r="F48" i="18"/>
  <c r="G48" i="18" s="1"/>
  <c r="H48" i="18" s="1"/>
  <c r="J56" i="18"/>
  <c r="J12" i="18"/>
  <c r="J57" i="18"/>
  <c r="E63" i="18"/>
  <c r="J74" i="18"/>
  <c r="E39" i="18"/>
  <c r="F50" i="18"/>
  <c r="G50" i="18" s="1"/>
  <c r="H50" i="18" s="1"/>
  <c r="E55" i="18"/>
  <c r="E82" i="18"/>
  <c r="J104" i="18"/>
  <c r="J120" i="18"/>
  <c r="J7" i="18"/>
  <c r="J5" i="18"/>
  <c r="F43" i="18"/>
  <c r="G43" i="18" s="1"/>
  <c r="H43" i="18" s="1"/>
  <c r="J50" i="18"/>
  <c r="E71" i="18"/>
  <c r="J82" i="18"/>
  <c r="J14" i="18"/>
  <c r="F21" i="18"/>
  <c r="G21" i="18" s="1"/>
  <c r="H21" i="18" s="1"/>
  <c r="J23" i="18"/>
  <c r="F28" i="18"/>
  <c r="G28" i="18" s="1"/>
  <c r="H28" i="18" s="1"/>
  <c r="J32" i="18"/>
  <c r="J38" i="18"/>
  <c r="F59" i="18"/>
  <c r="G59" i="18" s="1"/>
  <c r="H59" i="18" s="1"/>
  <c r="F62" i="18"/>
  <c r="G62" i="18" s="1"/>
  <c r="H62" i="18" s="1"/>
  <c r="E67" i="18"/>
  <c r="E70" i="18"/>
  <c r="E75" i="18"/>
  <c r="E78" i="18"/>
  <c r="E83" i="18"/>
  <c r="E86" i="18"/>
  <c r="E91" i="18"/>
  <c r="E94" i="18"/>
  <c r="E99" i="18"/>
  <c r="E102" i="18"/>
  <c r="E107" i="18"/>
  <c r="E110" i="18"/>
  <c r="E115" i="18"/>
  <c r="E118" i="18"/>
  <c r="E123" i="18"/>
  <c r="J40" i="18"/>
  <c r="E49" i="18"/>
  <c r="E51" i="18"/>
  <c r="J52" i="18"/>
  <c r="J59" i="18"/>
  <c r="E61" i="18"/>
  <c r="J64" i="18"/>
  <c r="F67" i="18"/>
  <c r="G67" i="18" s="1"/>
  <c r="H67" i="18" s="1"/>
  <c r="F70" i="18"/>
  <c r="G70" i="18" s="1"/>
  <c r="H70" i="18" s="1"/>
  <c r="J72" i="18"/>
  <c r="F75" i="18"/>
  <c r="G75" i="18" s="1"/>
  <c r="H75" i="18" s="1"/>
  <c r="F78" i="18"/>
  <c r="G78" i="18" s="1"/>
  <c r="H78" i="18" s="1"/>
  <c r="J80" i="18"/>
  <c r="F83" i="18"/>
  <c r="G83" i="18" s="1"/>
  <c r="H83" i="18" s="1"/>
  <c r="F86" i="18"/>
  <c r="G86" i="18" s="1"/>
  <c r="H86" i="18" s="1"/>
  <c r="J88" i="18"/>
  <c r="F91" i="18"/>
  <c r="G91" i="18" s="1"/>
  <c r="H91" i="18" s="1"/>
  <c r="F94" i="18"/>
  <c r="G94" i="18" s="1"/>
  <c r="H94" i="18" s="1"/>
  <c r="F99" i="18"/>
  <c r="G99" i="18" s="1"/>
  <c r="H99" i="18" s="1"/>
  <c r="F102" i="18"/>
  <c r="G102" i="18" s="1"/>
  <c r="H102" i="18" s="1"/>
  <c r="F107" i="18"/>
  <c r="G107" i="18" s="1"/>
  <c r="H107" i="18" s="1"/>
  <c r="F110" i="18"/>
  <c r="G110" i="18" s="1"/>
  <c r="H110" i="18" s="1"/>
  <c r="F115" i="18"/>
  <c r="G115" i="18" s="1"/>
  <c r="H115" i="18" s="1"/>
  <c r="F118" i="18"/>
  <c r="G118" i="18" s="1"/>
  <c r="H118" i="18" s="1"/>
  <c r="F123" i="18"/>
  <c r="G123" i="18" s="1"/>
  <c r="H123" i="18" s="1"/>
  <c r="F8" i="18"/>
  <c r="G8" i="18" s="1"/>
  <c r="H8" i="18" s="1"/>
  <c r="F42" i="18"/>
  <c r="G42" i="18" s="1"/>
  <c r="H42" i="18" s="1"/>
  <c r="F49" i="18"/>
  <c r="G49" i="18" s="1"/>
  <c r="H49" i="18" s="1"/>
  <c r="F51" i="18"/>
  <c r="G51" i="18" s="1"/>
  <c r="H51" i="18" s="1"/>
  <c r="F61" i="18"/>
  <c r="G61" i="18" s="1"/>
  <c r="H61" i="18" s="1"/>
  <c r="J28" i="18"/>
  <c r="F11" i="18"/>
  <c r="G11" i="18" s="1"/>
  <c r="H11" i="18" s="1"/>
  <c r="E13" i="18"/>
  <c r="J21" i="18"/>
  <c r="J30" i="18"/>
  <c r="F35" i="18"/>
  <c r="G35" i="18" s="1"/>
  <c r="H35" i="18" s="1"/>
  <c r="J6" i="18"/>
  <c r="F13" i="18"/>
  <c r="G13" i="18" s="1"/>
  <c r="H13" i="18" s="1"/>
  <c r="J15" i="18"/>
  <c r="F20" i="18"/>
  <c r="G20" i="18" s="1"/>
  <c r="H20" i="18" s="1"/>
  <c r="E24" i="18"/>
  <c r="E27" i="18"/>
  <c r="J53" i="18"/>
  <c r="E60" i="18"/>
  <c r="F40" i="18"/>
  <c r="G40" i="18" s="1"/>
  <c r="H40" i="18" s="1"/>
  <c r="E62" i="18"/>
  <c r="J22" i="18"/>
  <c r="J31" i="18"/>
  <c r="E45" i="18"/>
  <c r="F63" i="18"/>
  <c r="G63" i="18" s="1"/>
  <c r="H63" i="18" s="1"/>
  <c r="J68" i="18"/>
  <c r="F71" i="18"/>
  <c r="G71" i="18" s="1"/>
  <c r="H71" i="18" s="1"/>
  <c r="J76" i="18"/>
  <c r="F79" i="18"/>
  <c r="G79" i="18" s="1"/>
  <c r="H79" i="18" s="1"/>
  <c r="J84" i="18"/>
  <c r="F87" i="18"/>
  <c r="G87" i="18" s="1"/>
  <c r="H87" i="18" s="1"/>
  <c r="J92" i="18"/>
  <c r="F95" i="18"/>
  <c r="G95" i="18" s="1"/>
  <c r="H95" i="18" s="1"/>
  <c r="J100" i="18"/>
  <c r="F103" i="18"/>
  <c r="G103" i="18" s="1"/>
  <c r="H103" i="18" s="1"/>
  <c r="J108" i="18"/>
  <c r="F111" i="18"/>
  <c r="G111" i="18" s="1"/>
  <c r="H111" i="18" s="1"/>
  <c r="J116" i="18"/>
  <c r="F119" i="18"/>
  <c r="G119" i="18" s="1"/>
  <c r="H119" i="18" s="1"/>
  <c r="J17" i="18"/>
  <c r="F17" i="18"/>
  <c r="G17" i="18" s="1"/>
  <c r="H17" i="18" s="1"/>
  <c r="E17" i="18"/>
  <c r="J26" i="18"/>
  <c r="F26" i="18"/>
  <c r="G26" i="18" s="1"/>
  <c r="H26" i="18" s="1"/>
  <c r="E26" i="18"/>
  <c r="J18" i="18"/>
  <c r="E18" i="18"/>
  <c r="F18" i="18"/>
  <c r="G18" i="18" s="1"/>
  <c r="H18" i="18" s="1"/>
  <c r="J9" i="18"/>
  <c r="F9" i="18"/>
  <c r="G9" i="18" s="1"/>
  <c r="E9" i="18"/>
  <c r="J10" i="18"/>
  <c r="F10" i="18"/>
  <c r="G10" i="18" s="1"/>
  <c r="H10" i="18" s="1"/>
  <c r="E5" i="18"/>
  <c r="E7" i="18"/>
  <c r="F14" i="18"/>
  <c r="G14" i="18" s="1"/>
  <c r="H14" i="18" s="1"/>
  <c r="F39" i="18"/>
  <c r="G39" i="18" s="1"/>
  <c r="H39" i="18" s="1"/>
  <c r="J124" i="18"/>
  <c r="E25" i="18"/>
  <c r="E33" i="18"/>
  <c r="E34" i="18"/>
  <c r="E47" i="18"/>
  <c r="E54" i="18"/>
  <c r="E58" i="18"/>
  <c r="E65" i="18"/>
  <c r="E69" i="18"/>
  <c r="E73" i="18"/>
  <c r="E77" i="18"/>
  <c r="E81" i="18"/>
  <c r="E85" i="18"/>
  <c r="E89" i="18"/>
  <c r="E93" i="18"/>
  <c r="E97" i="18"/>
  <c r="E101" i="18"/>
  <c r="E105" i="18"/>
  <c r="E109" i="18"/>
  <c r="E113" i="18"/>
  <c r="E117" i="18"/>
  <c r="E121" i="18"/>
  <c r="E125" i="18"/>
  <c r="F33" i="18"/>
  <c r="G33" i="18" s="1"/>
  <c r="H33" i="18" s="1"/>
  <c r="F34" i="18"/>
  <c r="G34" i="18" s="1"/>
  <c r="H34" i="18" s="1"/>
  <c r="F47" i="18"/>
  <c r="G47" i="18" s="1"/>
  <c r="H47" i="18" s="1"/>
  <c r="F54" i="18"/>
  <c r="G54" i="18" s="1"/>
  <c r="H54" i="18" s="1"/>
  <c r="F58" i="18"/>
  <c r="G58" i="18" s="1"/>
  <c r="H58" i="18" s="1"/>
  <c r="F65" i="18"/>
  <c r="G65" i="18" s="1"/>
  <c r="H65" i="18" s="1"/>
  <c r="F69" i="18"/>
  <c r="G69" i="18" s="1"/>
  <c r="H69" i="18" s="1"/>
  <c r="F73" i="18"/>
  <c r="G73" i="18" s="1"/>
  <c r="H73" i="18" s="1"/>
  <c r="F77" i="18"/>
  <c r="G77" i="18" s="1"/>
  <c r="H77" i="18" s="1"/>
  <c r="F81" i="18"/>
  <c r="G81" i="18" s="1"/>
  <c r="H81" i="18" s="1"/>
  <c r="F85" i="18"/>
  <c r="G85" i="18" s="1"/>
  <c r="H85" i="18" s="1"/>
  <c r="F89" i="18"/>
  <c r="G89" i="18" s="1"/>
  <c r="H89" i="18" s="1"/>
  <c r="F93" i="18"/>
  <c r="G93" i="18" s="1"/>
  <c r="H93" i="18" s="1"/>
  <c r="F97" i="18"/>
  <c r="G97" i="18" s="1"/>
  <c r="H97" i="18" s="1"/>
  <c r="F101" i="18"/>
  <c r="G101" i="18" s="1"/>
  <c r="H101" i="18" s="1"/>
  <c r="F105" i="18"/>
  <c r="G105" i="18" s="1"/>
  <c r="H105" i="18" s="1"/>
  <c r="F109" i="18"/>
  <c r="G109" i="18" s="1"/>
  <c r="H109" i="18" s="1"/>
  <c r="F113" i="18"/>
  <c r="G113" i="18" s="1"/>
  <c r="H113" i="18" s="1"/>
  <c r="F117" i="18"/>
  <c r="G117" i="18" s="1"/>
  <c r="H117" i="18" s="1"/>
  <c r="F121" i="18"/>
  <c r="G121" i="18" s="1"/>
  <c r="H121" i="18" s="1"/>
  <c r="F125" i="18"/>
  <c r="G125" i="18" s="1"/>
  <c r="H125" i="18" s="1"/>
  <c r="E15" i="18"/>
  <c r="E31" i="18"/>
  <c r="E32" i="18"/>
  <c r="E37" i="18"/>
  <c r="E46" i="18"/>
  <c r="E53" i="18"/>
  <c r="E56" i="18"/>
  <c r="E57" i="18"/>
  <c r="E64" i="18"/>
  <c r="E68" i="18"/>
  <c r="E72" i="18"/>
  <c r="E76" i="18"/>
  <c r="E80" i="18"/>
  <c r="E84" i="18"/>
  <c r="E88" i="18"/>
  <c r="E92" i="18"/>
  <c r="E96" i="18"/>
  <c r="E100" i="18"/>
  <c r="E104" i="18"/>
  <c r="E108" i="18"/>
  <c r="E112" i="18"/>
  <c r="E116" i="18"/>
  <c r="E120" i="18"/>
  <c r="E124" i="18"/>
  <c r="E23" i="18"/>
  <c r="E6" i="18"/>
  <c r="E22" i="18"/>
  <c r="E30" i="18"/>
  <c r="E38" i="18"/>
  <c r="AQ39" i="18"/>
  <c r="F25" i="18"/>
  <c r="G25" i="18" s="1"/>
  <c r="H25" i="18" s="1"/>
  <c r="AQ40" i="18"/>
  <c r="AQ42" i="18" l="1"/>
  <c r="E61" i="16"/>
  <c r="E46" i="16"/>
  <c r="H9" i="18"/>
  <c r="AQ41" i="18"/>
  <c r="F19" i="17" l="1"/>
  <c r="E19" i="17"/>
  <c r="D19" i="17"/>
  <c r="C19" i="17"/>
  <c r="B19" i="17"/>
  <c r="F18" i="17"/>
  <c r="E18" i="17"/>
  <c r="D18" i="17"/>
  <c r="C18" i="17"/>
  <c r="B18" i="17"/>
  <c r="F17" i="17"/>
  <c r="E17" i="17"/>
  <c r="D17" i="17"/>
  <c r="C17" i="17"/>
  <c r="B17" i="17"/>
  <c r="F16" i="17"/>
  <c r="E16" i="17"/>
  <c r="D16" i="17"/>
  <c r="C16" i="17"/>
  <c r="B16" i="17"/>
  <c r="F14" i="17"/>
  <c r="E14" i="17"/>
  <c r="D14" i="17"/>
  <c r="C14" i="17"/>
  <c r="B14" i="17"/>
  <c r="F13" i="17"/>
  <c r="E13" i="17"/>
  <c r="D13" i="17"/>
  <c r="C13" i="17"/>
  <c r="B13" i="17"/>
  <c r="E12" i="17"/>
  <c r="D12" i="17"/>
  <c r="C12" i="17"/>
  <c r="F11" i="17"/>
  <c r="E11" i="17"/>
  <c r="D11" i="17"/>
  <c r="C11" i="17"/>
  <c r="B11" i="17"/>
  <c r="E10" i="17"/>
  <c r="D10" i="17"/>
  <c r="C10" i="17"/>
  <c r="B10" i="17"/>
  <c r="E9" i="17"/>
  <c r="D9" i="17"/>
  <c r="C9" i="17"/>
  <c r="B9" i="17"/>
  <c r="F8" i="17"/>
  <c r="E8" i="17"/>
  <c r="D8" i="17"/>
  <c r="C8" i="17"/>
  <c r="B8" i="17"/>
  <c r="F7" i="17"/>
  <c r="E7" i="17"/>
  <c r="D7" i="17"/>
  <c r="C7" i="17"/>
  <c r="B7" i="17"/>
  <c r="F6" i="17"/>
  <c r="E6" i="17"/>
  <c r="D6" i="17"/>
  <c r="C6" i="17"/>
  <c r="B6" i="17"/>
  <c r="F5" i="17"/>
  <c r="E5" i="17"/>
  <c r="D5" i="17"/>
  <c r="C5" i="17"/>
  <c r="B5" i="17"/>
  <c r="F4" i="17"/>
  <c r="E4" i="17"/>
  <c r="D4" i="17"/>
  <c r="C4" i="17"/>
  <c r="B4" i="17"/>
  <c r="F3" i="17"/>
  <c r="E3" i="17"/>
  <c r="D3" i="17"/>
  <c r="C3" i="17"/>
  <c r="B3" i="17"/>
  <c r="H5" i="17" l="1"/>
  <c r="H19" i="17"/>
  <c r="H11" i="17"/>
  <c r="H18" i="17"/>
  <c r="H13" i="17"/>
  <c r="H8" i="17"/>
  <c r="H16" i="17"/>
  <c r="H7" i="17"/>
  <c r="H4" i="17"/>
  <c r="H17" i="17"/>
  <c r="H14" i="17" l="1"/>
  <c r="H3" i="17" l="1"/>
  <c r="AD9" i="7" l="1"/>
  <c r="AC9" i="7"/>
  <c r="AD9" i="13"/>
  <c r="AC9" i="13"/>
  <c r="E38" i="16" l="1"/>
  <c r="K82" i="7"/>
  <c r="L82" i="7"/>
  <c r="I82" i="7"/>
  <c r="U9" i="7"/>
  <c r="E37" i="16" l="1"/>
  <c r="E35" i="16"/>
  <c r="E36" i="16"/>
  <c r="AF24" i="15"/>
  <c r="AH24" i="15" s="1"/>
  <c r="K25" i="4"/>
  <c r="L25" i="4"/>
  <c r="S25" i="4" s="1"/>
  <c r="K26" i="4"/>
  <c r="M26" i="4" s="1"/>
  <c r="L26" i="4"/>
  <c r="S26" i="4" s="1"/>
  <c r="K27" i="4"/>
  <c r="M27" i="4" s="1"/>
  <c r="L27" i="4"/>
  <c r="S27" i="4" s="1"/>
  <c r="K28" i="4"/>
  <c r="M28" i="4" s="1"/>
  <c r="L28" i="4"/>
  <c r="S28" i="4" s="1"/>
  <c r="K29" i="4"/>
  <c r="M29" i="4" s="1"/>
  <c r="L29" i="4"/>
  <c r="S29" i="4" s="1"/>
  <c r="K30" i="4"/>
  <c r="M30" i="4" s="1"/>
  <c r="L30" i="4"/>
  <c r="S30" i="4" s="1"/>
  <c r="K31" i="4"/>
  <c r="M31" i="4" s="1"/>
  <c r="L31" i="4"/>
  <c r="S31" i="4" s="1"/>
  <c r="K32" i="4"/>
  <c r="M32" i="4" s="1"/>
  <c r="L32" i="4"/>
  <c r="S32" i="4" s="1"/>
  <c r="K33" i="4"/>
  <c r="M33" i="4" s="1"/>
  <c r="L33" i="4"/>
  <c r="S33" i="4" s="1"/>
  <c r="K34" i="4"/>
  <c r="M34" i="4" s="1"/>
  <c r="L34" i="4"/>
  <c r="S34" i="4" s="1"/>
  <c r="K35" i="4"/>
  <c r="M35" i="4" s="1"/>
  <c r="L35" i="4"/>
  <c r="S35" i="4" s="1"/>
  <c r="K36" i="4"/>
  <c r="M36" i="4" s="1"/>
  <c r="L36" i="4"/>
  <c r="S36" i="4" s="1"/>
  <c r="K37" i="4"/>
  <c r="M37" i="4" s="1"/>
  <c r="L37" i="4"/>
  <c r="S37" i="4" s="1"/>
  <c r="K38" i="4"/>
  <c r="M38" i="4" s="1"/>
  <c r="L38" i="4"/>
  <c r="S38" i="4" s="1"/>
  <c r="K39" i="4"/>
  <c r="M39" i="4" s="1"/>
  <c r="L39" i="4"/>
  <c r="S39" i="4" s="1"/>
  <c r="K40" i="4"/>
  <c r="M40" i="4" s="1"/>
  <c r="L40" i="4"/>
  <c r="S40" i="4" s="1"/>
  <c r="K41" i="4"/>
  <c r="M41" i="4" s="1"/>
  <c r="L41" i="4"/>
  <c r="S41" i="4" s="1"/>
  <c r="K42" i="4"/>
  <c r="M42" i="4" s="1"/>
  <c r="L42" i="4"/>
  <c r="S42" i="4" s="1"/>
  <c r="K43" i="4"/>
  <c r="M43" i="4" s="1"/>
  <c r="L43" i="4"/>
  <c r="S43" i="4" s="1"/>
  <c r="K44" i="4"/>
  <c r="M44" i="4" s="1"/>
  <c r="L44" i="4"/>
  <c r="S44" i="4" s="1"/>
  <c r="K45" i="4"/>
  <c r="M45" i="4" s="1"/>
  <c r="L45" i="4"/>
  <c r="S45" i="4" s="1"/>
  <c r="K46" i="4"/>
  <c r="M46" i="4" s="1"/>
  <c r="L46" i="4"/>
  <c r="S46" i="4" s="1"/>
  <c r="K47" i="4"/>
  <c r="M47" i="4" s="1"/>
  <c r="L47" i="4"/>
  <c r="S47" i="4" s="1"/>
  <c r="K48" i="4"/>
  <c r="M48" i="4" s="1"/>
  <c r="L48" i="4"/>
  <c r="S48" i="4" s="1"/>
  <c r="K49" i="4"/>
  <c r="M49" i="4" s="1"/>
  <c r="L49" i="4"/>
  <c r="S49" i="4" s="1"/>
  <c r="K50" i="4"/>
  <c r="M50" i="4" s="1"/>
  <c r="L50" i="4"/>
  <c r="S50" i="4" s="1"/>
  <c r="K51" i="4"/>
  <c r="M51" i="4" s="1"/>
  <c r="L51" i="4"/>
  <c r="S51" i="4" s="1"/>
  <c r="K52" i="4"/>
  <c r="M52" i="4" s="1"/>
  <c r="L52" i="4"/>
  <c r="S52" i="4" s="1"/>
  <c r="K53" i="4"/>
  <c r="M53" i="4" s="1"/>
  <c r="L53" i="4"/>
  <c r="S53" i="4" s="1"/>
  <c r="K54" i="4"/>
  <c r="M54" i="4" s="1"/>
  <c r="L54" i="4"/>
  <c r="S54" i="4" s="1"/>
  <c r="K55" i="4"/>
  <c r="M55" i="4" s="1"/>
  <c r="L55" i="4"/>
  <c r="S55" i="4" s="1"/>
  <c r="K56" i="4"/>
  <c r="M56" i="4" s="1"/>
  <c r="L56" i="4"/>
  <c r="S56" i="4" s="1"/>
  <c r="K57" i="4"/>
  <c r="M57" i="4" s="1"/>
  <c r="L57" i="4"/>
  <c r="S57" i="4" s="1"/>
  <c r="K58" i="4"/>
  <c r="M58" i="4" s="1"/>
  <c r="L58" i="4"/>
  <c r="S58" i="4" s="1"/>
  <c r="K59" i="4"/>
  <c r="M59" i="4" s="1"/>
  <c r="L59" i="4"/>
  <c r="S59" i="4" s="1"/>
  <c r="K60" i="4"/>
  <c r="M60" i="4" s="1"/>
  <c r="L60" i="4"/>
  <c r="S60" i="4" s="1"/>
  <c r="K61" i="4"/>
  <c r="M61" i="4" s="1"/>
  <c r="L61" i="4"/>
  <c r="S61" i="4" s="1"/>
  <c r="K62" i="4"/>
  <c r="M62" i="4" s="1"/>
  <c r="L62" i="4"/>
  <c r="S62" i="4" s="1"/>
  <c r="K63" i="4"/>
  <c r="M63" i="4" s="1"/>
  <c r="L63" i="4"/>
  <c r="S63" i="4" s="1"/>
  <c r="K64" i="4"/>
  <c r="M64" i="4" s="1"/>
  <c r="L64" i="4"/>
  <c r="S64" i="4" s="1"/>
  <c r="AF25" i="4"/>
  <c r="AH25" i="4" s="1"/>
  <c r="AG25" i="4"/>
  <c r="AN25" i="4" s="1"/>
  <c r="AF26" i="4"/>
  <c r="AH26" i="4" s="1"/>
  <c r="AG26" i="4"/>
  <c r="AN26" i="4" s="1"/>
  <c r="AF27" i="4"/>
  <c r="AH27" i="4" s="1"/>
  <c r="AG27" i="4"/>
  <c r="AN27" i="4" s="1"/>
  <c r="AF28" i="4"/>
  <c r="AH28" i="4" s="1"/>
  <c r="AG28" i="4"/>
  <c r="AN28" i="4" s="1"/>
  <c r="AF29" i="4"/>
  <c r="AH29" i="4" s="1"/>
  <c r="AG29" i="4"/>
  <c r="AN29" i="4" s="1"/>
  <c r="AF30" i="4"/>
  <c r="AH30" i="4" s="1"/>
  <c r="AG30" i="4"/>
  <c r="AN30" i="4" s="1"/>
  <c r="AF31" i="4"/>
  <c r="AH31" i="4" s="1"/>
  <c r="AG31" i="4"/>
  <c r="AN31" i="4" s="1"/>
  <c r="AF32" i="4"/>
  <c r="AH32" i="4" s="1"/>
  <c r="AG32" i="4"/>
  <c r="AN32" i="4" s="1"/>
  <c r="AF33" i="4"/>
  <c r="AH33" i="4" s="1"/>
  <c r="AG33" i="4"/>
  <c r="AN33" i="4" s="1"/>
  <c r="AF34" i="4"/>
  <c r="AH34" i="4" s="1"/>
  <c r="AG34" i="4"/>
  <c r="AN34" i="4" s="1"/>
  <c r="AF35" i="4"/>
  <c r="AH35" i="4" s="1"/>
  <c r="AG35" i="4"/>
  <c r="AN35" i="4" s="1"/>
  <c r="AF36" i="4"/>
  <c r="AH36" i="4" s="1"/>
  <c r="AG36" i="4"/>
  <c r="AN36" i="4" s="1"/>
  <c r="AF37" i="4"/>
  <c r="AH37" i="4" s="1"/>
  <c r="AG37" i="4"/>
  <c r="AN37" i="4" s="1"/>
  <c r="AF38" i="4"/>
  <c r="AH38" i="4" s="1"/>
  <c r="AG38" i="4"/>
  <c r="AN38" i="4" s="1"/>
  <c r="AF39" i="4"/>
  <c r="AH39" i="4" s="1"/>
  <c r="AG39" i="4"/>
  <c r="AN39" i="4" s="1"/>
  <c r="AF40" i="4"/>
  <c r="AH40" i="4" s="1"/>
  <c r="AG40" i="4"/>
  <c r="AN40" i="4" s="1"/>
  <c r="AF41" i="4"/>
  <c r="AH41" i="4" s="1"/>
  <c r="AG41" i="4"/>
  <c r="AN41" i="4" s="1"/>
  <c r="AF42" i="4"/>
  <c r="AH42" i="4" s="1"/>
  <c r="AG42" i="4"/>
  <c r="AN42" i="4" s="1"/>
  <c r="AF43" i="4"/>
  <c r="AH43" i="4" s="1"/>
  <c r="AG43" i="4"/>
  <c r="AN43" i="4" s="1"/>
  <c r="AF44" i="4"/>
  <c r="AH44" i="4" s="1"/>
  <c r="AG44" i="4"/>
  <c r="AN44" i="4" s="1"/>
  <c r="AF45" i="4"/>
  <c r="AH45" i="4" s="1"/>
  <c r="AG45" i="4"/>
  <c r="AN45" i="4" s="1"/>
  <c r="AF46" i="4"/>
  <c r="AH46" i="4" s="1"/>
  <c r="AG46" i="4"/>
  <c r="AN46" i="4" s="1"/>
  <c r="AF47" i="4"/>
  <c r="AH47" i="4" s="1"/>
  <c r="AG47" i="4"/>
  <c r="AN47" i="4" s="1"/>
  <c r="AF48" i="4"/>
  <c r="AH48" i="4" s="1"/>
  <c r="AG48" i="4"/>
  <c r="AN48" i="4" s="1"/>
  <c r="AF49" i="4"/>
  <c r="AH49" i="4" s="1"/>
  <c r="AG49" i="4"/>
  <c r="AN49" i="4" s="1"/>
  <c r="AF50" i="4"/>
  <c r="AH50" i="4" s="1"/>
  <c r="AG50" i="4"/>
  <c r="AN50" i="4" s="1"/>
  <c r="AF51" i="4"/>
  <c r="AH51" i="4" s="1"/>
  <c r="AG51" i="4"/>
  <c r="AN51" i="4" s="1"/>
  <c r="AF52" i="4"/>
  <c r="AH52" i="4" s="1"/>
  <c r="AG52" i="4"/>
  <c r="AN52" i="4" s="1"/>
  <c r="AF53" i="4"/>
  <c r="AH53" i="4" s="1"/>
  <c r="AG53" i="4"/>
  <c r="AN53" i="4" s="1"/>
  <c r="AF54" i="4"/>
  <c r="AH54" i="4" s="1"/>
  <c r="AG54" i="4"/>
  <c r="AN54" i="4" s="1"/>
  <c r="AF55" i="4"/>
  <c r="AH55" i="4" s="1"/>
  <c r="AG55" i="4"/>
  <c r="AN55" i="4" s="1"/>
  <c r="AF56" i="4"/>
  <c r="AH56" i="4" s="1"/>
  <c r="AG56" i="4"/>
  <c r="AN56" i="4" s="1"/>
  <c r="AF57" i="4"/>
  <c r="AH57" i="4" s="1"/>
  <c r="AG57" i="4"/>
  <c r="AN57" i="4" s="1"/>
  <c r="AF58" i="4"/>
  <c r="AH58" i="4" s="1"/>
  <c r="AG58" i="4"/>
  <c r="AN58" i="4" s="1"/>
  <c r="AF59" i="4"/>
  <c r="AH59" i="4" s="1"/>
  <c r="AG59" i="4"/>
  <c r="AN59" i="4" s="1"/>
  <c r="AF60" i="4"/>
  <c r="AH60" i="4" s="1"/>
  <c r="AG60" i="4"/>
  <c r="AN60" i="4" s="1"/>
  <c r="AF61" i="4"/>
  <c r="AH61" i="4" s="1"/>
  <c r="AG61" i="4"/>
  <c r="AN61" i="4" s="1"/>
  <c r="AF62" i="4"/>
  <c r="AH62" i="4" s="1"/>
  <c r="AG62" i="4"/>
  <c r="AN62" i="4" s="1"/>
  <c r="AF63" i="4"/>
  <c r="AH63" i="4" s="1"/>
  <c r="AG63" i="4"/>
  <c r="AN63" i="4" s="1"/>
  <c r="AF64" i="4"/>
  <c r="AH64" i="4" s="1"/>
  <c r="AG64" i="4"/>
  <c r="AN64" i="4" s="1"/>
  <c r="AB65" i="4"/>
  <c r="L18" i="4" s="1"/>
  <c r="L19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K24" i="15"/>
  <c r="M24" i="15" s="1"/>
  <c r="L24" i="15"/>
  <c r="S24" i="15" s="1"/>
  <c r="K25" i="15"/>
  <c r="M25" i="15" s="1"/>
  <c r="L25" i="15"/>
  <c r="S25" i="15" s="1"/>
  <c r="K26" i="15"/>
  <c r="M26" i="15" s="1"/>
  <c r="L26" i="15"/>
  <c r="S26" i="15" s="1"/>
  <c r="K27" i="15"/>
  <c r="M27" i="15" s="1"/>
  <c r="L27" i="15"/>
  <c r="S27" i="15" s="1"/>
  <c r="K28" i="15"/>
  <c r="M28" i="15" s="1"/>
  <c r="L28" i="15"/>
  <c r="S28" i="15" s="1"/>
  <c r="K29" i="15"/>
  <c r="M29" i="15" s="1"/>
  <c r="L29" i="15"/>
  <c r="S29" i="15" s="1"/>
  <c r="K30" i="15"/>
  <c r="M30" i="15" s="1"/>
  <c r="L30" i="15"/>
  <c r="S30" i="15" s="1"/>
  <c r="K31" i="15"/>
  <c r="M31" i="15" s="1"/>
  <c r="L31" i="15"/>
  <c r="S31" i="15" s="1"/>
  <c r="K32" i="15"/>
  <c r="M32" i="15" s="1"/>
  <c r="L32" i="15"/>
  <c r="S32" i="15" s="1"/>
  <c r="K33" i="15"/>
  <c r="M33" i="15" s="1"/>
  <c r="L33" i="15"/>
  <c r="S33" i="15" s="1"/>
  <c r="K34" i="15"/>
  <c r="M34" i="15" s="1"/>
  <c r="L34" i="15"/>
  <c r="S34" i="15" s="1"/>
  <c r="K35" i="15"/>
  <c r="M35" i="15" s="1"/>
  <c r="L35" i="15"/>
  <c r="S35" i="15" s="1"/>
  <c r="K36" i="15"/>
  <c r="M36" i="15" s="1"/>
  <c r="L36" i="15"/>
  <c r="S36" i="15" s="1"/>
  <c r="K37" i="15"/>
  <c r="M37" i="15" s="1"/>
  <c r="L37" i="15"/>
  <c r="S37" i="15" s="1"/>
  <c r="K38" i="15"/>
  <c r="M38" i="15" s="1"/>
  <c r="L38" i="15"/>
  <c r="S38" i="15" s="1"/>
  <c r="K39" i="15"/>
  <c r="M39" i="15" s="1"/>
  <c r="L39" i="15"/>
  <c r="S39" i="15" s="1"/>
  <c r="K40" i="15"/>
  <c r="M40" i="15" s="1"/>
  <c r="L40" i="15"/>
  <c r="S40" i="15" s="1"/>
  <c r="K41" i="15"/>
  <c r="M41" i="15" s="1"/>
  <c r="L41" i="15"/>
  <c r="S41" i="15" s="1"/>
  <c r="K42" i="15"/>
  <c r="M42" i="15" s="1"/>
  <c r="L42" i="15"/>
  <c r="S42" i="15" s="1"/>
  <c r="K43" i="15"/>
  <c r="M43" i="15" s="1"/>
  <c r="L43" i="15"/>
  <c r="S43" i="15" s="1"/>
  <c r="K44" i="15"/>
  <c r="M44" i="15" s="1"/>
  <c r="L44" i="15"/>
  <c r="S44" i="15" s="1"/>
  <c r="K45" i="15"/>
  <c r="M45" i="15" s="1"/>
  <c r="L45" i="15"/>
  <c r="S45" i="15" s="1"/>
  <c r="K46" i="15"/>
  <c r="M46" i="15" s="1"/>
  <c r="L46" i="15"/>
  <c r="S46" i="15" s="1"/>
  <c r="K47" i="15"/>
  <c r="M47" i="15" s="1"/>
  <c r="L47" i="15"/>
  <c r="S47" i="15" s="1"/>
  <c r="K48" i="15"/>
  <c r="M48" i="15" s="1"/>
  <c r="L48" i="15"/>
  <c r="S48" i="15" s="1"/>
  <c r="K49" i="15"/>
  <c r="M49" i="15" s="1"/>
  <c r="L49" i="15"/>
  <c r="S49" i="15" s="1"/>
  <c r="K50" i="15"/>
  <c r="M50" i="15" s="1"/>
  <c r="L50" i="15"/>
  <c r="S50" i="15" s="1"/>
  <c r="K51" i="15"/>
  <c r="M51" i="15" s="1"/>
  <c r="L51" i="15"/>
  <c r="S51" i="15" s="1"/>
  <c r="K52" i="15"/>
  <c r="M52" i="15" s="1"/>
  <c r="L52" i="15"/>
  <c r="S52" i="15" s="1"/>
  <c r="K53" i="15"/>
  <c r="M53" i="15" s="1"/>
  <c r="L53" i="15"/>
  <c r="S53" i="15" s="1"/>
  <c r="K54" i="15"/>
  <c r="M54" i="15" s="1"/>
  <c r="L54" i="15"/>
  <c r="S54" i="15" s="1"/>
  <c r="K55" i="15"/>
  <c r="M55" i="15" s="1"/>
  <c r="L55" i="15"/>
  <c r="S55" i="15" s="1"/>
  <c r="K56" i="15"/>
  <c r="M56" i="15" s="1"/>
  <c r="L56" i="15"/>
  <c r="S56" i="15" s="1"/>
  <c r="K57" i="15"/>
  <c r="M57" i="15" s="1"/>
  <c r="L57" i="15"/>
  <c r="S57" i="15" s="1"/>
  <c r="K58" i="15"/>
  <c r="M58" i="15" s="1"/>
  <c r="L58" i="15"/>
  <c r="S58" i="15" s="1"/>
  <c r="K59" i="15"/>
  <c r="M59" i="15" s="1"/>
  <c r="L59" i="15"/>
  <c r="S59" i="15" s="1"/>
  <c r="K60" i="15"/>
  <c r="M60" i="15" s="1"/>
  <c r="L60" i="15"/>
  <c r="S60" i="15" s="1"/>
  <c r="K61" i="15"/>
  <c r="M61" i="15" s="1"/>
  <c r="L61" i="15"/>
  <c r="S61" i="15" s="1"/>
  <c r="K62" i="15"/>
  <c r="M62" i="15" s="1"/>
  <c r="L62" i="15"/>
  <c r="S62" i="15" s="1"/>
  <c r="K63" i="15"/>
  <c r="M63" i="15" s="1"/>
  <c r="L63" i="15"/>
  <c r="S63" i="15" s="1"/>
  <c r="AG24" i="15"/>
  <c r="AN24" i="15" s="1"/>
  <c r="AF25" i="15"/>
  <c r="AH25" i="15" s="1"/>
  <c r="AG25" i="15"/>
  <c r="AN25" i="15" s="1"/>
  <c r="AF26" i="15"/>
  <c r="AH26" i="15" s="1"/>
  <c r="AG26" i="15"/>
  <c r="AN26" i="15" s="1"/>
  <c r="AF27" i="15"/>
  <c r="AH27" i="15" s="1"/>
  <c r="AG27" i="15"/>
  <c r="AN27" i="15" s="1"/>
  <c r="AF28" i="15"/>
  <c r="AH28" i="15" s="1"/>
  <c r="AG28" i="15"/>
  <c r="AN28" i="15" s="1"/>
  <c r="AF29" i="15"/>
  <c r="AH29" i="15" s="1"/>
  <c r="AG29" i="15"/>
  <c r="AN29" i="15" s="1"/>
  <c r="AF30" i="15"/>
  <c r="AH30" i="15" s="1"/>
  <c r="AG30" i="15"/>
  <c r="AN30" i="15" s="1"/>
  <c r="AF31" i="15"/>
  <c r="AH31" i="15" s="1"/>
  <c r="AG31" i="15"/>
  <c r="AN31" i="15" s="1"/>
  <c r="AF32" i="15"/>
  <c r="AH32" i="15" s="1"/>
  <c r="AG32" i="15"/>
  <c r="AN32" i="15" s="1"/>
  <c r="AF33" i="15"/>
  <c r="AH33" i="15" s="1"/>
  <c r="AG33" i="15"/>
  <c r="AN33" i="15" s="1"/>
  <c r="AF34" i="15"/>
  <c r="AH34" i="15" s="1"/>
  <c r="AG34" i="15"/>
  <c r="AN34" i="15" s="1"/>
  <c r="AF35" i="15"/>
  <c r="AH35" i="15" s="1"/>
  <c r="AG35" i="15"/>
  <c r="AN35" i="15" s="1"/>
  <c r="AF36" i="15"/>
  <c r="AH36" i="15" s="1"/>
  <c r="AG36" i="15"/>
  <c r="AN36" i="15" s="1"/>
  <c r="AF37" i="15"/>
  <c r="AH37" i="15" s="1"/>
  <c r="AG37" i="15"/>
  <c r="AN37" i="15" s="1"/>
  <c r="AF38" i="15"/>
  <c r="AH38" i="15" s="1"/>
  <c r="AG38" i="15"/>
  <c r="AN38" i="15" s="1"/>
  <c r="AF39" i="15"/>
  <c r="AH39" i="15" s="1"/>
  <c r="AG39" i="15"/>
  <c r="AN39" i="15" s="1"/>
  <c r="AF40" i="15"/>
  <c r="AH40" i="15" s="1"/>
  <c r="AG40" i="15"/>
  <c r="AN40" i="15" s="1"/>
  <c r="AF41" i="15"/>
  <c r="AH41" i="15" s="1"/>
  <c r="AG41" i="15"/>
  <c r="AN41" i="15" s="1"/>
  <c r="AF42" i="15"/>
  <c r="AH42" i="15" s="1"/>
  <c r="AG42" i="15"/>
  <c r="AN42" i="15" s="1"/>
  <c r="AF43" i="15"/>
  <c r="AH43" i="15" s="1"/>
  <c r="AG43" i="15"/>
  <c r="AN43" i="15" s="1"/>
  <c r="AF44" i="15"/>
  <c r="AH44" i="15" s="1"/>
  <c r="AG44" i="15"/>
  <c r="AN44" i="15" s="1"/>
  <c r="AF45" i="15"/>
  <c r="AH45" i="15" s="1"/>
  <c r="AG45" i="15"/>
  <c r="AN45" i="15" s="1"/>
  <c r="AF46" i="15"/>
  <c r="AH46" i="15" s="1"/>
  <c r="AG46" i="15"/>
  <c r="AN46" i="15" s="1"/>
  <c r="AF47" i="15"/>
  <c r="AH47" i="15" s="1"/>
  <c r="AG47" i="15"/>
  <c r="AN47" i="15" s="1"/>
  <c r="AF48" i="15"/>
  <c r="AH48" i="15" s="1"/>
  <c r="AG48" i="15"/>
  <c r="AN48" i="15" s="1"/>
  <c r="AF49" i="15"/>
  <c r="AH49" i="15" s="1"/>
  <c r="AG49" i="15"/>
  <c r="AN49" i="15" s="1"/>
  <c r="AF50" i="15"/>
  <c r="AH50" i="15" s="1"/>
  <c r="AG50" i="15"/>
  <c r="AN50" i="15" s="1"/>
  <c r="AF51" i="15"/>
  <c r="AH51" i="15" s="1"/>
  <c r="AG51" i="15"/>
  <c r="AN51" i="15" s="1"/>
  <c r="AF52" i="15"/>
  <c r="AH52" i="15" s="1"/>
  <c r="AG52" i="15"/>
  <c r="AN52" i="15" s="1"/>
  <c r="AF53" i="15"/>
  <c r="AH53" i="15" s="1"/>
  <c r="AG53" i="15"/>
  <c r="AN53" i="15" s="1"/>
  <c r="AF54" i="15"/>
  <c r="AH54" i="15" s="1"/>
  <c r="AG54" i="15"/>
  <c r="AN54" i="15" s="1"/>
  <c r="AF55" i="15"/>
  <c r="AH55" i="15" s="1"/>
  <c r="AG55" i="15"/>
  <c r="AN55" i="15" s="1"/>
  <c r="AF56" i="15"/>
  <c r="AH56" i="15" s="1"/>
  <c r="AG56" i="15"/>
  <c r="AN56" i="15" s="1"/>
  <c r="AF57" i="15"/>
  <c r="AH57" i="15" s="1"/>
  <c r="AG57" i="15"/>
  <c r="AN57" i="15" s="1"/>
  <c r="AF58" i="15"/>
  <c r="AH58" i="15" s="1"/>
  <c r="AG58" i="15"/>
  <c r="AN58" i="15" s="1"/>
  <c r="AF59" i="15"/>
  <c r="AH59" i="15" s="1"/>
  <c r="AG59" i="15"/>
  <c r="AN59" i="15" s="1"/>
  <c r="AF60" i="15"/>
  <c r="AH60" i="15" s="1"/>
  <c r="AG60" i="15"/>
  <c r="AN60" i="15" s="1"/>
  <c r="AF61" i="15"/>
  <c r="AH61" i="15" s="1"/>
  <c r="AG61" i="15"/>
  <c r="AN61" i="15" s="1"/>
  <c r="AF62" i="15"/>
  <c r="AH62" i="15" s="1"/>
  <c r="AG62" i="15"/>
  <c r="AN62" i="15" s="1"/>
  <c r="AF63" i="15"/>
  <c r="AH63" i="15" s="1"/>
  <c r="AG63" i="15"/>
  <c r="AN63" i="15" s="1"/>
  <c r="AF64" i="15"/>
  <c r="AH64" i="15" s="1"/>
  <c r="AG64" i="15"/>
  <c r="AN64" i="15" s="1"/>
  <c r="AF65" i="15"/>
  <c r="AH65" i="15" s="1"/>
  <c r="AG65" i="15"/>
  <c r="AN65" i="15" s="1"/>
  <c r="AF66" i="15"/>
  <c r="AH66" i="15" s="1"/>
  <c r="AG66" i="15"/>
  <c r="AN66" i="15" s="1"/>
  <c r="AF67" i="15"/>
  <c r="AH67" i="15" s="1"/>
  <c r="AG67" i="15"/>
  <c r="AN67" i="15" s="1"/>
  <c r="AF68" i="15"/>
  <c r="AH68" i="15" s="1"/>
  <c r="AG68" i="15"/>
  <c r="AN68" i="15" s="1"/>
  <c r="AF69" i="15"/>
  <c r="AH69" i="15" s="1"/>
  <c r="AG69" i="15"/>
  <c r="AN69" i="15" s="1"/>
  <c r="AF70" i="15"/>
  <c r="AH70" i="15" s="1"/>
  <c r="AG70" i="15"/>
  <c r="AN70" i="15" s="1"/>
  <c r="AF71" i="15"/>
  <c r="AH71" i="15" s="1"/>
  <c r="AG71" i="15"/>
  <c r="AN71" i="15" s="1"/>
  <c r="AF72" i="15"/>
  <c r="AH72" i="15" s="1"/>
  <c r="AG72" i="15"/>
  <c r="AN72" i="15" s="1"/>
  <c r="AF73" i="15"/>
  <c r="AH73" i="15" s="1"/>
  <c r="AG73" i="15"/>
  <c r="AN73" i="15" s="1"/>
  <c r="AF74" i="15"/>
  <c r="AH74" i="15" s="1"/>
  <c r="AG74" i="15"/>
  <c r="AN74" i="15" s="1"/>
  <c r="AF75" i="15"/>
  <c r="AH75" i="15" s="1"/>
  <c r="AG75" i="15"/>
  <c r="AN75" i="15" s="1"/>
  <c r="AF76" i="15"/>
  <c r="AH76" i="15" s="1"/>
  <c r="AG76" i="15"/>
  <c r="AN76" i="15" s="1"/>
  <c r="AF77" i="15"/>
  <c r="AH77" i="15" s="1"/>
  <c r="AG77" i="15"/>
  <c r="AN77" i="15" s="1"/>
  <c r="AF78" i="15"/>
  <c r="AH78" i="15" s="1"/>
  <c r="AG78" i="15"/>
  <c r="AN78" i="15" s="1"/>
  <c r="AF79" i="15"/>
  <c r="AH79" i="15" s="1"/>
  <c r="AG79" i="15"/>
  <c r="AN79" i="15" s="1"/>
  <c r="AF80" i="15"/>
  <c r="AH80" i="15" s="1"/>
  <c r="AG80" i="15"/>
  <c r="AN80" i="15" s="1"/>
  <c r="AF81" i="15"/>
  <c r="AH81" i="15" s="1"/>
  <c r="AG81" i="15"/>
  <c r="AN81" i="15" s="1"/>
  <c r="AF82" i="15"/>
  <c r="AH82" i="15" s="1"/>
  <c r="AG82" i="15"/>
  <c r="AN82" i="15" s="1"/>
  <c r="AF83" i="15"/>
  <c r="AH83" i="15" s="1"/>
  <c r="AG83" i="15"/>
  <c r="AN83" i="15" s="1"/>
  <c r="AF84" i="15"/>
  <c r="AH84" i="15" s="1"/>
  <c r="AG84" i="15"/>
  <c r="AN84" i="15" s="1"/>
  <c r="AF85" i="15"/>
  <c r="AH85" i="15" s="1"/>
  <c r="AG85" i="15"/>
  <c r="AN85" i="15" s="1"/>
  <c r="AF86" i="15"/>
  <c r="AH86" i="15" s="1"/>
  <c r="AG86" i="15"/>
  <c r="AN86" i="15" s="1"/>
  <c r="AF87" i="15"/>
  <c r="AH87" i="15" s="1"/>
  <c r="AG87" i="15"/>
  <c r="AN87" i="15" s="1"/>
  <c r="AF88" i="15"/>
  <c r="AH88" i="15" s="1"/>
  <c r="AG88" i="15"/>
  <c r="AN88" i="15" s="1"/>
  <c r="AF89" i="15"/>
  <c r="AH89" i="15" s="1"/>
  <c r="AG89" i="15"/>
  <c r="AN89" i="15" s="1"/>
  <c r="AF90" i="15"/>
  <c r="AH90" i="15" s="1"/>
  <c r="AG90" i="15"/>
  <c r="AN90" i="15" s="1"/>
  <c r="AF91" i="15"/>
  <c r="AH91" i="15" s="1"/>
  <c r="AG91" i="15"/>
  <c r="AN91" i="15" s="1"/>
  <c r="AF92" i="15"/>
  <c r="AH92" i="15" s="1"/>
  <c r="AG92" i="15"/>
  <c r="AN92" i="15" s="1"/>
  <c r="AF93" i="15"/>
  <c r="AH93" i="15" s="1"/>
  <c r="AG93" i="15"/>
  <c r="AN93" i="15" s="1"/>
  <c r="AF94" i="15"/>
  <c r="AH94" i="15" s="1"/>
  <c r="AG94" i="15"/>
  <c r="AN94" i="15" s="1"/>
  <c r="AF95" i="15"/>
  <c r="AH95" i="15" s="1"/>
  <c r="AG95" i="15"/>
  <c r="AN95" i="15" s="1"/>
  <c r="AF96" i="15"/>
  <c r="AH96" i="15" s="1"/>
  <c r="AG96" i="15"/>
  <c r="AN96" i="15" s="1"/>
  <c r="AO24" i="15"/>
  <c r="AO25" i="15"/>
  <c r="AO26" i="15"/>
  <c r="AO27" i="15"/>
  <c r="AO28" i="15"/>
  <c r="AO29" i="15"/>
  <c r="AO30" i="15"/>
  <c r="AO31" i="15"/>
  <c r="AO32" i="15"/>
  <c r="AO33" i="15"/>
  <c r="AO34" i="15"/>
  <c r="AO35" i="15"/>
  <c r="AO36" i="15"/>
  <c r="AO37" i="15"/>
  <c r="AO38" i="15"/>
  <c r="AO39" i="15"/>
  <c r="AO40" i="15"/>
  <c r="AO41" i="15"/>
  <c r="AO42" i="15"/>
  <c r="AO43" i="15"/>
  <c r="AO44" i="15"/>
  <c r="AO45" i="15"/>
  <c r="AO46" i="15"/>
  <c r="AO47" i="15"/>
  <c r="AO48" i="15"/>
  <c r="AO49" i="15"/>
  <c r="AO50" i="15"/>
  <c r="AO51" i="15"/>
  <c r="AO52" i="15"/>
  <c r="AO53" i="15"/>
  <c r="AO54" i="15"/>
  <c r="AO55" i="15"/>
  <c r="AO56" i="15"/>
  <c r="AO57" i="15"/>
  <c r="AO58" i="15"/>
  <c r="AO59" i="15"/>
  <c r="AO60" i="15"/>
  <c r="AO61" i="15"/>
  <c r="AO62" i="15"/>
  <c r="AO63" i="15"/>
  <c r="AO64" i="15"/>
  <c r="AO65" i="15"/>
  <c r="AO66" i="15"/>
  <c r="AO67" i="15"/>
  <c r="AO68" i="15"/>
  <c r="AO69" i="15"/>
  <c r="AO70" i="15"/>
  <c r="AO71" i="15"/>
  <c r="AO72" i="15"/>
  <c r="AO73" i="15"/>
  <c r="AO74" i="15"/>
  <c r="AO75" i="15"/>
  <c r="AO76" i="15"/>
  <c r="AO77" i="15"/>
  <c r="AO78" i="15"/>
  <c r="AO79" i="15"/>
  <c r="AO80" i="15"/>
  <c r="AO81" i="15"/>
  <c r="AO82" i="15"/>
  <c r="AO83" i="15"/>
  <c r="AO84" i="15"/>
  <c r="AO85" i="15"/>
  <c r="AO86" i="15"/>
  <c r="AO87" i="15"/>
  <c r="AO88" i="15"/>
  <c r="AO89" i="15"/>
  <c r="AO90" i="15"/>
  <c r="AO91" i="15"/>
  <c r="AO92" i="15"/>
  <c r="AO93" i="15"/>
  <c r="AO94" i="15"/>
  <c r="AO95" i="15"/>
  <c r="AO96" i="15"/>
  <c r="AB97" i="15"/>
  <c r="L18" i="15"/>
  <c r="AM24" i="15"/>
  <c r="AM25" i="15"/>
  <c r="AM26" i="15"/>
  <c r="AM27" i="15"/>
  <c r="AM28" i="15"/>
  <c r="AM29" i="15"/>
  <c r="AM30" i="15"/>
  <c r="AM31" i="15"/>
  <c r="AM32" i="15"/>
  <c r="AM33" i="15"/>
  <c r="AM34" i="15"/>
  <c r="AM35" i="15"/>
  <c r="AM36" i="15"/>
  <c r="AM37" i="15"/>
  <c r="AM38" i="15"/>
  <c r="AM39" i="15"/>
  <c r="AM40" i="15"/>
  <c r="AM41" i="15"/>
  <c r="AM42" i="15"/>
  <c r="AM43" i="15"/>
  <c r="AM44" i="15"/>
  <c r="AM45" i="15"/>
  <c r="AM46" i="15"/>
  <c r="AM47" i="15"/>
  <c r="AM48" i="15"/>
  <c r="AM49" i="15"/>
  <c r="AM50" i="15"/>
  <c r="AM51" i="15"/>
  <c r="AM52" i="15"/>
  <c r="AM53" i="15"/>
  <c r="AM54" i="15"/>
  <c r="AM55" i="15"/>
  <c r="AM56" i="15"/>
  <c r="AM57" i="15"/>
  <c r="AM58" i="15"/>
  <c r="AM59" i="15"/>
  <c r="AM60" i="15"/>
  <c r="AM61" i="15"/>
  <c r="AM62" i="15"/>
  <c r="AM63" i="15"/>
  <c r="AM64" i="15"/>
  <c r="AM65" i="15"/>
  <c r="AM66" i="15"/>
  <c r="AM67" i="15"/>
  <c r="AM68" i="15"/>
  <c r="AM69" i="15"/>
  <c r="AM70" i="15"/>
  <c r="AM71" i="15"/>
  <c r="AM72" i="15"/>
  <c r="AM73" i="15"/>
  <c r="AM74" i="15"/>
  <c r="AM75" i="15"/>
  <c r="AM76" i="15"/>
  <c r="AM77" i="15"/>
  <c r="AM78" i="15"/>
  <c r="AM79" i="15"/>
  <c r="AM80" i="15"/>
  <c r="AM81" i="15"/>
  <c r="AM82" i="15"/>
  <c r="AM83" i="15"/>
  <c r="AM84" i="15"/>
  <c r="AM85" i="15"/>
  <c r="AM86" i="15"/>
  <c r="AM87" i="15"/>
  <c r="AM88" i="15"/>
  <c r="AM89" i="15"/>
  <c r="AM90" i="15"/>
  <c r="AM91" i="15"/>
  <c r="AM92" i="15"/>
  <c r="AM93" i="15"/>
  <c r="AM94" i="15"/>
  <c r="AM95" i="15"/>
  <c r="AM96" i="15"/>
  <c r="K11" i="9"/>
  <c r="K10" i="9"/>
  <c r="U9" i="13"/>
  <c r="X9" i="13" s="1"/>
  <c r="V9" i="13"/>
  <c r="W9" i="13" s="1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K9" i="9"/>
  <c r="I65" i="4"/>
  <c r="AD65" i="4"/>
  <c r="AO25" i="4"/>
  <c r="AC97" i="15"/>
  <c r="R64" i="15"/>
  <c r="G64" i="15"/>
  <c r="AC65" i="4"/>
  <c r="G65" i="4"/>
  <c r="R65" i="4"/>
  <c r="K42" i="3"/>
  <c r="K43" i="3"/>
  <c r="L41" i="16" s="1"/>
  <c r="D143" i="19" s="1"/>
  <c r="V33" i="18" l="1"/>
  <c r="L20" i="4"/>
  <c r="L65" i="4"/>
  <c r="AO65" i="4"/>
  <c r="G18" i="4" s="1"/>
  <c r="AG65" i="4"/>
  <c r="AM65" i="4"/>
  <c r="E8" i="4" s="1"/>
  <c r="L8" i="4" s="1"/>
  <c r="AI43" i="4"/>
  <c r="AI44" i="4"/>
  <c r="AI36" i="4"/>
  <c r="AI28" i="4"/>
  <c r="U82" i="7"/>
  <c r="N29" i="4"/>
  <c r="N39" i="4"/>
  <c r="N43" i="4"/>
  <c r="N53" i="4"/>
  <c r="N63" i="4"/>
  <c r="N62" i="15"/>
  <c r="N56" i="15"/>
  <c r="N37" i="4"/>
  <c r="N47" i="4"/>
  <c r="N51" i="4"/>
  <c r="N61" i="4"/>
  <c r="N60" i="15"/>
  <c r="N31" i="4"/>
  <c r="N59" i="4"/>
  <c r="N35" i="4"/>
  <c r="N45" i="4"/>
  <c r="N55" i="4"/>
  <c r="N58" i="15"/>
  <c r="AI27" i="4"/>
  <c r="AI29" i="4"/>
  <c r="AI31" i="4"/>
  <c r="AI33" i="4"/>
  <c r="AI35" i="4"/>
  <c r="AI37" i="4"/>
  <c r="AI39" i="4"/>
  <c r="AI41" i="4"/>
  <c r="AI26" i="4"/>
  <c r="AI34" i="4"/>
  <c r="AI42" i="4"/>
  <c r="AI32" i="4"/>
  <c r="AI40" i="4"/>
  <c r="AI30" i="4"/>
  <c r="AI38" i="4"/>
  <c r="N27" i="15"/>
  <c r="N29" i="15"/>
  <c r="N31" i="15"/>
  <c r="N33" i="15"/>
  <c r="N35" i="15"/>
  <c r="N37" i="15"/>
  <c r="N39" i="15"/>
  <c r="N41" i="15"/>
  <c r="N43" i="15"/>
  <c r="N45" i="15"/>
  <c r="N47" i="15"/>
  <c r="N49" i="15"/>
  <c r="N51" i="15"/>
  <c r="N53" i="15"/>
  <c r="N55" i="15"/>
  <c r="N57" i="15"/>
  <c r="N59" i="15"/>
  <c r="N61" i="15"/>
  <c r="N63" i="15"/>
  <c r="N24" i="15"/>
  <c r="N26" i="15"/>
  <c r="N28" i="15"/>
  <c r="N30" i="15"/>
  <c r="N32" i="15"/>
  <c r="N34" i="15"/>
  <c r="N36" i="15"/>
  <c r="N38" i="15"/>
  <c r="N40" i="15"/>
  <c r="N42" i="15"/>
  <c r="N44" i="15"/>
  <c r="N46" i="15"/>
  <c r="N48" i="15"/>
  <c r="N50" i="15"/>
  <c r="N52" i="15"/>
  <c r="N54" i="15"/>
  <c r="N26" i="4"/>
  <c r="N28" i="4"/>
  <c r="N30" i="4"/>
  <c r="N32" i="4"/>
  <c r="N34" i="4"/>
  <c r="N36" i="4"/>
  <c r="N38" i="4"/>
  <c r="N40" i="4"/>
  <c r="N42" i="4"/>
  <c r="N44" i="4"/>
  <c r="N46" i="4"/>
  <c r="N48" i="4"/>
  <c r="N50" i="4"/>
  <c r="N52" i="4"/>
  <c r="N54" i="4"/>
  <c r="N56" i="4"/>
  <c r="N58" i="4"/>
  <c r="N60" i="4"/>
  <c r="N62" i="4"/>
  <c r="N64" i="4"/>
  <c r="N27" i="4"/>
  <c r="N49" i="4"/>
  <c r="N33" i="4"/>
  <c r="N57" i="4"/>
  <c r="N41" i="4"/>
  <c r="N25" i="4"/>
  <c r="K60" i="9"/>
  <c r="AC82" i="7"/>
  <c r="AD82" i="7"/>
  <c r="V298" i="13"/>
  <c r="AO97" i="15"/>
  <c r="G17" i="15" s="1"/>
  <c r="AM97" i="15"/>
  <c r="E7" i="15" s="1"/>
  <c r="L7" i="15" s="1"/>
  <c r="AD298" i="13"/>
  <c r="W298" i="13"/>
  <c r="F56" i="16" s="1"/>
  <c r="AC298" i="13"/>
  <c r="U298" i="13"/>
  <c r="Y298" i="13"/>
  <c r="X298" i="13"/>
  <c r="Z298" i="13"/>
  <c r="S9" i="13"/>
  <c r="T9" i="13" s="1"/>
  <c r="AA9" i="13"/>
  <c r="AE9" i="13" s="1"/>
  <c r="L17" i="15" l="1"/>
  <c r="L19" i="15" s="1"/>
  <c r="N25" i="15"/>
  <c r="N64" i="15" s="1"/>
  <c r="E12" i="4"/>
  <c r="L12" i="4" s="1"/>
  <c r="K14" i="16" s="1"/>
  <c r="E107" i="16" s="1"/>
  <c r="S65" i="4"/>
  <c r="E34" i="16"/>
  <c r="E111" i="16"/>
  <c r="AF9" i="13"/>
  <c r="AG9" i="13" s="1"/>
  <c r="AN97" i="15"/>
  <c r="N65" i="4"/>
  <c r="S64" i="15"/>
  <c r="AI29" i="15"/>
  <c r="AI31" i="15"/>
  <c r="AI33" i="15"/>
  <c r="AI35" i="15"/>
  <c r="AI37" i="15"/>
  <c r="AI39" i="15"/>
  <c r="AI41" i="15"/>
  <c r="AI43" i="15"/>
  <c r="AI45" i="15"/>
  <c r="AI47" i="15"/>
  <c r="AI49" i="15"/>
  <c r="AI51" i="15"/>
  <c r="AI53" i="15"/>
  <c r="AI55" i="15"/>
  <c r="AI57" i="15"/>
  <c r="AI59" i="15"/>
  <c r="AI61" i="15"/>
  <c r="AI63" i="15"/>
  <c r="AI65" i="15"/>
  <c r="AI67" i="15"/>
  <c r="AI69" i="15"/>
  <c r="AI71" i="15"/>
  <c r="AI73" i="15"/>
  <c r="AI75" i="15"/>
  <c r="AI77" i="15"/>
  <c r="AI79" i="15"/>
  <c r="AI81" i="15"/>
  <c r="AI83" i="15"/>
  <c r="AI85" i="15"/>
  <c r="AI87" i="15"/>
  <c r="AI89" i="15"/>
  <c r="AI91" i="15"/>
  <c r="AI25" i="4"/>
  <c r="AI45" i="4"/>
  <c r="AI47" i="4"/>
  <c r="AI49" i="4"/>
  <c r="AI51" i="4"/>
  <c r="AI53" i="4"/>
  <c r="AI55" i="4"/>
  <c r="AI57" i="4"/>
  <c r="AI59" i="4"/>
  <c r="AI61" i="4"/>
  <c r="AI63" i="4"/>
  <c r="AI24" i="15"/>
  <c r="AI52" i="4"/>
  <c r="AI28" i="15"/>
  <c r="AI36" i="15"/>
  <c r="AI44" i="15"/>
  <c r="AI52" i="15"/>
  <c r="AI60" i="15"/>
  <c r="AI68" i="15"/>
  <c r="AI76" i="15"/>
  <c r="AI84" i="15"/>
  <c r="AI46" i="4"/>
  <c r="AI62" i="4"/>
  <c r="AI26" i="15"/>
  <c r="AI92" i="15"/>
  <c r="AI94" i="15"/>
  <c r="AI96" i="15"/>
  <c r="AI56" i="4"/>
  <c r="AI34" i="15"/>
  <c r="AI42" i="15"/>
  <c r="AI50" i="15"/>
  <c r="AI58" i="15"/>
  <c r="AI66" i="15"/>
  <c r="AI74" i="15"/>
  <c r="AI82" i="15"/>
  <c r="AI90" i="15"/>
  <c r="AI50" i="4"/>
  <c r="AI60" i="4"/>
  <c r="AI25" i="15"/>
  <c r="AI32" i="15"/>
  <c r="AI40" i="15"/>
  <c r="AI48" i="15"/>
  <c r="AI56" i="15"/>
  <c r="AI64" i="15"/>
  <c r="AI72" i="15"/>
  <c r="AI80" i="15"/>
  <c r="AI88" i="15"/>
  <c r="AI54" i="4"/>
  <c r="AI27" i="15"/>
  <c r="AI93" i="15"/>
  <c r="AI95" i="15"/>
  <c r="AI48" i="4"/>
  <c r="AI64" i="4"/>
  <c r="AI30" i="15"/>
  <c r="AI38" i="15"/>
  <c r="AI46" i="15"/>
  <c r="AI54" i="15"/>
  <c r="AI62" i="15"/>
  <c r="AI70" i="15"/>
  <c r="AI78" i="15"/>
  <c r="AI86" i="15"/>
  <c r="AI58" i="4"/>
  <c r="E11" i="15"/>
  <c r="L11" i="15" s="1"/>
  <c r="T298" i="13"/>
  <c r="S298" i="13"/>
  <c r="AA298" i="13"/>
  <c r="K24" i="16" l="1"/>
  <c r="E110" i="16" s="1"/>
  <c r="AN65" i="4"/>
  <c r="F57" i="16"/>
  <c r="E45" i="16"/>
  <c r="E108" i="16"/>
  <c r="E105" i="16"/>
  <c r="AI97" i="15"/>
  <c r="E24" i="16" s="1"/>
  <c r="AI65" i="4"/>
  <c r="E14" i="16" s="1"/>
  <c r="AE298" i="13"/>
  <c r="E109" i="16" l="1"/>
  <c r="E106" i="16"/>
  <c r="AF298" i="13"/>
  <c r="K105" i="16" l="1"/>
  <c r="V36" i="18" s="1"/>
  <c r="AG298" i="13"/>
  <c r="E112" i="16" s="1"/>
  <c r="F9" i="17" l="1"/>
  <c r="H9" i="17" s="1"/>
  <c r="F15" i="17"/>
  <c r="B15" i="17" l="1"/>
  <c r="AH10" i="7" l="1"/>
  <c r="AI10" i="7" s="1"/>
  <c r="AL10" i="7" s="1"/>
  <c r="V23" i="7"/>
  <c r="Y23" i="7" s="1"/>
  <c r="V34" i="7"/>
  <c r="Y34" i="7" s="1"/>
  <c r="V51" i="7"/>
  <c r="Y51" i="7" s="1"/>
  <c r="V47" i="7"/>
  <c r="Y47" i="7" s="1"/>
  <c r="V52" i="7"/>
  <c r="Y52" i="7" s="1"/>
  <c r="V24" i="7"/>
  <c r="Y24" i="7" s="1"/>
  <c r="V44" i="7"/>
  <c r="Y44" i="7" s="1"/>
  <c r="V46" i="7"/>
  <c r="Y46" i="7" s="1"/>
  <c r="V61" i="7"/>
  <c r="Y61" i="7" s="1"/>
  <c r="V39" i="7"/>
  <c r="Y39" i="7" s="1"/>
  <c r="V63" i="7"/>
  <c r="Y63" i="7" s="1"/>
  <c r="V33" i="7"/>
  <c r="Y33" i="7" s="1"/>
  <c r="Z38" i="7"/>
  <c r="S38" i="7" s="1"/>
  <c r="T38" i="7" s="1"/>
  <c r="V55" i="7"/>
  <c r="Y55" i="7" s="1"/>
  <c r="W9" i="7"/>
  <c r="Z41" i="7"/>
  <c r="S41" i="7" s="1"/>
  <c r="T41" i="7" s="1"/>
  <c r="V48" i="7"/>
  <c r="Y48" i="7" s="1"/>
  <c r="V74" i="7"/>
  <c r="Y74" i="7" s="1"/>
  <c r="V29" i="7"/>
  <c r="Y29" i="7" s="1"/>
  <c r="V32" i="7"/>
  <c r="Y32" i="7" s="1"/>
  <c r="W34" i="7"/>
  <c r="X34" i="7"/>
  <c r="X81" i="7"/>
  <c r="W81" i="7"/>
  <c r="V9" i="7"/>
  <c r="Y9" i="7" s="1"/>
  <c r="Z66" i="7"/>
  <c r="S66" i="7" s="1"/>
  <c r="T66" i="7" s="1"/>
  <c r="N82" i="7"/>
  <c r="V37" i="7"/>
  <c r="Y37" i="7" s="1"/>
  <c r="Z19" i="7"/>
  <c r="AA19" i="7" s="1"/>
  <c r="V72" i="7"/>
  <c r="Y72" i="7" s="1"/>
  <c r="V67" i="7"/>
  <c r="Y67" i="7" s="1"/>
  <c r="V19" i="7"/>
  <c r="Y19" i="7" s="1"/>
  <c r="Z34" i="7"/>
  <c r="S34" i="7" s="1"/>
  <c r="T34" i="7" s="1"/>
  <c r="V35" i="7"/>
  <c r="Y35" i="7" s="1"/>
  <c r="V31" i="7"/>
  <c r="Y31" i="7" s="1"/>
  <c r="W52" i="7"/>
  <c r="X52" i="7"/>
  <c r="W44" i="7"/>
  <c r="X44" i="7"/>
  <c r="V81" i="7"/>
  <c r="Y81" i="7" s="1"/>
  <c r="X74" i="7"/>
  <c r="W74" i="7"/>
  <c r="X9" i="7"/>
  <c r="V45" i="7"/>
  <c r="Y45" i="7" s="1"/>
  <c r="V20" i="7"/>
  <c r="Y20" i="7" s="1"/>
  <c r="W47" i="7"/>
  <c r="X47" i="7"/>
  <c r="V18" i="7"/>
  <c r="Y18" i="7" s="1"/>
  <c r="V30" i="7"/>
  <c r="Y30" i="7" s="1"/>
  <c r="V10" i="7"/>
  <c r="Y10" i="7" s="1"/>
  <c r="V41" i="7"/>
  <c r="Y41" i="7" s="1"/>
  <c r="V66" i="7"/>
  <c r="Y66" i="7" s="1"/>
  <c r="V28" i="7"/>
  <c r="Y28" i="7" s="1"/>
  <c r="Z73" i="7"/>
  <c r="S73" i="7" s="1"/>
  <c r="T73" i="7" s="1"/>
  <c r="X37" i="7"/>
  <c r="W37" i="7"/>
  <c r="X38" i="7"/>
  <c r="W38" i="7"/>
  <c r="W43" i="7"/>
  <c r="X43" i="7"/>
  <c r="W20" i="7"/>
  <c r="X20" i="7"/>
  <c r="X73" i="7"/>
  <c r="W73" i="7"/>
  <c r="X45" i="7"/>
  <c r="W45" i="7"/>
  <c r="X35" i="7"/>
  <c r="W35" i="7"/>
  <c r="X51" i="7"/>
  <c r="W51" i="7"/>
  <c r="Z30" i="7"/>
  <c r="S30" i="7" s="1"/>
  <c r="T30" i="7" s="1"/>
  <c r="W72" i="7"/>
  <c r="X72" i="7"/>
  <c r="X53" i="7"/>
  <c r="W53" i="7"/>
  <c r="V78" i="7"/>
  <c r="Y78" i="7" s="1"/>
  <c r="Z36" i="7"/>
  <c r="AA36" i="7" s="1"/>
  <c r="V17" i="7"/>
  <c r="Y17" i="7" s="1"/>
  <c r="W55" i="7"/>
  <c r="X55" i="7"/>
  <c r="V38" i="7"/>
  <c r="V43" i="7"/>
  <c r="Y43" i="7" s="1"/>
  <c r="Z31" i="7"/>
  <c r="S31" i="7" s="1"/>
  <c r="T31" i="7" s="1"/>
  <c r="V77" i="7"/>
  <c r="Y77" i="7" s="1"/>
  <c r="W16" i="7"/>
  <c r="X16" i="7"/>
  <c r="V56" i="7"/>
  <c r="Y56" i="7" s="1"/>
  <c r="X48" i="7"/>
  <c r="W48" i="7"/>
  <c r="Z54" i="7"/>
  <c r="S54" i="7" s="1"/>
  <c r="T54" i="7" s="1"/>
  <c r="Z74" i="7"/>
  <c r="Z49" i="7"/>
  <c r="S49" i="7" s="1"/>
  <c r="T49" i="7" s="1"/>
  <c r="Z72" i="7"/>
  <c r="AA72" i="7" s="1"/>
  <c r="V58" i="7"/>
  <c r="Y58" i="7" s="1"/>
  <c r="V53" i="7"/>
  <c r="Y53" i="7" s="1"/>
  <c r="X60" i="7"/>
  <c r="W60" i="7"/>
  <c r="Z60" i="7"/>
  <c r="AA60" i="7" s="1"/>
  <c r="V79" i="7"/>
  <c r="Y79" i="7" s="1"/>
  <c r="Z11" i="7"/>
  <c r="S11" i="7" s="1"/>
  <c r="T11" i="7" s="1"/>
  <c r="Z69" i="7"/>
  <c r="S69" i="7" s="1"/>
  <c r="T69" i="7" s="1"/>
  <c r="X78" i="7"/>
  <c r="W78" i="7"/>
  <c r="X39" i="7"/>
  <c r="W39" i="7"/>
  <c r="X69" i="7"/>
  <c r="W69" i="7"/>
  <c r="X33" i="7"/>
  <c r="W33" i="7"/>
  <c r="W18" i="7"/>
  <c r="X18" i="7"/>
  <c r="Z55" i="7"/>
  <c r="S55" i="7" s="1"/>
  <c r="T55" i="7" s="1"/>
  <c r="V14" i="7"/>
  <c r="Y14" i="7" s="1"/>
  <c r="V16" i="7"/>
  <c r="Y16" i="7" s="1"/>
  <c r="Z59" i="7"/>
  <c r="V73" i="7"/>
  <c r="Y73" i="7" s="1"/>
  <c r="X67" i="7"/>
  <c r="W67" i="7"/>
  <c r="Z58" i="7"/>
  <c r="S58" i="7" s="1"/>
  <c r="T58" i="7" s="1"/>
  <c r="W58" i="7"/>
  <c r="X58" i="7"/>
  <c r="Z46" i="7"/>
  <c r="AA46" i="7" s="1"/>
  <c r="W46" i="7"/>
  <c r="X46" i="7"/>
  <c r="W40" i="7"/>
  <c r="X40" i="7"/>
  <c r="Z20" i="7"/>
  <c r="X14" i="7"/>
  <c r="W14" i="7"/>
  <c r="W31" i="7"/>
  <c r="X31" i="7"/>
  <c r="W19" i="7"/>
  <c r="X19" i="7"/>
  <c r="X10" i="7"/>
  <c r="W10" i="7"/>
  <c r="Z28" i="7"/>
  <c r="X41" i="7"/>
  <c r="W41" i="7"/>
  <c r="V40" i="7"/>
  <c r="Y40" i="7" s="1"/>
  <c r="V42" i="7"/>
  <c r="Y42" i="7" s="1"/>
  <c r="V69" i="7"/>
  <c r="Y69" i="7" s="1"/>
  <c r="X30" i="7"/>
  <c r="W30" i="7"/>
  <c r="X63" i="7"/>
  <c r="W63" i="7"/>
  <c r="Z37" i="7"/>
  <c r="AA37" i="7" s="1"/>
  <c r="W66" i="7"/>
  <c r="X66" i="7"/>
  <c r="Z45" i="7"/>
  <c r="S45" i="7" s="1"/>
  <c r="T45" i="7" s="1"/>
  <c r="W28" i="7"/>
  <c r="X28" i="7"/>
  <c r="W61" i="7"/>
  <c r="X61" i="7"/>
  <c r="Z44" i="7"/>
  <c r="AA44" i="7" s="1"/>
  <c r="W76" i="7"/>
  <c r="X76" i="7"/>
  <c r="Z53" i="7"/>
  <c r="AA53" i="7" s="1"/>
  <c r="V68" i="7"/>
  <c r="Y68" i="7" s="1"/>
  <c r="V54" i="7"/>
  <c r="Y54" i="7" s="1"/>
  <c r="Z25" i="7"/>
  <c r="S25" i="7" s="1"/>
  <c r="T25" i="7" s="1"/>
  <c r="V15" i="7"/>
  <c r="Y15" i="7" s="1"/>
  <c r="X56" i="7"/>
  <c r="W56" i="7"/>
  <c r="Z47" i="7"/>
  <c r="X29" i="7"/>
  <c r="W29" i="7"/>
  <c r="Z68" i="7"/>
  <c r="X23" i="7"/>
  <c r="W23" i="7"/>
  <c r="Z62" i="7"/>
  <c r="AA62" i="7" s="1"/>
  <c r="Z35" i="7"/>
  <c r="X71" i="7"/>
  <c r="W71" i="7"/>
  <c r="X27" i="7"/>
  <c r="W27" i="7"/>
  <c r="Z64" i="7"/>
  <c r="W75" i="7"/>
  <c r="X75" i="7"/>
  <c r="Z21" i="7"/>
  <c r="V50" i="7"/>
  <c r="Y50" i="7" s="1"/>
  <c r="X24" i="7"/>
  <c r="W24" i="7"/>
  <c r="V62" i="7"/>
  <c r="Y62" i="7" s="1"/>
  <c r="X62" i="7"/>
  <c r="W62" i="7"/>
  <c r="V80" i="7"/>
  <c r="Y80" i="7" s="1"/>
  <c r="Z16" i="7"/>
  <c r="Z78" i="7"/>
  <c r="X77" i="7"/>
  <c r="W77" i="7"/>
  <c r="W49" i="7"/>
  <c r="X49" i="7"/>
  <c r="V12" i="7"/>
  <c r="Y12" i="7" s="1"/>
  <c r="Z80" i="7"/>
  <c r="AA80" i="7" s="1"/>
  <c r="Z67" i="7"/>
  <c r="Z70" i="7"/>
  <c r="V71" i="7"/>
  <c r="Y71" i="7" s="1"/>
  <c r="V27" i="7"/>
  <c r="Y27" i="7" s="1"/>
  <c r="W36" i="7"/>
  <c r="X36" i="7"/>
  <c r="V75" i="7"/>
  <c r="Y75" i="7" s="1"/>
  <c r="Z76" i="7"/>
  <c r="AA76" i="7" s="1"/>
  <c r="Z42" i="7"/>
  <c r="AA42" i="7" s="1"/>
  <c r="V65" i="7"/>
  <c r="Y65" i="7" s="1"/>
  <c r="V76" i="7"/>
  <c r="Y76" i="7" s="1"/>
  <c r="V60" i="7"/>
  <c r="Y60" i="7" s="1"/>
  <c r="W12" i="7"/>
  <c r="X12" i="7"/>
  <c r="W42" i="7"/>
  <c r="X42" i="7"/>
  <c r="W68" i="7"/>
  <c r="X68" i="7"/>
  <c r="W80" i="7"/>
  <c r="X80" i="7"/>
  <c r="W70" i="7"/>
  <c r="X70" i="7"/>
  <c r="X79" i="7"/>
  <c r="W79" i="7"/>
  <c r="V21" i="7"/>
  <c r="Y21" i="7" s="1"/>
  <c r="W15" i="7"/>
  <c r="X15" i="7"/>
  <c r="X21" i="7"/>
  <c r="W21" i="7"/>
  <c r="Z65" i="7"/>
  <c r="Z75" i="7"/>
  <c r="V49" i="7"/>
  <c r="Y49" i="7" s="1"/>
  <c r="X54" i="7"/>
  <c r="W54" i="7"/>
  <c r="W17" i="7"/>
  <c r="X17" i="7"/>
  <c r="V36" i="7"/>
  <c r="Y36" i="7" s="1"/>
  <c r="Z24" i="7"/>
  <c r="AA24" i="7" s="1"/>
  <c r="X32" i="7"/>
  <c r="W32" i="7"/>
  <c r="V25" i="7"/>
  <c r="Y25" i="7" s="1"/>
  <c r="X64" i="7"/>
  <c r="W64" i="7"/>
  <c r="Z22" i="7"/>
  <c r="V64" i="7"/>
  <c r="Y64" i="7" s="1"/>
  <c r="X22" i="7"/>
  <c r="W22" i="7"/>
  <c r="X11" i="7"/>
  <c r="W11" i="7"/>
  <c r="V70" i="7"/>
  <c r="Y70" i="7" s="1"/>
  <c r="Z50" i="7"/>
  <c r="S50" i="7" s="1"/>
  <c r="T50" i="7" s="1"/>
  <c r="V26" i="7"/>
  <c r="Y26" i="7" s="1"/>
  <c r="W13" i="7"/>
  <c r="X13" i="7"/>
  <c r="Z18" i="7"/>
  <c r="AA18" i="7" s="1"/>
  <c r="V59" i="7"/>
  <c r="Y59" i="7" s="1"/>
  <c r="Z27" i="7"/>
  <c r="AA27" i="7" s="1"/>
  <c r="X57" i="7"/>
  <c r="W57" i="7"/>
  <c r="V22" i="7"/>
  <c r="Y22" i="7" s="1"/>
  <c r="Z61" i="7"/>
  <c r="S61" i="7" s="1"/>
  <c r="T61" i="7" s="1"/>
  <c r="V11" i="7"/>
  <c r="Y11" i="7" s="1"/>
  <c r="V13" i="7"/>
  <c r="Y13" i="7" s="1"/>
  <c r="Z32" i="7"/>
  <c r="W25" i="7"/>
  <c r="X25" i="7"/>
  <c r="Z71" i="7"/>
  <c r="Z51" i="7"/>
  <c r="W65" i="7"/>
  <c r="X65" i="7"/>
  <c r="W50" i="7"/>
  <c r="X50" i="7"/>
  <c r="Z26" i="7"/>
  <c r="Z23" i="7"/>
  <c r="S23" i="7" s="1"/>
  <c r="T23" i="7" s="1"/>
  <c r="Z13" i="7"/>
  <c r="Z56" i="7"/>
  <c r="Z79" i="7"/>
  <c r="AA79" i="7" s="1"/>
  <c r="Z52" i="7"/>
  <c r="Z29" i="7"/>
  <c r="S29" i="7" s="1"/>
  <c r="T29" i="7" s="1"/>
  <c r="Z33" i="7"/>
  <c r="S33" i="7" s="1"/>
  <c r="T33" i="7" s="1"/>
  <c r="Z63" i="7"/>
  <c r="Z14" i="7"/>
  <c r="W26" i="7"/>
  <c r="X26" i="7"/>
  <c r="Z15" i="7"/>
  <c r="AA15" i="7" s="1"/>
  <c r="X59" i="7"/>
  <c r="W59" i="7"/>
  <c r="Z77" i="7"/>
  <c r="S77" i="7" s="1"/>
  <c r="T77" i="7" s="1"/>
  <c r="Z40" i="7"/>
  <c r="AA40" i="7" s="1"/>
  <c r="Z81" i="7"/>
  <c r="AA81" i="7" s="1"/>
  <c r="Z57" i="7"/>
  <c r="AA57" i="7" s="1"/>
  <c r="V57" i="7"/>
  <c r="Y57" i="7" s="1"/>
  <c r="Z17" i="7"/>
  <c r="Z39" i="7"/>
  <c r="S39" i="7" s="1"/>
  <c r="T39" i="7" s="1"/>
  <c r="Z12" i="7"/>
  <c r="S12" i="7" s="1"/>
  <c r="T12" i="7" s="1"/>
  <c r="Z48" i="7"/>
  <c r="S48" i="7" s="1"/>
  <c r="T48" i="7" s="1"/>
  <c r="Z43" i="7"/>
  <c r="S43" i="7" s="1"/>
  <c r="T43" i="7" s="1"/>
  <c r="Z10" i="7"/>
  <c r="S10" i="7" s="1"/>
  <c r="T10" i="7" s="1"/>
  <c r="Z9" i="7"/>
  <c r="AA9" i="7" s="1"/>
  <c r="AA29" i="7" l="1"/>
  <c r="AE29" i="7" s="1"/>
  <c r="AF29" i="7" s="1"/>
  <c r="AG29" i="7" s="1"/>
  <c r="AE46" i="7"/>
  <c r="AF46" i="7" s="1"/>
  <c r="AG46" i="7" s="1"/>
  <c r="AE72" i="7"/>
  <c r="AF72" i="7" s="1"/>
  <c r="AG72" i="7" s="1"/>
  <c r="AE79" i="7"/>
  <c r="AF79" i="7" s="1"/>
  <c r="AG79" i="7" s="1"/>
  <c r="AA50" i="7"/>
  <c r="AE50" i="7" s="1"/>
  <c r="AF50" i="7" s="1"/>
  <c r="AG50" i="7" s="1"/>
  <c r="S76" i="7"/>
  <c r="T76" i="7" s="1"/>
  <c r="S27" i="7"/>
  <c r="T27" i="7" s="1"/>
  <c r="S80" i="7"/>
  <c r="T80" i="7" s="1"/>
  <c r="AE81" i="7"/>
  <c r="AF81" i="7" s="1"/>
  <c r="AG81" i="7" s="1"/>
  <c r="AE18" i="7"/>
  <c r="AF18" i="7" s="1"/>
  <c r="AG18" i="7" s="1"/>
  <c r="AE42" i="7"/>
  <c r="AF42" i="7" s="1"/>
  <c r="AG42" i="7" s="1"/>
  <c r="AA38" i="7"/>
  <c r="AE38" i="7" s="1"/>
  <c r="AF38" i="7" s="1"/>
  <c r="AG38" i="7" s="1"/>
  <c r="AE40" i="7"/>
  <c r="AF40" i="7" s="1"/>
  <c r="AG40" i="7" s="1"/>
  <c r="AE27" i="7"/>
  <c r="AF27" i="7" s="1"/>
  <c r="AG27" i="7" s="1"/>
  <c r="AA39" i="7"/>
  <c r="AE39" i="7" s="1"/>
  <c r="AF39" i="7" s="1"/>
  <c r="AG39" i="7" s="1"/>
  <c r="AA77" i="7"/>
  <c r="AE77" i="7" s="1"/>
  <c r="AF77" i="7" s="1"/>
  <c r="AG77" i="7" s="1"/>
  <c r="S42" i="7"/>
  <c r="T42" i="7" s="1"/>
  <c r="S81" i="7"/>
  <c r="T81" i="7" s="1"/>
  <c r="AA61" i="7"/>
  <c r="AE61" i="7" s="1"/>
  <c r="AF61" i="7" s="1"/>
  <c r="AG61" i="7" s="1"/>
  <c r="S62" i="7"/>
  <c r="T62" i="7" s="1"/>
  <c r="S53" i="7"/>
  <c r="T53" i="7" s="1"/>
  <c r="AE37" i="7"/>
  <c r="AF37" i="7" s="1"/>
  <c r="AG37" i="7" s="1"/>
  <c r="AE15" i="7"/>
  <c r="AF15" i="7" s="1"/>
  <c r="AG15" i="7" s="1"/>
  <c r="AA12" i="7"/>
  <c r="AE12" i="7" s="1"/>
  <c r="AF12" i="7" s="1"/>
  <c r="AG12" i="7" s="1"/>
  <c r="S57" i="7"/>
  <c r="T57" i="7" s="1"/>
  <c r="S79" i="7"/>
  <c r="T79" i="7" s="1"/>
  <c r="AA23" i="7"/>
  <c r="AE23" i="7" s="1"/>
  <c r="AF23" i="7" s="1"/>
  <c r="AG23" i="7" s="1"/>
  <c r="AA25" i="7"/>
  <c r="AE25" i="7" s="1"/>
  <c r="AF25" i="7" s="1"/>
  <c r="AG25" i="7" s="1"/>
  <c r="S37" i="7"/>
  <c r="T37" i="7" s="1"/>
  <c r="AA58" i="7"/>
  <c r="AE58" i="7" s="1"/>
  <c r="AF58" i="7" s="1"/>
  <c r="AG58" i="7" s="1"/>
  <c r="AA69" i="7"/>
  <c r="AE69" i="7" s="1"/>
  <c r="AF69" i="7" s="1"/>
  <c r="AG69" i="7" s="1"/>
  <c r="AA30" i="7"/>
  <c r="AE30" i="7" s="1"/>
  <c r="AF30" i="7" s="1"/>
  <c r="AG30" i="7" s="1"/>
  <c r="AA34" i="7"/>
  <c r="AE34" i="7" s="1"/>
  <c r="AF34" i="7" s="1"/>
  <c r="AG34" i="7" s="1"/>
  <c r="S40" i="7"/>
  <c r="T40" i="7" s="1"/>
  <c r="S15" i="7"/>
  <c r="T15" i="7" s="1"/>
  <c r="S44" i="7"/>
  <c r="T44" i="7" s="1"/>
  <c r="AA11" i="7"/>
  <c r="AE11" i="7" s="1"/>
  <c r="AF11" i="7" s="1"/>
  <c r="AG11" i="7" s="1"/>
  <c r="S60" i="7"/>
  <c r="T60" i="7" s="1"/>
  <c r="S19" i="7"/>
  <c r="T19" i="7" s="1"/>
  <c r="AA66" i="7"/>
  <c r="AE66" i="7" s="1"/>
  <c r="AF66" i="7" s="1"/>
  <c r="AG66" i="7" s="1"/>
  <c r="AA41" i="7"/>
  <c r="AE41" i="7" s="1"/>
  <c r="AF41" i="7" s="1"/>
  <c r="AG41" i="7" s="1"/>
  <c r="AA10" i="7"/>
  <c r="AE10" i="7" s="1"/>
  <c r="AF10" i="7" s="1"/>
  <c r="AG10" i="7" s="1"/>
  <c r="AA43" i="7"/>
  <c r="AE43" i="7" s="1"/>
  <c r="AF43" i="7" s="1"/>
  <c r="AG43" i="7" s="1"/>
  <c r="AA48" i="7"/>
  <c r="AE48" i="7" s="1"/>
  <c r="AF48" i="7" s="1"/>
  <c r="AG48" i="7" s="1"/>
  <c r="AA63" i="7"/>
  <c r="AE63" i="7" s="1"/>
  <c r="AF63" i="7" s="1"/>
  <c r="AG63" i="7" s="1"/>
  <c r="S63" i="7"/>
  <c r="T63" i="7" s="1"/>
  <c r="AA56" i="7"/>
  <c r="AE56" i="7" s="1"/>
  <c r="AF56" i="7" s="1"/>
  <c r="AG56" i="7" s="1"/>
  <c r="S56" i="7"/>
  <c r="T56" i="7" s="1"/>
  <c r="AA70" i="7"/>
  <c r="AE70" i="7" s="1"/>
  <c r="AF70" i="7" s="1"/>
  <c r="AG70" i="7" s="1"/>
  <c r="S70" i="7"/>
  <c r="T70" i="7" s="1"/>
  <c r="AE9" i="7"/>
  <c r="S17" i="7"/>
  <c r="T17" i="7" s="1"/>
  <c r="AA17" i="7"/>
  <c r="AE17" i="7" s="1"/>
  <c r="AF17" i="7" s="1"/>
  <c r="AG17" i="7" s="1"/>
  <c r="AA14" i="7"/>
  <c r="AE14" i="7" s="1"/>
  <c r="AF14" i="7" s="1"/>
  <c r="AG14" i="7" s="1"/>
  <c r="S14" i="7"/>
  <c r="T14" i="7" s="1"/>
  <c r="S52" i="7"/>
  <c r="T52" i="7" s="1"/>
  <c r="AA52" i="7"/>
  <c r="AE52" i="7" s="1"/>
  <c r="AF52" i="7" s="1"/>
  <c r="AG52" i="7" s="1"/>
  <c r="AA13" i="7"/>
  <c r="AE13" i="7" s="1"/>
  <c r="AF13" i="7" s="1"/>
  <c r="AG13" i="7" s="1"/>
  <c r="S13" i="7"/>
  <c r="T13" i="7" s="1"/>
  <c r="S21" i="7"/>
  <c r="T21" i="7" s="1"/>
  <c r="AA21" i="7"/>
  <c r="AE21" i="7" s="1"/>
  <c r="AF21" i="7" s="1"/>
  <c r="AG21" i="7" s="1"/>
  <c r="Z82" i="7"/>
  <c r="S9" i="7"/>
  <c r="AE57" i="7"/>
  <c r="AF57" i="7" s="1"/>
  <c r="AG57" i="7" s="1"/>
  <c r="AA51" i="7"/>
  <c r="AE51" i="7" s="1"/>
  <c r="AF51" i="7" s="1"/>
  <c r="AG51" i="7" s="1"/>
  <c r="S51" i="7"/>
  <c r="T51" i="7" s="1"/>
  <c r="AA22" i="7"/>
  <c r="AE22" i="7" s="1"/>
  <c r="AF22" i="7" s="1"/>
  <c r="AG22" i="7" s="1"/>
  <c r="S22" i="7"/>
  <c r="T22" i="7" s="1"/>
  <c r="AA65" i="7"/>
  <c r="AE65" i="7" s="1"/>
  <c r="AF65" i="7" s="1"/>
  <c r="AG65" i="7" s="1"/>
  <c r="S65" i="7"/>
  <c r="T65" i="7" s="1"/>
  <c r="S26" i="7"/>
  <c r="T26" i="7" s="1"/>
  <c r="AA26" i="7"/>
  <c r="AE26" i="7" s="1"/>
  <c r="AF26" i="7" s="1"/>
  <c r="AG26" i="7" s="1"/>
  <c r="AA71" i="7"/>
  <c r="AE71" i="7" s="1"/>
  <c r="AF71" i="7" s="1"/>
  <c r="AG71" i="7" s="1"/>
  <c r="S71" i="7"/>
  <c r="T71" i="7" s="1"/>
  <c r="AA32" i="7"/>
  <c r="AE32" i="7" s="1"/>
  <c r="AF32" i="7" s="1"/>
  <c r="AG32" i="7" s="1"/>
  <c r="S32" i="7"/>
  <c r="T32" i="7" s="1"/>
  <c r="AA75" i="7"/>
  <c r="AE75" i="7" s="1"/>
  <c r="AF75" i="7" s="1"/>
  <c r="AG75" i="7" s="1"/>
  <c r="S75" i="7"/>
  <c r="T75" i="7" s="1"/>
  <c r="AE80" i="7"/>
  <c r="AF80" i="7" s="1"/>
  <c r="AG80" i="7" s="1"/>
  <c r="AA33" i="7"/>
  <c r="AE33" i="7" s="1"/>
  <c r="AF33" i="7" s="1"/>
  <c r="AG33" i="7" s="1"/>
  <c r="S24" i="7"/>
  <c r="T24" i="7" s="1"/>
  <c r="AA67" i="7"/>
  <c r="AE67" i="7" s="1"/>
  <c r="AF67" i="7" s="1"/>
  <c r="AG67" i="7" s="1"/>
  <c r="S67" i="7"/>
  <c r="T67" i="7" s="1"/>
  <c r="AA64" i="7"/>
  <c r="AE64" i="7" s="1"/>
  <c r="AF64" i="7" s="1"/>
  <c r="AG64" i="7" s="1"/>
  <c r="S64" i="7"/>
  <c r="T64" i="7" s="1"/>
  <c r="AE62" i="7"/>
  <c r="AF62" i="7" s="1"/>
  <c r="AG62" i="7" s="1"/>
  <c r="AE24" i="7"/>
  <c r="AF24" i="7" s="1"/>
  <c r="AG24" i="7" s="1"/>
  <c r="S18" i="7"/>
  <c r="T18" i="7" s="1"/>
  <c r="S47" i="7"/>
  <c r="T47" i="7" s="1"/>
  <c r="AA47" i="7"/>
  <c r="AE47" i="7" s="1"/>
  <c r="AF47" i="7" s="1"/>
  <c r="AG47" i="7" s="1"/>
  <c r="V82" i="7"/>
  <c r="S78" i="7"/>
  <c r="T78" i="7" s="1"/>
  <c r="AA78" i="7"/>
  <c r="AE78" i="7" s="1"/>
  <c r="AF78" i="7" s="1"/>
  <c r="AG78" i="7" s="1"/>
  <c r="S16" i="7"/>
  <c r="T16" i="7" s="1"/>
  <c r="AA16" i="7"/>
  <c r="AE16" i="7" s="1"/>
  <c r="AF16" i="7" s="1"/>
  <c r="AG16" i="7" s="1"/>
  <c r="AA59" i="7"/>
  <c r="AE59" i="7" s="1"/>
  <c r="AF59" i="7" s="1"/>
  <c r="AG59" i="7" s="1"/>
  <c r="S59" i="7"/>
  <c r="T59" i="7" s="1"/>
  <c r="AE76" i="7"/>
  <c r="AF76" i="7" s="1"/>
  <c r="AG76" i="7" s="1"/>
  <c r="S35" i="7"/>
  <c r="T35" i="7" s="1"/>
  <c r="AA35" i="7"/>
  <c r="AE35" i="7" s="1"/>
  <c r="AF35" i="7" s="1"/>
  <c r="AG35" i="7" s="1"/>
  <c r="S68" i="7"/>
  <c r="T68" i="7" s="1"/>
  <c r="AA68" i="7"/>
  <c r="AE68" i="7" s="1"/>
  <c r="AF68" i="7" s="1"/>
  <c r="AG68" i="7" s="1"/>
  <c r="AA45" i="7"/>
  <c r="AE45" i="7" s="1"/>
  <c r="AF45" i="7" s="1"/>
  <c r="AG45" i="7" s="1"/>
  <c r="S28" i="7"/>
  <c r="T28" i="7" s="1"/>
  <c r="AA28" i="7"/>
  <c r="AE28" i="7" s="1"/>
  <c r="AF28" i="7" s="1"/>
  <c r="AG28" i="7" s="1"/>
  <c r="AA20" i="7"/>
  <c r="AE20" i="7" s="1"/>
  <c r="AF20" i="7" s="1"/>
  <c r="AG20" i="7" s="1"/>
  <c r="S20" i="7"/>
  <c r="T20" i="7" s="1"/>
  <c r="S74" i="7"/>
  <c r="T74" i="7" s="1"/>
  <c r="AA74" i="7"/>
  <c r="AE74" i="7" s="1"/>
  <c r="AF74" i="7" s="1"/>
  <c r="AG74" i="7" s="1"/>
  <c r="AE44" i="7"/>
  <c r="AF44" i="7" s="1"/>
  <c r="AG44" i="7" s="1"/>
  <c r="AE60" i="7"/>
  <c r="AF60" i="7" s="1"/>
  <c r="AG60" i="7" s="1"/>
  <c r="Y38" i="7"/>
  <c r="Y82" i="7" s="1"/>
  <c r="F71" i="16" s="1"/>
  <c r="S36" i="7"/>
  <c r="T36" i="7" s="1"/>
  <c r="AA55" i="7"/>
  <c r="AE55" i="7" s="1"/>
  <c r="AF55" i="7" s="1"/>
  <c r="AG55" i="7" s="1"/>
  <c r="AE53" i="7"/>
  <c r="AF53" i="7" s="1"/>
  <c r="AG53" i="7" s="1"/>
  <c r="S46" i="7"/>
  <c r="T46" i="7" s="1"/>
  <c r="S72" i="7"/>
  <c r="T72" i="7" s="1"/>
  <c r="AA49" i="7"/>
  <c r="AE49" i="7" s="1"/>
  <c r="AF49" i="7" s="1"/>
  <c r="AG49" i="7" s="1"/>
  <c r="AA54" i="7"/>
  <c r="AE54" i="7" s="1"/>
  <c r="AF54" i="7" s="1"/>
  <c r="AG54" i="7" s="1"/>
  <c r="AA31" i="7"/>
  <c r="AE31" i="7" s="1"/>
  <c r="AF31" i="7" s="1"/>
  <c r="AG31" i="7" s="1"/>
  <c r="AE36" i="7"/>
  <c r="AF36" i="7" s="1"/>
  <c r="AG36" i="7" s="1"/>
  <c r="X82" i="7"/>
  <c r="AE19" i="7"/>
  <c r="AF19" i="7" s="1"/>
  <c r="AG19" i="7" s="1"/>
  <c r="W82" i="7"/>
  <c r="AA73" i="7"/>
  <c r="AE73" i="7" s="1"/>
  <c r="AF73" i="7" s="1"/>
  <c r="AG73" i="7" s="1"/>
  <c r="AE82" i="7" l="1"/>
  <c r="AF9" i="7"/>
  <c r="T9" i="7"/>
  <c r="T82" i="7" s="1"/>
  <c r="S82" i="7"/>
  <c r="AA82" i="7"/>
  <c r="F72" i="16" l="1"/>
  <c r="E60" i="16"/>
  <c r="AF82" i="7"/>
  <c r="AG9" i="7"/>
  <c r="AG82" i="7" l="1"/>
  <c r="E113" i="16" s="1"/>
  <c r="K111" i="16" l="1"/>
  <c r="V35" i="18" s="1"/>
  <c r="V27" i="18" l="1"/>
  <c r="V26" i="18" s="1"/>
  <c r="V32" i="18" s="1"/>
  <c r="V38" i="18" s="1"/>
  <c r="V37" i="18" l="1"/>
  <c r="V39" i="18" s="1"/>
  <c r="V40" i="18" s="1"/>
  <c r="V42" i="18" s="1"/>
  <c r="V43" i="18" s="1"/>
  <c r="Q31" i="18" s="1"/>
  <c r="Q33" i="18" l="1"/>
  <c r="V61" i="18" s="1"/>
  <c r="W61" i="18" s="1"/>
  <c r="Q32" i="18"/>
  <c r="V55" i="18" s="1"/>
  <c r="W55" i="18" s="1"/>
  <c r="V48" i="18"/>
  <c r="W48" i="18" s="1"/>
  <c r="Q54" i="18"/>
  <c r="Q55" i="18"/>
  <c r="V49" i="18"/>
  <c r="W49" i="18" s="1"/>
  <c r="AB55" i="13" l="1"/>
  <c r="AB59" i="13"/>
  <c r="AH59" i="13" s="1"/>
  <c r="AI59" i="13" s="1"/>
  <c r="AL59" i="13" s="1"/>
  <c r="AB63" i="13"/>
  <c r="AB67" i="13"/>
  <c r="AH67" i="13" s="1"/>
  <c r="AI67" i="13" s="1"/>
  <c r="AL67" i="13" s="1"/>
  <c r="AB71" i="13"/>
  <c r="AH71" i="13" s="1"/>
  <c r="AI71" i="13" s="1"/>
  <c r="AL71" i="13" s="1"/>
  <c r="AB75" i="13"/>
  <c r="AB79" i="13"/>
  <c r="AH79" i="13" s="1"/>
  <c r="AI79" i="13" s="1"/>
  <c r="AL79" i="13" s="1"/>
  <c r="AB83" i="13"/>
  <c r="AH83" i="13" s="1"/>
  <c r="AI83" i="13" s="1"/>
  <c r="AL83" i="13" s="1"/>
  <c r="AB87" i="13"/>
  <c r="AH87" i="13" s="1"/>
  <c r="AI87" i="13" s="1"/>
  <c r="AL87" i="13" s="1"/>
  <c r="AB91" i="13"/>
  <c r="AH91" i="13" s="1"/>
  <c r="AI91" i="13" s="1"/>
  <c r="AL91" i="13" s="1"/>
  <c r="AB95" i="13"/>
  <c r="AH95" i="13" s="1"/>
  <c r="AI95" i="13" s="1"/>
  <c r="AL95" i="13" s="1"/>
  <c r="AB99" i="13"/>
  <c r="AH99" i="13" s="1"/>
  <c r="AI99" i="13" s="1"/>
  <c r="AL99" i="13" s="1"/>
  <c r="AB103" i="13"/>
  <c r="AH103" i="13" s="1"/>
  <c r="AI103" i="13" s="1"/>
  <c r="AL103" i="13" s="1"/>
  <c r="AB107" i="13"/>
  <c r="AH107" i="13" s="1"/>
  <c r="AI107" i="13" s="1"/>
  <c r="AL107" i="13" s="1"/>
  <c r="AB111" i="13"/>
  <c r="AH111" i="13" s="1"/>
  <c r="AI111" i="13" s="1"/>
  <c r="AL111" i="13" s="1"/>
  <c r="AB115" i="13"/>
  <c r="AH115" i="13" s="1"/>
  <c r="AI115" i="13" s="1"/>
  <c r="AL115" i="13" s="1"/>
  <c r="AB119" i="13"/>
  <c r="AB123" i="13"/>
  <c r="AH123" i="13" s="1"/>
  <c r="AI123" i="13" s="1"/>
  <c r="AL123" i="13" s="1"/>
  <c r="AB127" i="13"/>
  <c r="AB131" i="13"/>
  <c r="AH131" i="13" s="1"/>
  <c r="AI131" i="13" s="1"/>
  <c r="AL131" i="13" s="1"/>
  <c r="AB135" i="13"/>
  <c r="AH135" i="13" s="1"/>
  <c r="AI135" i="13" s="1"/>
  <c r="AL135" i="13" s="1"/>
  <c r="AB139" i="13"/>
  <c r="AH139" i="13" s="1"/>
  <c r="AI139" i="13" s="1"/>
  <c r="AL139" i="13" s="1"/>
  <c r="AB143" i="13"/>
  <c r="AH143" i="13" s="1"/>
  <c r="AI143" i="13" s="1"/>
  <c r="AL143" i="13" s="1"/>
  <c r="AB147" i="13"/>
  <c r="AH147" i="13" s="1"/>
  <c r="AI147" i="13" s="1"/>
  <c r="AL147" i="13" s="1"/>
  <c r="AB151" i="13"/>
  <c r="AH151" i="13" s="1"/>
  <c r="AI151" i="13" s="1"/>
  <c r="AL151" i="13" s="1"/>
  <c r="AB158" i="13"/>
  <c r="AH158" i="13" s="1"/>
  <c r="AI158" i="13" s="1"/>
  <c r="AL158" i="13" s="1"/>
  <c r="AB162" i="13"/>
  <c r="AH162" i="13" s="1"/>
  <c r="AI162" i="13" s="1"/>
  <c r="AL162" i="13" s="1"/>
  <c r="AB166" i="13"/>
  <c r="AH166" i="13" s="1"/>
  <c r="AI166" i="13" s="1"/>
  <c r="AL166" i="13" s="1"/>
  <c r="AB173" i="13"/>
  <c r="AH173" i="13" s="1"/>
  <c r="AI173" i="13" s="1"/>
  <c r="AL173" i="13" s="1"/>
  <c r="AB175" i="13"/>
  <c r="AH175" i="13" s="1"/>
  <c r="AI175" i="13" s="1"/>
  <c r="AL175" i="13" s="1"/>
  <c r="AB179" i="13"/>
  <c r="AH179" i="13" s="1"/>
  <c r="AI179" i="13" s="1"/>
  <c r="AL179" i="13" s="1"/>
  <c r="AB183" i="13"/>
  <c r="AH183" i="13" s="1"/>
  <c r="AI183" i="13" s="1"/>
  <c r="AL183" i="13" s="1"/>
  <c r="AB187" i="13"/>
  <c r="AH187" i="13" s="1"/>
  <c r="AI187" i="13" s="1"/>
  <c r="AL187" i="13" s="1"/>
  <c r="AB191" i="13"/>
  <c r="AH191" i="13" s="1"/>
  <c r="AI191" i="13" s="1"/>
  <c r="AL191" i="13" s="1"/>
  <c r="AB195" i="13"/>
  <c r="AH195" i="13" s="1"/>
  <c r="AI195" i="13" s="1"/>
  <c r="AL195" i="13" s="1"/>
  <c r="AB199" i="13"/>
  <c r="AH199" i="13" s="1"/>
  <c r="AI199" i="13" s="1"/>
  <c r="AL199" i="13" s="1"/>
  <c r="AB203" i="13"/>
  <c r="AH203" i="13" s="1"/>
  <c r="AI203" i="13" s="1"/>
  <c r="AL203" i="13" s="1"/>
  <c r="AB207" i="13"/>
  <c r="AH207" i="13" s="1"/>
  <c r="AI207" i="13" s="1"/>
  <c r="AL207" i="13" s="1"/>
  <c r="AB209" i="13"/>
  <c r="AH209" i="13" s="1"/>
  <c r="AI209" i="13" s="1"/>
  <c r="AL209" i="13" s="1"/>
  <c r="AB213" i="13"/>
  <c r="AH213" i="13" s="1"/>
  <c r="AI213" i="13" s="1"/>
  <c r="AL213" i="13" s="1"/>
  <c r="AB215" i="13"/>
  <c r="AH215" i="13" s="1"/>
  <c r="AI215" i="13" s="1"/>
  <c r="AL215" i="13" s="1"/>
  <c r="AB219" i="13"/>
  <c r="AH219" i="13" s="1"/>
  <c r="AI219" i="13" s="1"/>
  <c r="AL219" i="13" s="1"/>
  <c r="AB223" i="13"/>
  <c r="AH223" i="13" s="1"/>
  <c r="AI223" i="13" s="1"/>
  <c r="AL223" i="13" s="1"/>
  <c r="AB227" i="13"/>
  <c r="AH227" i="13" s="1"/>
  <c r="AI227" i="13" s="1"/>
  <c r="AL227" i="13" s="1"/>
  <c r="AB231" i="13"/>
  <c r="AH231" i="13" s="1"/>
  <c r="AI231" i="13" s="1"/>
  <c r="AL231" i="13" s="1"/>
  <c r="AB52" i="13"/>
  <c r="AB56" i="13"/>
  <c r="AB60" i="13"/>
  <c r="AH60" i="13" s="1"/>
  <c r="AI60" i="13" s="1"/>
  <c r="AL60" i="13" s="1"/>
  <c r="AB64" i="13"/>
  <c r="AB68" i="13"/>
  <c r="AH68" i="13" s="1"/>
  <c r="AI68" i="13" s="1"/>
  <c r="AL68" i="13" s="1"/>
  <c r="AB72" i="13"/>
  <c r="AH72" i="13" s="1"/>
  <c r="AI72" i="13" s="1"/>
  <c r="AL72" i="13" s="1"/>
  <c r="AB76" i="13"/>
  <c r="AB80" i="13"/>
  <c r="AH80" i="13" s="1"/>
  <c r="AI80" i="13" s="1"/>
  <c r="AL80" i="13" s="1"/>
  <c r="AB84" i="13"/>
  <c r="AH84" i="13" s="1"/>
  <c r="AI84" i="13" s="1"/>
  <c r="AL84" i="13" s="1"/>
  <c r="AB88" i="13"/>
  <c r="AH88" i="13" s="1"/>
  <c r="AI88" i="13" s="1"/>
  <c r="AL88" i="13" s="1"/>
  <c r="AB92" i="13"/>
  <c r="AH92" i="13" s="1"/>
  <c r="AI92" i="13" s="1"/>
  <c r="AL92" i="13" s="1"/>
  <c r="AB96" i="13"/>
  <c r="AH96" i="13" s="1"/>
  <c r="AI96" i="13" s="1"/>
  <c r="AL96" i="13" s="1"/>
  <c r="AB100" i="13"/>
  <c r="AH100" i="13" s="1"/>
  <c r="AI100" i="13" s="1"/>
  <c r="AL100" i="13" s="1"/>
  <c r="AB104" i="13"/>
  <c r="AH104" i="13" s="1"/>
  <c r="AI104" i="13" s="1"/>
  <c r="AL104" i="13" s="1"/>
  <c r="AB108" i="13"/>
  <c r="AH108" i="13" s="1"/>
  <c r="AI108" i="13" s="1"/>
  <c r="AL108" i="13" s="1"/>
  <c r="AB112" i="13"/>
  <c r="AH112" i="13" s="1"/>
  <c r="AI112" i="13" s="1"/>
  <c r="AL112" i="13" s="1"/>
  <c r="AB116" i="13"/>
  <c r="AH116" i="13" s="1"/>
  <c r="AI116" i="13" s="1"/>
  <c r="AL116" i="13" s="1"/>
  <c r="AB120" i="13"/>
  <c r="AH120" i="13" s="1"/>
  <c r="AI120" i="13" s="1"/>
  <c r="AL120" i="13" s="1"/>
  <c r="AB124" i="13"/>
  <c r="AH124" i="13" s="1"/>
  <c r="AI124" i="13" s="1"/>
  <c r="AL124" i="13" s="1"/>
  <c r="AB128" i="13"/>
  <c r="AH128" i="13" s="1"/>
  <c r="AI128" i="13" s="1"/>
  <c r="AL128" i="13" s="1"/>
  <c r="AB132" i="13"/>
  <c r="AH132" i="13" s="1"/>
  <c r="AI132" i="13" s="1"/>
  <c r="AL132" i="13" s="1"/>
  <c r="AB136" i="13"/>
  <c r="AH136" i="13" s="1"/>
  <c r="AI136" i="13" s="1"/>
  <c r="AL136" i="13" s="1"/>
  <c r="AB140" i="13"/>
  <c r="AH140" i="13" s="1"/>
  <c r="AI140" i="13" s="1"/>
  <c r="AL140" i="13" s="1"/>
  <c r="AB144" i="13"/>
  <c r="AH144" i="13" s="1"/>
  <c r="AI144" i="13" s="1"/>
  <c r="AL144" i="13" s="1"/>
  <c r="AB148" i="13"/>
  <c r="AH148" i="13" s="1"/>
  <c r="AI148" i="13" s="1"/>
  <c r="AL148" i="13" s="1"/>
  <c r="AB152" i="13"/>
  <c r="AH152" i="13" s="1"/>
  <c r="AI152" i="13" s="1"/>
  <c r="AL152" i="13" s="1"/>
  <c r="AB155" i="13"/>
  <c r="AH155" i="13" s="1"/>
  <c r="AI155" i="13" s="1"/>
  <c r="AL155" i="13" s="1"/>
  <c r="AB159" i="13"/>
  <c r="AH159" i="13" s="1"/>
  <c r="AI159" i="13" s="1"/>
  <c r="AL159" i="13" s="1"/>
  <c r="AB163" i="13"/>
  <c r="AH163" i="13" s="1"/>
  <c r="AI163" i="13" s="1"/>
  <c r="AL163" i="13" s="1"/>
  <c r="AB167" i="13"/>
  <c r="AH167" i="13" s="1"/>
  <c r="AI167" i="13" s="1"/>
  <c r="AL167" i="13" s="1"/>
  <c r="AB170" i="13"/>
  <c r="AH170" i="13" s="1"/>
  <c r="AI170" i="13" s="1"/>
  <c r="AL170" i="13" s="1"/>
  <c r="AB53" i="13"/>
  <c r="AB57" i="13"/>
  <c r="AB61" i="13"/>
  <c r="AB65" i="13"/>
  <c r="AB69" i="13"/>
  <c r="AH69" i="13" s="1"/>
  <c r="AI69" i="13" s="1"/>
  <c r="AL69" i="13" s="1"/>
  <c r="AB73" i="13"/>
  <c r="AH73" i="13" s="1"/>
  <c r="AI73" i="13" s="1"/>
  <c r="AL73" i="13" s="1"/>
  <c r="AB77" i="13"/>
  <c r="AB81" i="13"/>
  <c r="AH81" i="13" s="1"/>
  <c r="AI81" i="13" s="1"/>
  <c r="AL81" i="13" s="1"/>
  <c r="AB85" i="13"/>
  <c r="AH85" i="13" s="1"/>
  <c r="AI85" i="13" s="1"/>
  <c r="AL85" i="13" s="1"/>
  <c r="AB89" i="13"/>
  <c r="AH89" i="13" s="1"/>
  <c r="AI89" i="13" s="1"/>
  <c r="AL89" i="13" s="1"/>
  <c r="AB93" i="13"/>
  <c r="AB97" i="13"/>
  <c r="AH97" i="13" s="1"/>
  <c r="AI97" i="13" s="1"/>
  <c r="AL97" i="13" s="1"/>
  <c r="AB101" i="13"/>
  <c r="AH101" i="13" s="1"/>
  <c r="AI101" i="13" s="1"/>
  <c r="AL101" i="13" s="1"/>
  <c r="AB105" i="13"/>
  <c r="AH105" i="13" s="1"/>
  <c r="AI105" i="13" s="1"/>
  <c r="AL105" i="13" s="1"/>
  <c r="AB109" i="13"/>
  <c r="AH109" i="13" s="1"/>
  <c r="AI109" i="13" s="1"/>
  <c r="AL109" i="13" s="1"/>
  <c r="AB113" i="13"/>
  <c r="AH113" i="13" s="1"/>
  <c r="AI113" i="13" s="1"/>
  <c r="AL113" i="13" s="1"/>
  <c r="AB117" i="13"/>
  <c r="AH117" i="13" s="1"/>
  <c r="AI117" i="13" s="1"/>
  <c r="AL117" i="13" s="1"/>
  <c r="AB121" i="13"/>
  <c r="AH121" i="13" s="1"/>
  <c r="AI121" i="13" s="1"/>
  <c r="AL121" i="13" s="1"/>
  <c r="AB125" i="13"/>
  <c r="AH125" i="13" s="1"/>
  <c r="AI125" i="13" s="1"/>
  <c r="AL125" i="13" s="1"/>
  <c r="AB129" i="13"/>
  <c r="AH129" i="13" s="1"/>
  <c r="AI129" i="13" s="1"/>
  <c r="AL129" i="13" s="1"/>
  <c r="AB133" i="13"/>
  <c r="AH133" i="13" s="1"/>
  <c r="AI133" i="13" s="1"/>
  <c r="AL133" i="13" s="1"/>
  <c r="AB137" i="13"/>
  <c r="AH137" i="13" s="1"/>
  <c r="AI137" i="13" s="1"/>
  <c r="AL137" i="13" s="1"/>
  <c r="AB141" i="13"/>
  <c r="AH141" i="13" s="1"/>
  <c r="AI141" i="13" s="1"/>
  <c r="AL141" i="13" s="1"/>
  <c r="AB145" i="13"/>
  <c r="AH145" i="13" s="1"/>
  <c r="AI145" i="13" s="1"/>
  <c r="AL145" i="13" s="1"/>
  <c r="AB149" i="13"/>
  <c r="AH149" i="13" s="1"/>
  <c r="AI149" i="13" s="1"/>
  <c r="AL149" i="13" s="1"/>
  <c r="AB153" i="13"/>
  <c r="AH153" i="13" s="1"/>
  <c r="AI153" i="13" s="1"/>
  <c r="AL153" i="13" s="1"/>
  <c r="AB156" i="13"/>
  <c r="AH156" i="13" s="1"/>
  <c r="AI156" i="13" s="1"/>
  <c r="AL156" i="13" s="1"/>
  <c r="AB160" i="13"/>
  <c r="AH160" i="13" s="1"/>
  <c r="AI160" i="13" s="1"/>
  <c r="AL160" i="13" s="1"/>
  <c r="AB164" i="13"/>
  <c r="AH164" i="13" s="1"/>
  <c r="AI164" i="13" s="1"/>
  <c r="AL164" i="13" s="1"/>
  <c r="AB168" i="13"/>
  <c r="AH168" i="13" s="1"/>
  <c r="AI168" i="13" s="1"/>
  <c r="AL168" i="13" s="1"/>
  <c r="AB171" i="13"/>
  <c r="AH171" i="13" s="1"/>
  <c r="AI171" i="13" s="1"/>
  <c r="AL171" i="13" s="1"/>
  <c r="AB66" i="13"/>
  <c r="AH66" i="13" s="1"/>
  <c r="AI66" i="13" s="1"/>
  <c r="AL66" i="13" s="1"/>
  <c r="AB82" i="13"/>
  <c r="AH82" i="13" s="1"/>
  <c r="AI82" i="13" s="1"/>
  <c r="AL82" i="13" s="1"/>
  <c r="AB98" i="13"/>
  <c r="AH98" i="13" s="1"/>
  <c r="AI98" i="13" s="1"/>
  <c r="AL98" i="13" s="1"/>
  <c r="AB114" i="13"/>
  <c r="AH114" i="13" s="1"/>
  <c r="AI114" i="13" s="1"/>
  <c r="AL114" i="13" s="1"/>
  <c r="AB130" i="13"/>
  <c r="AH130" i="13" s="1"/>
  <c r="AI130" i="13" s="1"/>
  <c r="AL130" i="13" s="1"/>
  <c r="AB146" i="13"/>
  <c r="AH146" i="13" s="1"/>
  <c r="AI146" i="13" s="1"/>
  <c r="AL146" i="13" s="1"/>
  <c r="AB161" i="13"/>
  <c r="AH161" i="13" s="1"/>
  <c r="AI161" i="13" s="1"/>
  <c r="AL161" i="13" s="1"/>
  <c r="AB172" i="13"/>
  <c r="AH172" i="13" s="1"/>
  <c r="AI172" i="13" s="1"/>
  <c r="AL172" i="13" s="1"/>
  <c r="AB174" i="13"/>
  <c r="AH174" i="13" s="1"/>
  <c r="AI174" i="13" s="1"/>
  <c r="AL174" i="13" s="1"/>
  <c r="AB180" i="13"/>
  <c r="AH180" i="13" s="1"/>
  <c r="AI180" i="13" s="1"/>
  <c r="AL180" i="13" s="1"/>
  <c r="AB185" i="13"/>
  <c r="AH185" i="13" s="1"/>
  <c r="AI185" i="13" s="1"/>
  <c r="AL185" i="13" s="1"/>
  <c r="AB190" i="13"/>
  <c r="AH190" i="13" s="1"/>
  <c r="AI190" i="13" s="1"/>
  <c r="AL190" i="13" s="1"/>
  <c r="AB196" i="13"/>
  <c r="AH196" i="13" s="1"/>
  <c r="AI196" i="13" s="1"/>
  <c r="AL196" i="13" s="1"/>
  <c r="AB201" i="13"/>
  <c r="AH201" i="13" s="1"/>
  <c r="AI201" i="13" s="1"/>
  <c r="AL201" i="13" s="1"/>
  <c r="AB206" i="13"/>
  <c r="AH206" i="13" s="1"/>
  <c r="AI206" i="13" s="1"/>
  <c r="AL206" i="13" s="1"/>
  <c r="AB210" i="13"/>
  <c r="AH210" i="13" s="1"/>
  <c r="AI210" i="13" s="1"/>
  <c r="AL210" i="13" s="1"/>
  <c r="AB218" i="13"/>
  <c r="AH218" i="13" s="1"/>
  <c r="AI218" i="13" s="1"/>
  <c r="AL218" i="13" s="1"/>
  <c r="AB224" i="13"/>
  <c r="AH224" i="13" s="1"/>
  <c r="AI224" i="13" s="1"/>
  <c r="AL224" i="13" s="1"/>
  <c r="AB229" i="13"/>
  <c r="AH229" i="13" s="1"/>
  <c r="AI229" i="13" s="1"/>
  <c r="AL229" i="13" s="1"/>
  <c r="AB234" i="13"/>
  <c r="AH234" i="13" s="1"/>
  <c r="AI234" i="13" s="1"/>
  <c r="AL234" i="13" s="1"/>
  <c r="AB238" i="13"/>
  <c r="AH238" i="13" s="1"/>
  <c r="AI238" i="13" s="1"/>
  <c r="AL238" i="13" s="1"/>
  <c r="AB242" i="13"/>
  <c r="AH242" i="13" s="1"/>
  <c r="AI242" i="13" s="1"/>
  <c r="AL242" i="13" s="1"/>
  <c r="AB246" i="13"/>
  <c r="AH246" i="13" s="1"/>
  <c r="AI246" i="13" s="1"/>
  <c r="AL246" i="13" s="1"/>
  <c r="AB250" i="13"/>
  <c r="AH250" i="13" s="1"/>
  <c r="AI250" i="13" s="1"/>
  <c r="AL250" i="13" s="1"/>
  <c r="AB254" i="13"/>
  <c r="AH254" i="13" s="1"/>
  <c r="AI254" i="13" s="1"/>
  <c r="AL254" i="13" s="1"/>
  <c r="AB258" i="13"/>
  <c r="AH258" i="13" s="1"/>
  <c r="AI258" i="13" s="1"/>
  <c r="AL258" i="13" s="1"/>
  <c r="AB262" i="13"/>
  <c r="AH262" i="13" s="1"/>
  <c r="AI262" i="13" s="1"/>
  <c r="AL262" i="13" s="1"/>
  <c r="AB266" i="13"/>
  <c r="AH266" i="13" s="1"/>
  <c r="AI266" i="13" s="1"/>
  <c r="AL266" i="13" s="1"/>
  <c r="AB270" i="13"/>
  <c r="AH270" i="13" s="1"/>
  <c r="AI270" i="13" s="1"/>
  <c r="AL270" i="13" s="1"/>
  <c r="AB274" i="13"/>
  <c r="AH274" i="13" s="1"/>
  <c r="AI274" i="13" s="1"/>
  <c r="AL274" i="13" s="1"/>
  <c r="AB278" i="13"/>
  <c r="AH278" i="13" s="1"/>
  <c r="AI278" i="13" s="1"/>
  <c r="AL278" i="13" s="1"/>
  <c r="AB284" i="13"/>
  <c r="AH284" i="13" s="1"/>
  <c r="AI284" i="13" s="1"/>
  <c r="AL284" i="13" s="1"/>
  <c r="AB288" i="13"/>
  <c r="AH288" i="13" s="1"/>
  <c r="AI288" i="13" s="1"/>
  <c r="AL288" i="13" s="1"/>
  <c r="AB290" i="13"/>
  <c r="AH290" i="13" s="1"/>
  <c r="AI290" i="13" s="1"/>
  <c r="AL290" i="13" s="1"/>
  <c r="AB78" i="13"/>
  <c r="AH78" i="13" s="1"/>
  <c r="AI78" i="13" s="1"/>
  <c r="AL78" i="13" s="1"/>
  <c r="AB126" i="13"/>
  <c r="AB157" i="13"/>
  <c r="AH157" i="13" s="1"/>
  <c r="AI157" i="13" s="1"/>
  <c r="AL157" i="13" s="1"/>
  <c r="AB200" i="13"/>
  <c r="AH200" i="13" s="1"/>
  <c r="AI200" i="13" s="1"/>
  <c r="AL200" i="13" s="1"/>
  <c r="AB228" i="13"/>
  <c r="AH228" i="13" s="1"/>
  <c r="AI228" i="13" s="1"/>
  <c r="AL228" i="13" s="1"/>
  <c r="AB241" i="13"/>
  <c r="AH241" i="13" s="1"/>
  <c r="AI241" i="13" s="1"/>
  <c r="AL241" i="13" s="1"/>
  <c r="AB253" i="13"/>
  <c r="AH253" i="13" s="1"/>
  <c r="AI253" i="13" s="1"/>
  <c r="AL253" i="13" s="1"/>
  <c r="AB261" i="13"/>
  <c r="AH261" i="13" s="1"/>
  <c r="AI261" i="13" s="1"/>
  <c r="AL261" i="13" s="1"/>
  <c r="AB273" i="13"/>
  <c r="AH273" i="13" s="1"/>
  <c r="AI273" i="13" s="1"/>
  <c r="AL273" i="13" s="1"/>
  <c r="AB54" i="13"/>
  <c r="AB70" i="13"/>
  <c r="AH70" i="13" s="1"/>
  <c r="AI70" i="13" s="1"/>
  <c r="AL70" i="13" s="1"/>
  <c r="AB86" i="13"/>
  <c r="AH86" i="13" s="1"/>
  <c r="AI86" i="13" s="1"/>
  <c r="AL86" i="13" s="1"/>
  <c r="AB102" i="13"/>
  <c r="AH102" i="13" s="1"/>
  <c r="AI102" i="13" s="1"/>
  <c r="AL102" i="13" s="1"/>
  <c r="AB118" i="13"/>
  <c r="AB134" i="13"/>
  <c r="AH134" i="13" s="1"/>
  <c r="AI134" i="13" s="1"/>
  <c r="AL134" i="13" s="1"/>
  <c r="AB150" i="13"/>
  <c r="AH150" i="13" s="1"/>
  <c r="AI150" i="13" s="1"/>
  <c r="AL150" i="13" s="1"/>
  <c r="AB165" i="13"/>
  <c r="AH165" i="13" s="1"/>
  <c r="AI165" i="13" s="1"/>
  <c r="AL165" i="13" s="1"/>
  <c r="AB176" i="13"/>
  <c r="AH176" i="13" s="1"/>
  <c r="AI176" i="13" s="1"/>
  <c r="AL176" i="13" s="1"/>
  <c r="AB181" i="13"/>
  <c r="AH181" i="13" s="1"/>
  <c r="AI181" i="13" s="1"/>
  <c r="AL181" i="13" s="1"/>
  <c r="AB186" i="13"/>
  <c r="AH186" i="13" s="1"/>
  <c r="AI186" i="13" s="1"/>
  <c r="AL186" i="13" s="1"/>
  <c r="AB192" i="13"/>
  <c r="AH192" i="13" s="1"/>
  <c r="AI192" i="13" s="1"/>
  <c r="AL192" i="13" s="1"/>
  <c r="AB197" i="13"/>
  <c r="AH197" i="13" s="1"/>
  <c r="AI197" i="13" s="1"/>
  <c r="AL197" i="13" s="1"/>
  <c r="AB202" i="13"/>
  <c r="AH202" i="13" s="1"/>
  <c r="AI202" i="13" s="1"/>
  <c r="AL202" i="13" s="1"/>
  <c r="AB208" i="13"/>
  <c r="AH208" i="13" s="1"/>
  <c r="AI208" i="13" s="1"/>
  <c r="AL208" i="13" s="1"/>
  <c r="AB211" i="13"/>
  <c r="AH211" i="13" s="1"/>
  <c r="AI211" i="13" s="1"/>
  <c r="AL211" i="13" s="1"/>
  <c r="AB214" i="13"/>
  <c r="AH214" i="13" s="1"/>
  <c r="AI214" i="13" s="1"/>
  <c r="AL214" i="13" s="1"/>
  <c r="AB220" i="13"/>
  <c r="AH220" i="13" s="1"/>
  <c r="AI220" i="13" s="1"/>
  <c r="AL220" i="13" s="1"/>
  <c r="AB225" i="13"/>
  <c r="AH225" i="13" s="1"/>
  <c r="AI225" i="13" s="1"/>
  <c r="AL225" i="13" s="1"/>
  <c r="AB230" i="13"/>
  <c r="AH230" i="13" s="1"/>
  <c r="AI230" i="13" s="1"/>
  <c r="AL230" i="13" s="1"/>
  <c r="AB235" i="13"/>
  <c r="AH235" i="13" s="1"/>
  <c r="AI235" i="13" s="1"/>
  <c r="AL235" i="13" s="1"/>
  <c r="AB239" i="13"/>
  <c r="AH239" i="13" s="1"/>
  <c r="AI239" i="13" s="1"/>
  <c r="AL239" i="13" s="1"/>
  <c r="AB243" i="13"/>
  <c r="AH243" i="13" s="1"/>
  <c r="AI243" i="13" s="1"/>
  <c r="AL243" i="13" s="1"/>
  <c r="AB247" i="13"/>
  <c r="AH247" i="13" s="1"/>
  <c r="AI247" i="13" s="1"/>
  <c r="AL247" i="13" s="1"/>
  <c r="AB251" i="13"/>
  <c r="AH251" i="13" s="1"/>
  <c r="AI251" i="13" s="1"/>
  <c r="AL251" i="13" s="1"/>
  <c r="AB255" i="13"/>
  <c r="AH255" i="13" s="1"/>
  <c r="AI255" i="13" s="1"/>
  <c r="AL255" i="13" s="1"/>
  <c r="AB259" i="13"/>
  <c r="AH259" i="13" s="1"/>
  <c r="AI259" i="13" s="1"/>
  <c r="AL259" i="13" s="1"/>
  <c r="AB263" i="13"/>
  <c r="AH263" i="13" s="1"/>
  <c r="AI263" i="13" s="1"/>
  <c r="AL263" i="13" s="1"/>
  <c r="AB267" i="13"/>
  <c r="AH267" i="13" s="1"/>
  <c r="AI267" i="13" s="1"/>
  <c r="AL267" i="13" s="1"/>
  <c r="AB271" i="13"/>
  <c r="AH271" i="13" s="1"/>
  <c r="AI271" i="13" s="1"/>
  <c r="AL271" i="13" s="1"/>
  <c r="AB275" i="13"/>
  <c r="AH275" i="13" s="1"/>
  <c r="AI275" i="13" s="1"/>
  <c r="AL275" i="13" s="1"/>
  <c r="AB279" i="13"/>
  <c r="AH279" i="13" s="1"/>
  <c r="AI279" i="13" s="1"/>
  <c r="AL279" i="13" s="1"/>
  <c r="AB285" i="13"/>
  <c r="AH285" i="13" s="1"/>
  <c r="AI285" i="13" s="1"/>
  <c r="AL285" i="13" s="1"/>
  <c r="AB289" i="13"/>
  <c r="AH289" i="13" s="1"/>
  <c r="AI289" i="13" s="1"/>
  <c r="AL289" i="13" s="1"/>
  <c r="AB291" i="13"/>
  <c r="AH291" i="13" s="1"/>
  <c r="AI291" i="13" s="1"/>
  <c r="AL291" i="13" s="1"/>
  <c r="AB94" i="13"/>
  <c r="AB142" i="13"/>
  <c r="AH142" i="13" s="1"/>
  <c r="AI142" i="13" s="1"/>
  <c r="AL142" i="13" s="1"/>
  <c r="AB184" i="13"/>
  <c r="AH184" i="13" s="1"/>
  <c r="AI184" i="13" s="1"/>
  <c r="AL184" i="13" s="1"/>
  <c r="AB194" i="13"/>
  <c r="AH194" i="13" s="1"/>
  <c r="AI194" i="13" s="1"/>
  <c r="AL194" i="13" s="1"/>
  <c r="AB222" i="13"/>
  <c r="AH222" i="13" s="1"/>
  <c r="AI222" i="13" s="1"/>
  <c r="AL222" i="13" s="1"/>
  <c r="AB245" i="13"/>
  <c r="AH245" i="13" s="1"/>
  <c r="AI245" i="13" s="1"/>
  <c r="AL245" i="13" s="1"/>
  <c r="AB257" i="13"/>
  <c r="AH257" i="13" s="1"/>
  <c r="AI257" i="13" s="1"/>
  <c r="AL257" i="13" s="1"/>
  <c r="AB265" i="13"/>
  <c r="AH265" i="13" s="1"/>
  <c r="AI265" i="13" s="1"/>
  <c r="AL265" i="13" s="1"/>
  <c r="AB269" i="13"/>
  <c r="AH269" i="13" s="1"/>
  <c r="AI269" i="13" s="1"/>
  <c r="AL269" i="13" s="1"/>
  <c r="AB58" i="13"/>
  <c r="AB74" i="13"/>
  <c r="AH74" i="13" s="1"/>
  <c r="AI74" i="13" s="1"/>
  <c r="AL74" i="13" s="1"/>
  <c r="AB90" i="13"/>
  <c r="AH90" i="13" s="1"/>
  <c r="AI90" i="13" s="1"/>
  <c r="AL90" i="13" s="1"/>
  <c r="AB106" i="13"/>
  <c r="AH106" i="13" s="1"/>
  <c r="AI106" i="13" s="1"/>
  <c r="AL106" i="13" s="1"/>
  <c r="AB122" i="13"/>
  <c r="AH122" i="13" s="1"/>
  <c r="AI122" i="13" s="1"/>
  <c r="AL122" i="13" s="1"/>
  <c r="AB138" i="13"/>
  <c r="AH138" i="13" s="1"/>
  <c r="AI138" i="13" s="1"/>
  <c r="AL138" i="13" s="1"/>
  <c r="AB154" i="13"/>
  <c r="AH154" i="13" s="1"/>
  <c r="AI154" i="13" s="1"/>
  <c r="AL154" i="13" s="1"/>
  <c r="AB169" i="13"/>
  <c r="AH169" i="13" s="1"/>
  <c r="AI169" i="13" s="1"/>
  <c r="AL169" i="13" s="1"/>
  <c r="AB177" i="13"/>
  <c r="AH177" i="13" s="1"/>
  <c r="AI177" i="13" s="1"/>
  <c r="AL177" i="13" s="1"/>
  <c r="AB182" i="13"/>
  <c r="AH182" i="13" s="1"/>
  <c r="AI182" i="13" s="1"/>
  <c r="AL182" i="13" s="1"/>
  <c r="AB188" i="13"/>
  <c r="AH188" i="13" s="1"/>
  <c r="AI188" i="13" s="1"/>
  <c r="AL188" i="13" s="1"/>
  <c r="AB193" i="13"/>
  <c r="AH193" i="13" s="1"/>
  <c r="AI193" i="13" s="1"/>
  <c r="AL193" i="13" s="1"/>
  <c r="AB198" i="13"/>
  <c r="AH198" i="13" s="1"/>
  <c r="AI198" i="13" s="1"/>
  <c r="AL198" i="13" s="1"/>
  <c r="AB204" i="13"/>
  <c r="AH204" i="13" s="1"/>
  <c r="AI204" i="13" s="1"/>
  <c r="AL204" i="13" s="1"/>
  <c r="AB212" i="13"/>
  <c r="AH212" i="13" s="1"/>
  <c r="AI212" i="13" s="1"/>
  <c r="AL212" i="13" s="1"/>
  <c r="AB216" i="13"/>
  <c r="AH216" i="13" s="1"/>
  <c r="AI216" i="13" s="1"/>
  <c r="AL216" i="13" s="1"/>
  <c r="AB221" i="13"/>
  <c r="AH221" i="13" s="1"/>
  <c r="AI221" i="13" s="1"/>
  <c r="AL221" i="13" s="1"/>
  <c r="AB226" i="13"/>
  <c r="AH226" i="13" s="1"/>
  <c r="AI226" i="13" s="1"/>
  <c r="AL226" i="13" s="1"/>
  <c r="AB232" i="13"/>
  <c r="AH232" i="13" s="1"/>
  <c r="AI232" i="13" s="1"/>
  <c r="AL232" i="13" s="1"/>
  <c r="AB236" i="13"/>
  <c r="AH236" i="13" s="1"/>
  <c r="AI236" i="13" s="1"/>
  <c r="AL236" i="13" s="1"/>
  <c r="AB240" i="13"/>
  <c r="AH240" i="13" s="1"/>
  <c r="AI240" i="13" s="1"/>
  <c r="AL240" i="13" s="1"/>
  <c r="AB244" i="13"/>
  <c r="AH244" i="13" s="1"/>
  <c r="AI244" i="13" s="1"/>
  <c r="AL244" i="13" s="1"/>
  <c r="AB248" i="13"/>
  <c r="AH248" i="13" s="1"/>
  <c r="AI248" i="13" s="1"/>
  <c r="AL248" i="13" s="1"/>
  <c r="AB252" i="13"/>
  <c r="AH252" i="13" s="1"/>
  <c r="AI252" i="13" s="1"/>
  <c r="AL252" i="13" s="1"/>
  <c r="AB256" i="13"/>
  <c r="AH256" i="13" s="1"/>
  <c r="AI256" i="13" s="1"/>
  <c r="AL256" i="13" s="1"/>
  <c r="AB260" i="13"/>
  <c r="AH260" i="13" s="1"/>
  <c r="AI260" i="13" s="1"/>
  <c r="AL260" i="13" s="1"/>
  <c r="AB264" i="13"/>
  <c r="AH264" i="13" s="1"/>
  <c r="AI264" i="13" s="1"/>
  <c r="AL264" i="13" s="1"/>
  <c r="AB268" i="13"/>
  <c r="AH268" i="13" s="1"/>
  <c r="AI268" i="13" s="1"/>
  <c r="AL268" i="13" s="1"/>
  <c r="AB272" i="13"/>
  <c r="AH272" i="13" s="1"/>
  <c r="AI272" i="13" s="1"/>
  <c r="AL272" i="13" s="1"/>
  <c r="AB276" i="13"/>
  <c r="AH276" i="13" s="1"/>
  <c r="AI276" i="13" s="1"/>
  <c r="AL276" i="13" s="1"/>
  <c r="AB280" i="13"/>
  <c r="AH280" i="13" s="1"/>
  <c r="AI280" i="13" s="1"/>
  <c r="AL280" i="13" s="1"/>
  <c r="AB282" i="13"/>
  <c r="AH282" i="13" s="1"/>
  <c r="AI282" i="13" s="1"/>
  <c r="AL282" i="13" s="1"/>
  <c r="AB286" i="13"/>
  <c r="AH286" i="13" s="1"/>
  <c r="AI286" i="13" s="1"/>
  <c r="AL286" i="13" s="1"/>
  <c r="AB292" i="13"/>
  <c r="AH292" i="13" s="1"/>
  <c r="AI292" i="13" s="1"/>
  <c r="AL292" i="13" s="1"/>
  <c r="AB62" i="13"/>
  <c r="AB110" i="13"/>
  <c r="AH110" i="13" s="1"/>
  <c r="AI110" i="13" s="1"/>
  <c r="AL110" i="13" s="1"/>
  <c r="AB178" i="13"/>
  <c r="AH178" i="13" s="1"/>
  <c r="AI178" i="13" s="1"/>
  <c r="AL178" i="13" s="1"/>
  <c r="AB189" i="13"/>
  <c r="AH189" i="13" s="1"/>
  <c r="AI189" i="13" s="1"/>
  <c r="AL189" i="13" s="1"/>
  <c r="AB205" i="13"/>
  <c r="AH205" i="13" s="1"/>
  <c r="AI205" i="13" s="1"/>
  <c r="AL205" i="13" s="1"/>
  <c r="AB217" i="13"/>
  <c r="AH217" i="13" s="1"/>
  <c r="AI217" i="13" s="1"/>
  <c r="AL217" i="13" s="1"/>
  <c r="AB233" i="13"/>
  <c r="AH233" i="13" s="1"/>
  <c r="AI233" i="13" s="1"/>
  <c r="AL233" i="13" s="1"/>
  <c r="AB237" i="13"/>
  <c r="AH237" i="13" s="1"/>
  <c r="AI237" i="13" s="1"/>
  <c r="AL237" i="13" s="1"/>
  <c r="AB249" i="13"/>
  <c r="AH249" i="13" s="1"/>
  <c r="AI249" i="13" s="1"/>
  <c r="AL249" i="13" s="1"/>
  <c r="AB277" i="13"/>
  <c r="AH277" i="13" s="1"/>
  <c r="AI277" i="13" s="1"/>
  <c r="AL277" i="13" s="1"/>
  <c r="AB281" i="13"/>
  <c r="AH281" i="13" s="1"/>
  <c r="AI281" i="13" s="1"/>
  <c r="AL281" i="13" s="1"/>
  <c r="AB287" i="13"/>
  <c r="AH287" i="13" s="1"/>
  <c r="AI287" i="13" s="1"/>
  <c r="AL287" i="13" s="1"/>
  <c r="AB283" i="13"/>
  <c r="AH283" i="13" s="1"/>
  <c r="AI283" i="13" s="1"/>
  <c r="AL283" i="13" s="1"/>
  <c r="AB293" i="13"/>
  <c r="AH293" i="13" s="1"/>
  <c r="AI293" i="13" s="1"/>
  <c r="AL293" i="13" s="1"/>
  <c r="V54" i="18"/>
  <c r="W54" i="18" s="1"/>
  <c r="M25" i="9" s="1" a="1"/>
  <c r="V60" i="18"/>
  <c r="W60" i="18" s="1"/>
  <c r="AJ34" i="4" s="1"/>
  <c r="AB14" i="13"/>
  <c r="AH14" i="13" s="1"/>
  <c r="AI14" i="13" s="1"/>
  <c r="AL14" i="13" s="1"/>
  <c r="AB15" i="13"/>
  <c r="AB16" i="13"/>
  <c r="AB17" i="13"/>
  <c r="AB9" i="13"/>
  <c r="AH9" i="13" s="1"/>
  <c r="AB294" i="13"/>
  <c r="AH294" i="13" s="1"/>
  <c r="AI294" i="13" s="1"/>
  <c r="AL294" i="13" s="1"/>
  <c r="AB60" i="7"/>
  <c r="AB37" i="13"/>
  <c r="AB71" i="7"/>
  <c r="AB13" i="7"/>
  <c r="AH13" i="7" s="1"/>
  <c r="AI13" i="7" s="1"/>
  <c r="AL13" i="7" s="1"/>
  <c r="AB48" i="13"/>
  <c r="AB59" i="7"/>
  <c r="AB33" i="7"/>
  <c r="AB26" i="7"/>
  <c r="AB69" i="7"/>
  <c r="AB48" i="7"/>
  <c r="AB20" i="13"/>
  <c r="AB51" i="13"/>
  <c r="AB19" i="13"/>
  <c r="AB35" i="13"/>
  <c r="AB18" i="7"/>
  <c r="AB17" i="7"/>
  <c r="AB30" i="7"/>
  <c r="AB68" i="7"/>
  <c r="AB19" i="7"/>
  <c r="AB54" i="7"/>
  <c r="AB77" i="7"/>
  <c r="AB35" i="7"/>
  <c r="AB297" i="13"/>
  <c r="AH297" i="13" s="1"/>
  <c r="AI297" i="13" s="1"/>
  <c r="AL297" i="13" s="1"/>
  <c r="AB18" i="13"/>
  <c r="AB63" i="7"/>
  <c r="AB34" i="7"/>
  <c r="AB73" i="7"/>
  <c r="AB40" i="13"/>
  <c r="AB66" i="7"/>
  <c r="AB22" i="13"/>
  <c r="AH22" i="13" s="1"/>
  <c r="AI22" i="13" s="1"/>
  <c r="AL22" i="13" s="1"/>
  <c r="AB41" i="7"/>
  <c r="AB15" i="7"/>
  <c r="AB24" i="7"/>
  <c r="AB16" i="7"/>
  <c r="AB38" i="7"/>
  <c r="AB56" i="7"/>
  <c r="AB24" i="13"/>
  <c r="AH24" i="13" s="1"/>
  <c r="AI24" i="13" s="1"/>
  <c r="AL24" i="13" s="1"/>
  <c r="AB64" i="7"/>
  <c r="AB46" i="13"/>
  <c r="AH46" i="13" s="1"/>
  <c r="AI46" i="13" s="1"/>
  <c r="AL46" i="13" s="1"/>
  <c r="AB58" i="7"/>
  <c r="AB41" i="13"/>
  <c r="AB37" i="7"/>
  <c r="AB74" i="7"/>
  <c r="AB75" i="7"/>
  <c r="AB10" i="13"/>
  <c r="AB32" i="7"/>
  <c r="AB50" i="7"/>
  <c r="AB31" i="13"/>
  <c r="AB61" i="7"/>
  <c r="AB14" i="7"/>
  <c r="AB13" i="13"/>
  <c r="AH13" i="13" s="1"/>
  <c r="AI13" i="13" s="1"/>
  <c r="AL13" i="13" s="1"/>
  <c r="AB38" i="13"/>
  <c r="AB28" i="13"/>
  <c r="AB11" i="7"/>
  <c r="AH11" i="7" s="1"/>
  <c r="AI11" i="7" s="1"/>
  <c r="AL11" i="7" s="1"/>
  <c r="AB44" i="7"/>
  <c r="AB36" i="7"/>
  <c r="AB32" i="13"/>
  <c r="AB67" i="7"/>
  <c r="AB25" i="7"/>
  <c r="AB78" i="7"/>
  <c r="AB47" i="13"/>
  <c r="AB20" i="7"/>
  <c r="AB11" i="13"/>
  <c r="AB34" i="13"/>
  <c r="AB43" i="13"/>
  <c r="AH43" i="13" s="1"/>
  <c r="AI43" i="13" s="1"/>
  <c r="AL43" i="13" s="1"/>
  <c r="AB23" i="13"/>
  <c r="AH23" i="13" s="1"/>
  <c r="AI23" i="13" s="1"/>
  <c r="AL23" i="13" s="1"/>
  <c r="AB31" i="7"/>
  <c r="AB36" i="13"/>
  <c r="AB21" i="7"/>
  <c r="AB52" i="7"/>
  <c r="AB9" i="7"/>
  <c r="AB33" i="13"/>
  <c r="AB50" i="13"/>
  <c r="AB49" i="7"/>
  <c r="AB55" i="7"/>
  <c r="AB12" i="13"/>
  <c r="AH12" i="13" s="1"/>
  <c r="AI12" i="13" s="1"/>
  <c r="AL12" i="13" s="1"/>
  <c r="AB22" i="7"/>
  <c r="AB49" i="13"/>
  <c r="AB39" i="13"/>
  <c r="AB47" i="7"/>
  <c r="AB28" i="7"/>
  <c r="AB296" i="13"/>
  <c r="AH296" i="13" s="1"/>
  <c r="AI296" i="13" s="1"/>
  <c r="AL296" i="13" s="1"/>
  <c r="AB10" i="7"/>
  <c r="AB51" i="7"/>
  <c r="AB25" i="13"/>
  <c r="AH25" i="13" s="1"/>
  <c r="AI25" i="13" s="1"/>
  <c r="AL25" i="13" s="1"/>
  <c r="AB29" i="13"/>
  <c r="AB27" i="13"/>
  <c r="AH27" i="13" s="1"/>
  <c r="AI27" i="13" s="1"/>
  <c r="AL27" i="13" s="1"/>
  <c r="AB26" i="13"/>
  <c r="AB43" i="7"/>
  <c r="AB76" i="7"/>
  <c r="AB23" i="7"/>
  <c r="AB42" i="13"/>
  <c r="AB30" i="13"/>
  <c r="AB12" i="7"/>
  <c r="AH12" i="7" s="1"/>
  <c r="AI12" i="7" s="1"/>
  <c r="AL12" i="7" s="1"/>
  <c r="AB70" i="7"/>
  <c r="AB42" i="7"/>
  <c r="AB27" i="7"/>
  <c r="AB80" i="7"/>
  <c r="AB57" i="7"/>
  <c r="AB295" i="13"/>
  <c r="AH295" i="13" s="1"/>
  <c r="AI295" i="13" s="1"/>
  <c r="AL295" i="13" s="1"/>
  <c r="AB44" i="13"/>
  <c r="AB45" i="7"/>
  <c r="AB65" i="7"/>
  <c r="AB79" i="7"/>
  <c r="AB45" i="13"/>
  <c r="AB62" i="7"/>
  <c r="AB40" i="7"/>
  <c r="AB72" i="7"/>
  <c r="AB39" i="7"/>
  <c r="AB21" i="13"/>
  <c r="AB29" i="7"/>
  <c r="AB46" i="7"/>
  <c r="AB81" i="7"/>
  <c r="AB53" i="7"/>
  <c r="AJ64" i="15" l="1"/>
  <c r="AL64" i="15" s="1"/>
  <c r="M13" i="9" a="1"/>
  <c r="O13" i="9" s="1"/>
  <c r="P13" i="9" s="1"/>
  <c r="AJ63" i="15"/>
  <c r="AL63" i="15" s="1"/>
  <c r="M24" i="9" a="1"/>
  <c r="N24" i="9" s="1"/>
  <c r="M52" i="9" a="1"/>
  <c r="O52" i="9" s="1"/>
  <c r="P52" i="9" s="1"/>
  <c r="M26" i="9" a="1"/>
  <c r="O26" i="9" s="1"/>
  <c r="P26" i="9" s="1"/>
  <c r="M40" i="9" a="1"/>
  <c r="O40" i="9" s="1"/>
  <c r="P40" i="9" s="1"/>
  <c r="M29" i="9" a="1"/>
  <c r="O29" i="9" s="1"/>
  <c r="P29" i="9" s="1"/>
  <c r="O31" i="15"/>
  <c r="P31" i="15" s="1"/>
  <c r="AJ66" i="15"/>
  <c r="AK66" i="15" s="1"/>
  <c r="O51" i="15"/>
  <c r="Q51" i="15" s="1"/>
  <c r="AJ92" i="15"/>
  <c r="AK92" i="15" s="1"/>
  <c r="AJ55" i="15"/>
  <c r="AL55" i="15" s="1"/>
  <c r="M53" i="9" a="1"/>
  <c r="N53" i="9" s="1"/>
  <c r="O48" i="15"/>
  <c r="Q48" i="15" s="1"/>
  <c r="AJ76" i="15"/>
  <c r="AL76" i="15" s="1"/>
  <c r="M38" i="9" a="1"/>
  <c r="O38" i="9" s="1"/>
  <c r="P38" i="9" s="1"/>
  <c r="M33" i="9" a="1"/>
  <c r="N33" i="9" s="1"/>
  <c r="AJ35" i="15"/>
  <c r="AL35" i="15" s="1"/>
  <c r="AJ34" i="15"/>
  <c r="AL34" i="15" s="1"/>
  <c r="M30" i="9" a="1"/>
  <c r="N30" i="9" s="1"/>
  <c r="O42" i="15"/>
  <c r="Q42" i="15" s="1"/>
  <c r="AJ58" i="15"/>
  <c r="AK58" i="15" s="1"/>
  <c r="AJ72" i="15"/>
  <c r="AK72" i="15" s="1"/>
  <c r="AJ39" i="15"/>
  <c r="AK39" i="15" s="1"/>
  <c r="O54" i="15"/>
  <c r="Q54" i="15" s="1"/>
  <c r="AJ80" i="15"/>
  <c r="AL80" i="15" s="1"/>
  <c r="O26" i="15"/>
  <c r="Q26" i="15" s="1"/>
  <c r="M15" i="9" a="1"/>
  <c r="O15" i="9" s="1"/>
  <c r="P15" i="9" s="1"/>
  <c r="O35" i="15"/>
  <c r="Q35" i="15" s="1"/>
  <c r="M19" i="9" a="1"/>
  <c r="N19" i="9" s="1"/>
  <c r="AJ82" i="15"/>
  <c r="AK82" i="15" s="1"/>
  <c r="M31" i="9" a="1"/>
  <c r="N31" i="9" s="1"/>
  <c r="AJ25" i="15"/>
  <c r="AL25" i="15" s="1"/>
  <c r="O52" i="15"/>
  <c r="Q52" i="15" s="1"/>
  <c r="AJ65" i="15"/>
  <c r="AL65" i="15" s="1"/>
  <c r="M22" i="9" a="1"/>
  <c r="O22" i="9" s="1"/>
  <c r="P22" i="9" s="1"/>
  <c r="AJ81" i="15"/>
  <c r="AL81" i="15" s="1"/>
  <c r="AJ94" i="15"/>
  <c r="AL94" i="15" s="1"/>
  <c r="M34" i="9" a="1"/>
  <c r="N34" i="9" s="1"/>
  <c r="O55" i="15"/>
  <c r="P55" i="15" s="1"/>
  <c r="O33" i="15"/>
  <c r="P33" i="15" s="1"/>
  <c r="AJ29" i="15"/>
  <c r="AL29" i="15" s="1"/>
  <c r="M32" i="9" a="1"/>
  <c r="N32" i="9" s="1"/>
  <c r="M39" i="9" a="1"/>
  <c r="O39" i="9" s="1"/>
  <c r="P39" i="9" s="1"/>
  <c r="AJ86" i="15"/>
  <c r="AK86" i="15" s="1"/>
  <c r="AJ79" i="15"/>
  <c r="AL79" i="15" s="1"/>
  <c r="M37" i="9" a="1"/>
  <c r="O37" i="9" s="1"/>
  <c r="P37" i="9" s="1"/>
  <c r="O59" i="15"/>
  <c r="Q59" i="15" s="1"/>
  <c r="AJ67" i="15"/>
  <c r="AK67" i="15" s="1"/>
  <c r="M56" i="9" a="1"/>
  <c r="O56" i="9" s="1"/>
  <c r="P56" i="9" s="1"/>
  <c r="AJ30" i="15"/>
  <c r="AL30" i="15" s="1"/>
  <c r="AJ46" i="15"/>
  <c r="AK46" i="15" s="1"/>
  <c r="O36" i="15"/>
  <c r="Q36" i="15" s="1"/>
  <c r="O75" i="15"/>
  <c r="F11" i="15" s="1"/>
  <c r="O8" i="4"/>
  <c r="F8" i="4" s="1"/>
  <c r="AJ48" i="15"/>
  <c r="AL48" i="15" s="1"/>
  <c r="AJ43" i="15"/>
  <c r="AL43" i="15" s="1"/>
  <c r="AJ51" i="15"/>
  <c r="AL51" i="15" s="1"/>
  <c r="O45" i="15"/>
  <c r="P45" i="15" s="1"/>
  <c r="M11" i="9" a="1"/>
  <c r="N11" i="9" s="1"/>
  <c r="AJ42" i="15"/>
  <c r="AL42" i="15" s="1"/>
  <c r="AJ50" i="15"/>
  <c r="AL50" i="15" s="1"/>
  <c r="O62" i="15"/>
  <c r="Q62" i="15" s="1"/>
  <c r="AJ60" i="15"/>
  <c r="AK60" i="15" s="1"/>
  <c r="O39" i="15"/>
  <c r="Q39" i="15" s="1"/>
  <c r="M17" i="9" a="1"/>
  <c r="O17" i="9" s="1"/>
  <c r="P17" i="9" s="1"/>
  <c r="AJ90" i="15"/>
  <c r="AK90" i="15" s="1"/>
  <c r="M51" i="9" a="1"/>
  <c r="N51" i="9" s="1"/>
  <c r="AJ47" i="15"/>
  <c r="AK47" i="15" s="1"/>
  <c r="M18" i="9" a="1"/>
  <c r="N18" i="9" s="1"/>
  <c r="O30" i="15"/>
  <c r="Q30" i="15" s="1"/>
  <c r="O58" i="15"/>
  <c r="P58" i="15" s="1"/>
  <c r="M57" i="9" a="1"/>
  <c r="O57" i="9" s="1"/>
  <c r="P57" i="9" s="1"/>
  <c r="O33" i="4"/>
  <c r="P33" i="4" s="1"/>
  <c r="AJ36" i="15"/>
  <c r="AK36" i="15" s="1"/>
  <c r="AJ45" i="15"/>
  <c r="AK45" i="15" s="1"/>
  <c r="M58" i="9" a="1"/>
  <c r="N58" i="9" s="1"/>
  <c r="O37" i="15"/>
  <c r="Q37" i="15" s="1"/>
  <c r="AJ70" i="15"/>
  <c r="AL70" i="15" s="1"/>
  <c r="AJ56" i="15"/>
  <c r="AL56" i="15" s="1"/>
  <c r="M42" i="9" a="1"/>
  <c r="O42" i="9" s="1"/>
  <c r="P42" i="9" s="1"/>
  <c r="AJ27" i="15"/>
  <c r="AK27" i="15" s="1"/>
  <c r="M49" i="9" a="1"/>
  <c r="O49" i="9" s="1"/>
  <c r="P49" i="9" s="1"/>
  <c r="AJ24" i="15"/>
  <c r="AK24" i="15" s="1"/>
  <c r="O41" i="15"/>
  <c r="Q41" i="15" s="1"/>
  <c r="AJ31" i="15"/>
  <c r="AL31" i="15" s="1"/>
  <c r="O57" i="15"/>
  <c r="Q57" i="15" s="1"/>
  <c r="M28" i="9" a="1"/>
  <c r="O28" i="9" s="1"/>
  <c r="P28" i="9" s="1"/>
  <c r="AJ68" i="15"/>
  <c r="AL68" i="15" s="1"/>
  <c r="M27" i="9" a="1"/>
  <c r="N27" i="9" s="1"/>
  <c r="AJ71" i="15"/>
  <c r="AK71" i="15" s="1"/>
  <c r="AJ75" i="15"/>
  <c r="AK75" i="15" s="1"/>
  <c r="AJ91" i="15"/>
  <c r="AK91" i="15" s="1"/>
  <c r="M43" i="9" a="1"/>
  <c r="N43" i="9" s="1"/>
  <c r="O71" i="15"/>
  <c r="F7" i="15" s="1"/>
  <c r="O56" i="15"/>
  <c r="Q56" i="15" s="1"/>
  <c r="M47" i="9" a="1"/>
  <c r="N47" i="9" s="1"/>
  <c r="AJ84" i="15"/>
  <c r="AK84" i="15" s="1"/>
  <c r="AJ41" i="15"/>
  <c r="AL41" i="15" s="1"/>
  <c r="O46" i="15"/>
  <c r="Q46" i="15" s="1"/>
  <c r="AJ87" i="15"/>
  <c r="AL87" i="15" s="1"/>
  <c r="M10" i="9" a="1"/>
  <c r="O10" i="9" s="1"/>
  <c r="P10" i="9" s="1"/>
  <c r="AJ96" i="15"/>
  <c r="AL96" i="15" s="1"/>
  <c r="O81" i="15"/>
  <c r="H17" i="15" s="1"/>
  <c r="O63" i="15"/>
  <c r="Q63" i="15" s="1"/>
  <c r="M16" i="9" a="1"/>
  <c r="O16" i="9" s="1"/>
  <c r="AJ40" i="15"/>
  <c r="AL40" i="15" s="1"/>
  <c r="M21" i="9" a="1"/>
  <c r="O21" i="9" s="1"/>
  <c r="P21" i="9" s="1"/>
  <c r="AJ88" i="15"/>
  <c r="AK88" i="15" s="1"/>
  <c r="M45" i="9" a="1"/>
  <c r="O45" i="9" s="1"/>
  <c r="P45" i="9" s="1"/>
  <c r="O60" i="4"/>
  <c r="Q60" i="4" s="1"/>
  <c r="AJ48" i="4"/>
  <c r="AL48" i="4" s="1"/>
  <c r="AJ38" i="15"/>
  <c r="AK38" i="15" s="1"/>
  <c r="M46" i="9" a="1"/>
  <c r="O46" i="9" s="1"/>
  <c r="P46" i="9" s="1"/>
  <c r="O27" i="15"/>
  <c r="P27" i="15" s="1"/>
  <c r="M35" i="9" a="1"/>
  <c r="N35" i="9" s="1"/>
  <c r="AJ57" i="15"/>
  <c r="AL57" i="15" s="1"/>
  <c r="AJ61" i="15"/>
  <c r="AK61" i="15" s="1"/>
  <c r="O44" i="15"/>
  <c r="Q44" i="15" s="1"/>
  <c r="O34" i="15"/>
  <c r="P34" i="15" s="1"/>
  <c r="O49" i="15"/>
  <c r="P49" i="15" s="1"/>
  <c r="AJ73" i="15"/>
  <c r="AL73" i="15" s="1"/>
  <c r="O32" i="15"/>
  <c r="Q32" i="15" s="1"/>
  <c r="O60" i="15"/>
  <c r="P60" i="15" s="1"/>
  <c r="M12" i="9" a="1"/>
  <c r="O12" i="9" s="1"/>
  <c r="P12" i="9" s="1"/>
  <c r="O47" i="15"/>
  <c r="Q47" i="15" s="1"/>
  <c r="AJ53" i="15"/>
  <c r="AL53" i="15" s="1"/>
  <c r="AJ83" i="15"/>
  <c r="AL83" i="15" s="1"/>
  <c r="O24" i="15"/>
  <c r="P24" i="15" s="1"/>
  <c r="AJ93" i="15"/>
  <c r="AK93" i="15" s="1"/>
  <c r="M23" i="9" a="1"/>
  <c r="O23" i="9" s="1"/>
  <c r="P23" i="9" s="1"/>
  <c r="AJ74" i="15"/>
  <c r="AK74" i="15" s="1"/>
  <c r="AJ32" i="15"/>
  <c r="AL32" i="15" s="1"/>
  <c r="M9" i="9" a="1"/>
  <c r="O9" i="9" s="1"/>
  <c r="AJ85" i="15"/>
  <c r="AL85" i="15" s="1"/>
  <c r="AJ77" i="15"/>
  <c r="AL77" i="15" s="1"/>
  <c r="AJ44" i="15"/>
  <c r="AK44" i="15" s="1"/>
  <c r="O40" i="15"/>
  <c r="Q40" i="15" s="1"/>
  <c r="O61" i="15"/>
  <c r="Q61" i="15" s="1"/>
  <c r="AJ78" i="15"/>
  <c r="AK78" i="15" s="1"/>
  <c r="AJ62" i="15"/>
  <c r="AL62" i="15" s="1"/>
  <c r="AJ33" i="15"/>
  <c r="AL33" i="15" s="1"/>
  <c r="M14" i="9" a="1"/>
  <c r="O14" i="9" s="1"/>
  <c r="P14" i="9" s="1"/>
  <c r="O50" i="15"/>
  <c r="P50" i="15" s="1"/>
  <c r="AJ54" i="15"/>
  <c r="AK54" i="15" s="1"/>
  <c r="O80" i="15"/>
  <c r="H16" i="15" s="1"/>
  <c r="AJ59" i="15"/>
  <c r="AK59" i="15" s="1"/>
  <c r="O64" i="4"/>
  <c r="Q64" i="4" s="1"/>
  <c r="O52" i="4"/>
  <c r="P52" i="4" s="1"/>
  <c r="O27" i="4"/>
  <c r="Q27" i="4" s="1"/>
  <c r="O28" i="4"/>
  <c r="P28" i="4" s="1"/>
  <c r="M50" i="9" a="1"/>
  <c r="O50" i="9" s="1"/>
  <c r="P50" i="9" s="1"/>
  <c r="AJ28" i="15"/>
  <c r="AL28" i="15" s="1"/>
  <c r="O53" i="15"/>
  <c r="Q53" i="15" s="1"/>
  <c r="AJ52" i="15"/>
  <c r="AK52" i="15" s="1"/>
  <c r="M20" i="9" a="1"/>
  <c r="N20" i="9" s="1"/>
  <c r="O43" i="15"/>
  <c r="Q43" i="15" s="1"/>
  <c r="M41" i="9" a="1"/>
  <c r="N41" i="9" s="1"/>
  <c r="O29" i="15"/>
  <c r="Q29" i="15" s="1"/>
  <c r="AJ95" i="15"/>
  <c r="AK95" i="15" s="1"/>
  <c r="M54" i="9" a="1"/>
  <c r="N54" i="9" s="1"/>
  <c r="O28" i="15"/>
  <c r="P28" i="15" s="1"/>
  <c r="M48" i="9" a="1"/>
  <c r="O48" i="9" s="1"/>
  <c r="P48" i="9" s="1"/>
  <c r="AJ37" i="15"/>
  <c r="AL37" i="15" s="1"/>
  <c r="O38" i="15"/>
  <c r="P38" i="15" s="1"/>
  <c r="M44" i="9" a="1"/>
  <c r="N44" i="9" s="1"/>
  <c r="M59" i="9" a="1"/>
  <c r="O59" i="9" s="1"/>
  <c r="P59" i="9" s="1"/>
  <c r="AJ49" i="15"/>
  <c r="AL49" i="15" s="1"/>
  <c r="AJ69" i="15"/>
  <c r="AL69" i="15" s="1"/>
  <c r="AJ26" i="15"/>
  <c r="AL26" i="15" s="1"/>
  <c r="M55" i="9" a="1"/>
  <c r="O55" i="9" s="1"/>
  <c r="P55" i="9" s="1"/>
  <c r="AJ89" i="15"/>
  <c r="AK89" i="15" s="1"/>
  <c r="O25" i="15"/>
  <c r="P25" i="15" s="1"/>
  <c r="O82" i="15"/>
  <c r="H18" i="15" s="1"/>
  <c r="O79" i="15"/>
  <c r="H15" i="15" s="1"/>
  <c r="M36" i="9" a="1"/>
  <c r="O36" i="9" s="1"/>
  <c r="P36" i="9" s="1"/>
  <c r="AJ30" i="4"/>
  <c r="AL30" i="4" s="1"/>
  <c r="O47" i="4"/>
  <c r="Q47" i="4" s="1"/>
  <c r="AJ45" i="4"/>
  <c r="AK45" i="4" s="1"/>
  <c r="AJ61" i="4"/>
  <c r="AL61" i="4" s="1"/>
  <c r="AJ43" i="4"/>
  <c r="AL43" i="4" s="1"/>
  <c r="O48" i="4"/>
  <c r="Q48" i="4" s="1"/>
  <c r="AJ42" i="4"/>
  <c r="AK42" i="4" s="1"/>
  <c r="AJ56" i="4"/>
  <c r="AK56" i="4" s="1"/>
  <c r="O59" i="4"/>
  <c r="P59" i="4" s="1"/>
  <c r="O35" i="4"/>
  <c r="Q35" i="4" s="1"/>
  <c r="AJ58" i="4"/>
  <c r="AK58" i="4" s="1"/>
  <c r="O39" i="4"/>
  <c r="P39" i="4" s="1"/>
  <c r="O49" i="4"/>
  <c r="P49" i="4" s="1"/>
  <c r="O54" i="4"/>
  <c r="P54" i="4" s="1"/>
  <c r="O40" i="4"/>
  <c r="Q40" i="4" s="1"/>
  <c r="O51" i="4"/>
  <c r="P51" i="4" s="1"/>
  <c r="AJ64" i="4"/>
  <c r="AL64" i="4" s="1"/>
  <c r="AJ31" i="4"/>
  <c r="AL31" i="4" s="1"/>
  <c r="AJ59" i="4"/>
  <c r="AL59" i="4" s="1"/>
  <c r="AJ47" i="4"/>
  <c r="AL47" i="4" s="1"/>
  <c r="O55" i="4"/>
  <c r="Q55" i="4" s="1"/>
  <c r="O62" i="4"/>
  <c r="P62" i="4" s="1"/>
  <c r="AJ40" i="4"/>
  <c r="AK40" i="4" s="1"/>
  <c r="AJ38" i="4"/>
  <c r="AL38" i="4" s="1"/>
  <c r="O12" i="4"/>
  <c r="F12" i="4" s="1"/>
  <c r="AJ57" i="4"/>
  <c r="AK57" i="4" s="1"/>
  <c r="AJ44" i="4"/>
  <c r="AK44" i="4" s="1"/>
  <c r="O16" i="4"/>
  <c r="H16" i="4" s="1"/>
  <c r="O41" i="4"/>
  <c r="P41" i="4" s="1"/>
  <c r="AJ55" i="4"/>
  <c r="AL55" i="4" s="1"/>
  <c r="O56" i="4"/>
  <c r="Q56" i="4" s="1"/>
  <c r="AJ50" i="4"/>
  <c r="AK50" i="4" s="1"/>
  <c r="O46" i="4"/>
  <c r="P46" i="4" s="1"/>
  <c r="O30" i="4"/>
  <c r="P30" i="4" s="1"/>
  <c r="AJ39" i="4"/>
  <c r="AK39" i="4" s="1"/>
  <c r="AJ32" i="4"/>
  <c r="AK32" i="4" s="1"/>
  <c r="O31" i="4"/>
  <c r="P31" i="4" s="1"/>
  <c r="AJ63" i="4"/>
  <c r="AK63" i="4" s="1"/>
  <c r="O44" i="4"/>
  <c r="P44" i="4" s="1"/>
  <c r="O43" i="4"/>
  <c r="P43" i="4" s="1"/>
  <c r="O26" i="4"/>
  <c r="Q26" i="4" s="1"/>
  <c r="O53" i="4"/>
  <c r="Q53" i="4" s="1"/>
  <c r="O38" i="4"/>
  <c r="P38" i="4" s="1"/>
  <c r="O42" i="4"/>
  <c r="P42" i="4" s="1"/>
  <c r="O37" i="4"/>
  <c r="P37" i="4" s="1"/>
  <c r="AJ54" i="4"/>
  <c r="AK54" i="4" s="1"/>
  <c r="O34" i="4"/>
  <c r="P34" i="4" s="1"/>
  <c r="AJ60" i="4"/>
  <c r="AK60" i="4" s="1"/>
  <c r="AJ37" i="4"/>
  <c r="AL37" i="4" s="1"/>
  <c r="AJ27" i="4"/>
  <c r="AK27" i="4" s="1"/>
  <c r="O45" i="4"/>
  <c r="Q45" i="4" s="1"/>
  <c r="O18" i="4"/>
  <c r="H18" i="4" s="1"/>
  <c r="O17" i="4"/>
  <c r="H17" i="4" s="1"/>
  <c r="O36" i="4"/>
  <c r="Q36" i="4" s="1"/>
  <c r="AJ36" i="4"/>
  <c r="AL36" i="4" s="1"/>
  <c r="O61" i="4"/>
  <c r="Q61" i="4" s="1"/>
  <c r="AJ26" i="4"/>
  <c r="AK26" i="4" s="1"/>
  <c r="O29" i="4"/>
  <c r="Q29" i="4" s="1"/>
  <c r="AJ53" i="4"/>
  <c r="AL53" i="4" s="1"/>
  <c r="AJ41" i="4"/>
  <c r="AL41" i="4" s="1"/>
  <c r="AJ28" i="4"/>
  <c r="AK28" i="4" s="1"/>
  <c r="AJ52" i="4"/>
  <c r="AL52" i="4" s="1"/>
  <c r="O63" i="4"/>
  <c r="P63" i="4" s="1"/>
  <c r="AJ46" i="4"/>
  <c r="AK46" i="4" s="1"/>
  <c r="AJ51" i="4"/>
  <c r="AK51" i="4" s="1"/>
  <c r="AJ33" i="4"/>
  <c r="AL33" i="4" s="1"/>
  <c r="O19" i="4"/>
  <c r="H19" i="4" s="1"/>
  <c r="AJ49" i="4"/>
  <c r="AK49" i="4" s="1"/>
  <c r="O58" i="4"/>
  <c r="Q58" i="4" s="1"/>
  <c r="O32" i="4"/>
  <c r="P32" i="4" s="1"/>
  <c r="O25" i="4"/>
  <c r="P25" i="4" s="1"/>
  <c r="AJ25" i="4"/>
  <c r="AK25" i="4" s="1"/>
  <c r="AJ62" i="4"/>
  <c r="AL62" i="4" s="1"/>
  <c r="AJ29" i="4"/>
  <c r="AK29" i="4" s="1"/>
  <c r="AJ35" i="4"/>
  <c r="AL35" i="4" s="1"/>
  <c r="O50" i="4"/>
  <c r="P50" i="4" s="1"/>
  <c r="O57" i="4"/>
  <c r="Q57" i="4" s="1"/>
  <c r="AI9" i="13"/>
  <c r="AH298" i="13"/>
  <c r="AB82" i="7"/>
  <c r="AH9" i="7"/>
  <c r="AB298" i="13"/>
  <c r="O25" i="9"/>
  <c r="P25" i="9" s="1"/>
  <c r="N25" i="9"/>
  <c r="AL34" i="4"/>
  <c r="AK34" i="4"/>
  <c r="N52" i="9" l="1"/>
  <c r="N13" i="9"/>
  <c r="O53" i="9"/>
  <c r="P53" i="9" s="1"/>
  <c r="Q31" i="15"/>
  <c r="AK64" i="15"/>
  <c r="AK55" i="15"/>
  <c r="AL66" i="15"/>
  <c r="N26" i="9"/>
  <c r="AK63" i="15"/>
  <c r="N40" i="9"/>
  <c r="O24" i="9"/>
  <c r="P24" i="9" s="1"/>
  <c r="AL92" i="15"/>
  <c r="AL72" i="15"/>
  <c r="AK76" i="15"/>
  <c r="N29" i="9"/>
  <c r="AK34" i="15"/>
  <c r="P48" i="15"/>
  <c r="P51" i="15"/>
  <c r="AK31" i="15"/>
  <c r="AL39" i="15"/>
  <c r="AL58" i="15"/>
  <c r="AL61" i="15"/>
  <c r="AK79" i="15"/>
  <c r="AK29" i="15"/>
  <c r="O19" i="9"/>
  <c r="P19" i="9" s="1"/>
  <c r="O31" i="9"/>
  <c r="P31" i="9" s="1"/>
  <c r="P59" i="15"/>
  <c r="N38" i="9"/>
  <c r="AK51" i="15"/>
  <c r="N56" i="9"/>
  <c r="AL95" i="15"/>
  <c r="N16" i="9"/>
  <c r="O30" i="9"/>
  <c r="P30" i="9" s="1"/>
  <c r="Q33" i="4"/>
  <c r="AK35" i="15"/>
  <c r="O27" i="9"/>
  <c r="P27" i="9" s="1"/>
  <c r="AL84" i="15"/>
  <c r="N37" i="9"/>
  <c r="O58" i="9"/>
  <c r="P58" i="9" s="1"/>
  <c r="AL49" i="4"/>
  <c r="AL47" i="15"/>
  <c r="AK42" i="15"/>
  <c r="P41" i="15"/>
  <c r="AL91" i="15"/>
  <c r="AK81" i="15"/>
  <c r="AK80" i="15"/>
  <c r="AK57" i="15"/>
  <c r="AL27" i="15"/>
  <c r="P52" i="15"/>
  <c r="AL93" i="15"/>
  <c r="AL54" i="15"/>
  <c r="AL44" i="15"/>
  <c r="O33" i="9"/>
  <c r="P33" i="9" s="1"/>
  <c r="N17" i="9"/>
  <c r="P42" i="15"/>
  <c r="Q50" i="4"/>
  <c r="AL82" i="15"/>
  <c r="Q28" i="4"/>
  <c r="AK70" i="15"/>
  <c r="AK50" i="15"/>
  <c r="AK62" i="15"/>
  <c r="Q25" i="15"/>
  <c r="AL88" i="15"/>
  <c r="AK87" i="15"/>
  <c r="Q42" i="4"/>
  <c r="AK94" i="15"/>
  <c r="N45" i="9"/>
  <c r="AL89" i="15"/>
  <c r="Q39" i="4"/>
  <c r="O43" i="9"/>
  <c r="P43" i="9" s="1"/>
  <c r="P35" i="15"/>
  <c r="AK32" i="15"/>
  <c r="AL86" i="15"/>
  <c r="AK47" i="4"/>
  <c r="Q52" i="4"/>
  <c r="O18" i="9"/>
  <c r="P18" i="9" s="1"/>
  <c r="P64" i="4"/>
  <c r="P47" i="15"/>
  <c r="O20" i="9"/>
  <c r="P20" i="9" s="1"/>
  <c r="P36" i="15"/>
  <c r="AK96" i="15"/>
  <c r="N12" i="9"/>
  <c r="AK61" i="4"/>
  <c r="P37" i="15"/>
  <c r="P60" i="4"/>
  <c r="N9" i="9"/>
  <c r="P30" i="15"/>
  <c r="AK48" i="15"/>
  <c r="AK33" i="15"/>
  <c r="P56" i="15"/>
  <c r="Q50" i="15"/>
  <c r="AL38" i="15"/>
  <c r="N10" i="9"/>
  <c r="AK25" i="15"/>
  <c r="N15" i="9"/>
  <c r="P27" i="4"/>
  <c r="P63" i="15"/>
  <c r="AK43" i="15"/>
  <c r="O11" i="9"/>
  <c r="P11" i="9" s="1"/>
  <c r="AK68" i="15"/>
  <c r="AK38" i="4"/>
  <c r="Q58" i="15"/>
  <c r="AK49" i="15"/>
  <c r="AL24" i="15"/>
  <c r="N57" i="9"/>
  <c r="Q49" i="15"/>
  <c r="AL59" i="15"/>
  <c r="P54" i="15"/>
  <c r="AL60" i="15"/>
  <c r="N28" i="9"/>
  <c r="AK56" i="15"/>
  <c r="Q55" i="15"/>
  <c r="Q59" i="4"/>
  <c r="P46" i="15"/>
  <c r="P48" i="4"/>
  <c r="N22" i="9"/>
  <c r="AK65" i="15"/>
  <c r="P40" i="15"/>
  <c r="AL75" i="15"/>
  <c r="P32" i="15"/>
  <c r="N36" i="9"/>
  <c r="N42" i="9"/>
  <c r="P26" i="15"/>
  <c r="P39" i="15"/>
  <c r="AL46" i="15"/>
  <c r="AL78" i="15"/>
  <c r="Q45" i="15"/>
  <c r="AL45" i="4"/>
  <c r="AK73" i="15"/>
  <c r="Q27" i="15"/>
  <c r="P53" i="15"/>
  <c r="AL45" i="15"/>
  <c r="Q33" i="15"/>
  <c r="O47" i="9"/>
  <c r="P47" i="9" s="1"/>
  <c r="AL67" i="15"/>
  <c r="AL74" i="15"/>
  <c r="Q24" i="15"/>
  <c r="N46" i="9"/>
  <c r="AK30" i="4"/>
  <c r="AK28" i="15"/>
  <c r="Q51" i="4"/>
  <c r="AL90" i="15"/>
  <c r="N23" i="9"/>
  <c r="P62" i="15"/>
  <c r="AK53" i="15"/>
  <c r="P44" i="15"/>
  <c r="P35" i="4"/>
  <c r="AK30" i="15"/>
  <c r="AK41" i="15"/>
  <c r="O32" i="9"/>
  <c r="P32" i="9" s="1"/>
  <c r="O34" i="9"/>
  <c r="P34" i="9" s="1"/>
  <c r="AL29" i="4"/>
  <c r="N14" i="9"/>
  <c r="AK31" i="4"/>
  <c r="AK40" i="15"/>
  <c r="AK85" i="15"/>
  <c r="O41" i="9"/>
  <c r="P41" i="9" s="1"/>
  <c r="O44" i="9"/>
  <c r="P44" i="9" s="1"/>
  <c r="N55" i="9"/>
  <c r="N48" i="9"/>
  <c r="N21" i="9"/>
  <c r="O51" i="9"/>
  <c r="P51" i="9" s="1"/>
  <c r="N39" i="9"/>
  <c r="H19" i="15"/>
  <c r="L24" i="16" s="1"/>
  <c r="L31" i="16" s="1"/>
  <c r="AK83" i="15"/>
  <c r="Q60" i="15"/>
  <c r="Q34" i="15"/>
  <c r="O35" i="9"/>
  <c r="P35" i="9" s="1"/>
  <c r="P47" i="4"/>
  <c r="AK26" i="15"/>
  <c r="N59" i="9"/>
  <c r="Q28" i="15"/>
  <c r="P29" i="15"/>
  <c r="AL52" i="15"/>
  <c r="AL71" i="15"/>
  <c r="P57" i="15"/>
  <c r="N49" i="9"/>
  <c r="AL36" i="15"/>
  <c r="P61" i="15"/>
  <c r="AK77" i="15"/>
  <c r="AK48" i="4"/>
  <c r="Q49" i="4"/>
  <c r="AK69" i="15"/>
  <c r="AK37" i="15"/>
  <c r="P43" i="15"/>
  <c r="N50" i="9"/>
  <c r="AL32" i="4"/>
  <c r="H20" i="4"/>
  <c r="L14" i="16" s="1"/>
  <c r="L21" i="16" s="1"/>
  <c r="AK43" i="4"/>
  <c r="Q38" i="15"/>
  <c r="AL25" i="4"/>
  <c r="P55" i="4"/>
  <c r="Q31" i="4"/>
  <c r="O54" i="9"/>
  <c r="P54" i="9" s="1"/>
  <c r="AK41" i="4"/>
  <c r="AL56" i="4"/>
  <c r="AL42" i="4"/>
  <c r="AK64" i="4"/>
  <c r="AL39" i="4"/>
  <c r="AK35" i="4"/>
  <c r="P53" i="4"/>
  <c r="Q30" i="4"/>
  <c r="AK53" i="4"/>
  <c r="Q62" i="4"/>
  <c r="Q38" i="4"/>
  <c r="Q63" i="4"/>
  <c r="AL44" i="4"/>
  <c r="P45" i="4"/>
  <c r="Q54" i="4"/>
  <c r="AL40" i="4"/>
  <c r="AK59" i="4"/>
  <c r="P56" i="4"/>
  <c r="Q34" i="4"/>
  <c r="Q25" i="4"/>
  <c r="P40" i="4"/>
  <c r="Q44" i="4"/>
  <c r="AL58" i="4"/>
  <c r="Q46" i="4"/>
  <c r="P29" i="4"/>
  <c r="AK55" i="4"/>
  <c r="AL63" i="4"/>
  <c r="P57" i="4"/>
  <c r="Q32" i="4"/>
  <c r="Q37" i="4"/>
  <c r="AL28" i="4"/>
  <c r="P36" i="4"/>
  <c r="Q41" i="4"/>
  <c r="P58" i="4"/>
  <c r="AL54" i="4"/>
  <c r="AL57" i="4"/>
  <c r="AK33" i="4"/>
  <c r="AK52" i="4"/>
  <c r="AK37" i="4"/>
  <c r="AK62" i="4"/>
  <c r="P26" i="4"/>
  <c r="Q43" i="4"/>
  <c r="AL51" i="4"/>
  <c r="AL26" i="4"/>
  <c r="P61" i="4"/>
  <c r="AL46" i="4"/>
  <c r="AK36" i="4"/>
  <c r="AL27" i="4"/>
  <c r="AL60" i="4"/>
  <c r="AL50" i="4"/>
  <c r="AI298" i="13"/>
  <c r="AL9" i="13"/>
  <c r="AL298" i="13" s="1"/>
  <c r="P9" i="9"/>
  <c r="P16" i="9"/>
  <c r="AH82" i="7"/>
  <c r="AI9" i="7"/>
  <c r="F110" i="16" l="1"/>
  <c r="F12" i="17"/>
  <c r="F10" i="17"/>
  <c r="AL97" i="15"/>
  <c r="F109" i="16" s="1"/>
  <c r="Q64" i="15"/>
  <c r="F108" i="16" s="1"/>
  <c r="F107" i="16"/>
  <c r="O60" i="9"/>
  <c r="F111" i="16" s="1"/>
  <c r="Q65" i="4"/>
  <c r="AL65" i="4"/>
  <c r="F106" i="16" s="1"/>
  <c r="F45" i="16"/>
  <c r="F112" i="16"/>
  <c r="AL9" i="7"/>
  <c r="AL82" i="7" s="1"/>
  <c r="AI82" i="7"/>
  <c r="L16" i="16"/>
  <c r="L20" i="16"/>
  <c r="L22" i="16" s="1"/>
  <c r="L19" i="16"/>
  <c r="L15" i="16"/>
  <c r="L17" i="16"/>
  <c r="L18" i="16"/>
  <c r="P60" i="9"/>
  <c r="L26" i="16"/>
  <c r="L29" i="16"/>
  <c r="L27" i="16"/>
  <c r="L32" i="16"/>
  <c r="L28" i="16"/>
  <c r="L25" i="16"/>
  <c r="M49" i="16" l="1"/>
  <c r="F14" i="16"/>
  <c r="F21" i="16" s="1"/>
  <c r="F15" i="16" s="1"/>
  <c r="F105" i="16"/>
  <c r="L105" i="16" s="1"/>
  <c r="K106" i="16" s="1"/>
  <c r="F24" i="16"/>
  <c r="F31" i="16" s="1"/>
  <c r="F28" i="16" s="1"/>
  <c r="F34" i="16"/>
  <c r="F41" i="16" s="1"/>
  <c r="F42" i="16" s="1"/>
  <c r="M53" i="16" s="1"/>
  <c r="D141" i="19" s="1"/>
  <c r="J132" i="19" s="1"/>
  <c r="F53" i="16"/>
  <c r="F60" i="16"/>
  <c r="F113" i="16"/>
  <c r="L111" i="16" s="1"/>
  <c r="D137" i="19" l="1"/>
  <c r="F48" i="16"/>
  <c r="K120" i="16"/>
  <c r="K122" i="16"/>
  <c r="K121" i="16"/>
  <c r="F29" i="16"/>
  <c r="F20" i="16"/>
  <c r="F127" i="16" s="1"/>
  <c r="F17" i="16"/>
  <c r="F19" i="16"/>
  <c r="F16" i="16"/>
  <c r="F18" i="16"/>
  <c r="F26" i="16"/>
  <c r="F25" i="16"/>
  <c r="F27" i="16"/>
  <c r="F32" i="16"/>
  <c r="F37" i="16"/>
  <c r="F35" i="16"/>
  <c r="F38" i="16"/>
  <c r="F39" i="16"/>
  <c r="F36" i="16"/>
  <c r="F68" i="16"/>
  <c r="F47" i="16"/>
  <c r="F58" i="16"/>
  <c r="F118" i="16"/>
  <c r="E115" i="16" s="1"/>
  <c r="L107" i="16"/>
  <c r="K107" i="16" s="1"/>
  <c r="L106" i="16"/>
  <c r="K112" i="16"/>
  <c r="F22" i="16" l="1"/>
  <c r="J131" i="19"/>
  <c r="AP75" i="15"/>
  <c r="M52" i="16"/>
  <c r="D140" i="19" s="1"/>
  <c r="J130" i="19" s="1"/>
  <c r="F62" i="16"/>
  <c r="F123" i="16" s="1"/>
  <c r="L120" i="16"/>
  <c r="AP47" i="15"/>
  <c r="AP58" i="15"/>
  <c r="AP96" i="15"/>
  <c r="T43" i="15"/>
  <c r="AP39" i="15"/>
  <c r="AP95" i="15"/>
  <c r="T57" i="15"/>
  <c r="AP43" i="15"/>
  <c r="T24" i="15"/>
  <c r="T36" i="15"/>
  <c r="AP56" i="15"/>
  <c r="AK16" i="13"/>
  <c r="AK54" i="13"/>
  <c r="AK70" i="13"/>
  <c r="AK86" i="13"/>
  <c r="AK102" i="13"/>
  <c r="AK118" i="13"/>
  <c r="AK134" i="13"/>
  <c r="AK150" i="13"/>
  <c r="AK165" i="13"/>
  <c r="AK59" i="13"/>
  <c r="AK75" i="13"/>
  <c r="AK91" i="13"/>
  <c r="AK107" i="13"/>
  <c r="AK123" i="13"/>
  <c r="AK139" i="13"/>
  <c r="AK61" i="13"/>
  <c r="AK77" i="13"/>
  <c r="AK93" i="13"/>
  <c r="AK109" i="13"/>
  <c r="AK125" i="13"/>
  <c r="AK141" i="13"/>
  <c r="AK156" i="13"/>
  <c r="AK108" i="13"/>
  <c r="AK64" i="13"/>
  <c r="AK128" i="13"/>
  <c r="AK84" i="13"/>
  <c r="AK148" i="13"/>
  <c r="AK56" i="13"/>
  <c r="AK120" i="13"/>
  <c r="AK174" i="13"/>
  <c r="AK190" i="13"/>
  <c r="AK206" i="13"/>
  <c r="AK218" i="13"/>
  <c r="AK175" i="13"/>
  <c r="AK191" i="13"/>
  <c r="AK207" i="13"/>
  <c r="AK219" i="13"/>
  <c r="AK58" i="13"/>
  <c r="AK74" i="13"/>
  <c r="AK90" i="13"/>
  <c r="AK106" i="13"/>
  <c r="AK122" i="13"/>
  <c r="AK138" i="13"/>
  <c r="AK154" i="13"/>
  <c r="AK169" i="13"/>
  <c r="AK63" i="13"/>
  <c r="AK79" i="13"/>
  <c r="AK95" i="13"/>
  <c r="AK111" i="13"/>
  <c r="AK127" i="13"/>
  <c r="AK143" i="13"/>
  <c r="AK158" i="13"/>
  <c r="AK65" i="13"/>
  <c r="AK81" i="13"/>
  <c r="AK97" i="13"/>
  <c r="AK113" i="13"/>
  <c r="AK129" i="13"/>
  <c r="AK145" i="13"/>
  <c r="AK160" i="13"/>
  <c r="AK171" i="13"/>
  <c r="AK60" i="13"/>
  <c r="AK124" i="13"/>
  <c r="AK80" i="13"/>
  <c r="AK144" i="13"/>
  <c r="AK100" i="13"/>
  <c r="AK163" i="13"/>
  <c r="AK72" i="13"/>
  <c r="AK136" i="13"/>
  <c r="AK178" i="13"/>
  <c r="AK194" i="13"/>
  <c r="AK222" i="13"/>
  <c r="AK179" i="13"/>
  <c r="AK195" i="13"/>
  <c r="AK209" i="13"/>
  <c r="AK223" i="13"/>
  <c r="AK180" i="13"/>
  <c r="AK196" i="13"/>
  <c r="AK210" i="13"/>
  <c r="AK62" i="13"/>
  <c r="AK78" i="13"/>
  <c r="AK94" i="13"/>
  <c r="AK110" i="13"/>
  <c r="AK126" i="13"/>
  <c r="AK142" i="13"/>
  <c r="AK157" i="13"/>
  <c r="AK67" i="13"/>
  <c r="AK83" i="13"/>
  <c r="AK99" i="13"/>
  <c r="AK115" i="13"/>
  <c r="AK131" i="13"/>
  <c r="AK147" i="13"/>
  <c r="AK162" i="13"/>
  <c r="AK173" i="13"/>
  <c r="AK53" i="13"/>
  <c r="AK69" i="13"/>
  <c r="AK85" i="13"/>
  <c r="AK101" i="13"/>
  <c r="AK117" i="13"/>
  <c r="AK133" i="13"/>
  <c r="AK149" i="13"/>
  <c r="AK164" i="13"/>
  <c r="AK76" i="13"/>
  <c r="AK140" i="13"/>
  <c r="AK96" i="13"/>
  <c r="AK159" i="13"/>
  <c r="AK52" i="13"/>
  <c r="AK116" i="13"/>
  <c r="AK88" i="13"/>
  <c r="AK152" i="13"/>
  <c r="AK182" i="13"/>
  <c r="AK198" i="13"/>
  <c r="AK212" i="13"/>
  <c r="AK226" i="13"/>
  <c r="AK183" i="13"/>
  <c r="AK199" i="13"/>
  <c r="AK213" i="13"/>
  <c r="AK227" i="13"/>
  <c r="AK184" i="13"/>
  <c r="AK66" i="13"/>
  <c r="AK130" i="13"/>
  <c r="AK87" i="13"/>
  <c r="AK151" i="13"/>
  <c r="AK105" i="13"/>
  <c r="AK168" i="13"/>
  <c r="AK155" i="13"/>
  <c r="AK170" i="13"/>
  <c r="AK186" i="13"/>
  <c r="AK187" i="13"/>
  <c r="AK200" i="13"/>
  <c r="AK216" i="13"/>
  <c r="AK232" i="13"/>
  <c r="AK177" i="13"/>
  <c r="AK211" i="13"/>
  <c r="AK217" i="13"/>
  <c r="AK246" i="13"/>
  <c r="AK262" i="13"/>
  <c r="AK247" i="13"/>
  <c r="AK263" i="13"/>
  <c r="AK261" i="13"/>
  <c r="AK248" i="13"/>
  <c r="AK264" i="13"/>
  <c r="AK265" i="13"/>
  <c r="AK278" i="13"/>
  <c r="AK272" i="13"/>
  <c r="AK269" i="13"/>
  <c r="AK275" i="13"/>
  <c r="AK276" i="13"/>
  <c r="AK281" i="13"/>
  <c r="AK286" i="13"/>
  <c r="AK289" i="13"/>
  <c r="AK287" i="13"/>
  <c r="AK285" i="13"/>
  <c r="AK293" i="13"/>
  <c r="AK291" i="13"/>
  <c r="AK172" i="13"/>
  <c r="AK71" i="13"/>
  <c r="AK135" i="13"/>
  <c r="AK92" i="13"/>
  <c r="AK132" i="13"/>
  <c r="AK230" i="13"/>
  <c r="AK228" i="13"/>
  <c r="AK221" i="13"/>
  <c r="AK242" i="13"/>
  <c r="AK257" i="13"/>
  <c r="AK274" i="13"/>
  <c r="AK271" i="13"/>
  <c r="AK282" i="13"/>
  <c r="AK82" i="13"/>
  <c r="AK146" i="13"/>
  <c r="AK103" i="13"/>
  <c r="AK166" i="13"/>
  <c r="AK57" i="13"/>
  <c r="AK121" i="13"/>
  <c r="AK202" i="13"/>
  <c r="AK203" i="13"/>
  <c r="AK176" i="13"/>
  <c r="AK204" i="13"/>
  <c r="AK220" i="13"/>
  <c r="AK193" i="13"/>
  <c r="AK189" i="13"/>
  <c r="AK225" i="13"/>
  <c r="AK229" i="13"/>
  <c r="AK234" i="13"/>
  <c r="AK250" i="13"/>
  <c r="AK235" i="13"/>
  <c r="AK251" i="13"/>
  <c r="AK237" i="13"/>
  <c r="AK236" i="13"/>
  <c r="AK252" i="13"/>
  <c r="AK241" i="13"/>
  <c r="AK266" i="13"/>
  <c r="AK280" i="13"/>
  <c r="AK277" i="13"/>
  <c r="AK279" i="13"/>
  <c r="AK284" i="13"/>
  <c r="AK114" i="13"/>
  <c r="AK153" i="13"/>
  <c r="AK231" i="13"/>
  <c r="AK197" i="13"/>
  <c r="AK259" i="13"/>
  <c r="AK260" i="13"/>
  <c r="AK292" i="13"/>
  <c r="AK98" i="13"/>
  <c r="AK161" i="13"/>
  <c r="AK55" i="13"/>
  <c r="AK119" i="13"/>
  <c r="AK73" i="13"/>
  <c r="AK137" i="13"/>
  <c r="AK68" i="13"/>
  <c r="AK104" i="13"/>
  <c r="AK214" i="13"/>
  <c r="AK215" i="13"/>
  <c r="AK188" i="13"/>
  <c r="AK208" i="13"/>
  <c r="AK224" i="13"/>
  <c r="AK205" i="13"/>
  <c r="AK181" i="13"/>
  <c r="AK185" i="13"/>
  <c r="AK238" i="13"/>
  <c r="AK254" i="13"/>
  <c r="AK239" i="13"/>
  <c r="AK255" i="13"/>
  <c r="AK245" i="13"/>
  <c r="AK240" i="13"/>
  <c r="AK256" i="13"/>
  <c r="AK249" i="13"/>
  <c r="AK270" i="13"/>
  <c r="AK267" i="13"/>
  <c r="AK288" i="13"/>
  <c r="AK290" i="13"/>
  <c r="AK89" i="13"/>
  <c r="AK112" i="13"/>
  <c r="AK167" i="13"/>
  <c r="AK192" i="13"/>
  <c r="AK233" i="13"/>
  <c r="AK201" i="13"/>
  <c r="AK258" i="13"/>
  <c r="AK243" i="13"/>
  <c r="AK253" i="13"/>
  <c r="AK244" i="13"/>
  <c r="AK268" i="13"/>
  <c r="AK273" i="13"/>
  <c r="AK283" i="13"/>
  <c r="T37" i="15"/>
  <c r="AP94" i="15"/>
  <c r="AP83" i="15"/>
  <c r="T42" i="15"/>
  <c r="AP38" i="15"/>
  <c r="AP86" i="15"/>
  <c r="T40" i="15"/>
  <c r="AP35" i="15"/>
  <c r="T47" i="15"/>
  <c r="AP87" i="15"/>
  <c r="AP92" i="15"/>
  <c r="F126" i="16"/>
  <c r="T33" i="15"/>
  <c r="AP54" i="15"/>
  <c r="AP71" i="15"/>
  <c r="AP40" i="15"/>
  <c r="AP63" i="15"/>
  <c r="AP24" i="15"/>
  <c r="AP61" i="15"/>
  <c r="AP36" i="15"/>
  <c r="T34" i="15"/>
  <c r="T30" i="15"/>
  <c r="AP93" i="15"/>
  <c r="T55" i="15"/>
  <c r="AP46" i="15"/>
  <c r="AP77" i="15"/>
  <c r="T35" i="15"/>
  <c r="AP51" i="15"/>
  <c r="AP88" i="15"/>
  <c r="T46" i="15"/>
  <c r="AP89" i="15"/>
  <c r="AP25" i="15"/>
  <c r="AP74" i="15"/>
  <c r="T52" i="15"/>
  <c r="T50" i="15"/>
  <c r="T27" i="15"/>
  <c r="T41" i="15"/>
  <c r="AP82" i="15"/>
  <c r="AP84" i="15"/>
  <c r="AP80" i="15"/>
  <c r="AP78" i="15"/>
  <c r="AP37" i="15"/>
  <c r="AP49" i="15"/>
  <c r="AP81" i="15"/>
  <c r="AP85" i="15"/>
  <c r="AP29" i="15"/>
  <c r="T56" i="15"/>
  <c r="AP64" i="15"/>
  <c r="AP48" i="15"/>
  <c r="T31" i="15"/>
  <c r="T29" i="15"/>
  <c r="AP67" i="15"/>
  <c r="T51" i="15"/>
  <c r="AP31" i="15"/>
  <c r="AP28" i="15"/>
  <c r="AP41" i="15"/>
  <c r="T39" i="15"/>
  <c r="AP79" i="15"/>
  <c r="T32" i="15"/>
  <c r="AP90" i="15"/>
  <c r="AP44" i="15"/>
  <c r="AP59" i="15"/>
  <c r="T60" i="15"/>
  <c r="AP68" i="15"/>
  <c r="AP45" i="15"/>
  <c r="AP65" i="15"/>
  <c r="T44" i="15"/>
  <c r="T25" i="15"/>
  <c r="AP26" i="15"/>
  <c r="T63" i="15"/>
  <c r="T61" i="15"/>
  <c r="T38" i="15"/>
  <c r="T45" i="15"/>
  <c r="AP52" i="15"/>
  <c r="T48" i="15"/>
  <c r="AP70" i="15"/>
  <c r="AP27" i="15"/>
  <c r="AP62" i="15"/>
  <c r="AP53" i="15"/>
  <c r="AP66" i="15"/>
  <c r="AP57" i="15"/>
  <c r="AP72" i="15"/>
  <c r="AP76" i="15"/>
  <c r="T26" i="15"/>
  <c r="AP30" i="15"/>
  <c r="T53" i="15"/>
  <c r="AP32" i="15"/>
  <c r="F128" i="16"/>
  <c r="AP69" i="15"/>
  <c r="T28" i="15"/>
  <c r="T59" i="15"/>
  <c r="AP33" i="15"/>
  <c r="AP42" i="15"/>
  <c r="AP50" i="15"/>
  <c r="T54" i="15"/>
  <c r="T49" i="15"/>
  <c r="AP91" i="15"/>
  <c r="AP60" i="15"/>
  <c r="T58" i="15"/>
  <c r="AP34" i="15"/>
  <c r="F125" i="16"/>
  <c r="L37" i="16"/>
  <c r="M37" i="16" s="1"/>
  <c r="AP55" i="15"/>
  <c r="AP73" i="15"/>
  <c r="T62" i="15"/>
  <c r="AK50" i="13"/>
  <c r="AK45" i="13"/>
  <c r="AK13" i="13"/>
  <c r="AK35" i="13"/>
  <c r="AK18" i="13"/>
  <c r="F73" i="16"/>
  <c r="L122" i="16" s="1"/>
  <c r="F63" i="16"/>
  <c r="F124" i="16" s="1"/>
  <c r="AK9" i="13"/>
  <c r="AK26" i="13"/>
  <c r="AK19" i="13"/>
  <c r="AK22" i="13"/>
  <c r="AK41" i="13"/>
  <c r="K123" i="16"/>
  <c r="AK46" i="13"/>
  <c r="AK38" i="13"/>
  <c r="AK39" i="13"/>
  <c r="AK40" i="13"/>
  <c r="AK25" i="13"/>
  <c r="AK51" i="13"/>
  <c r="AK31" i="13"/>
  <c r="AK30" i="13"/>
  <c r="AK12" i="13"/>
  <c r="AK296" i="13"/>
  <c r="AK43" i="13"/>
  <c r="AK10" i="13"/>
  <c r="AK37" i="13"/>
  <c r="AK44" i="13"/>
  <c r="AK32" i="13"/>
  <c r="AK11" i="13"/>
  <c r="AK49" i="13"/>
  <c r="AK28" i="13"/>
  <c r="AK297" i="13"/>
  <c r="AK21" i="13"/>
  <c r="AK48" i="13"/>
  <c r="AK33" i="13"/>
  <c r="M38" i="16"/>
  <c r="AK23" i="13"/>
  <c r="AK42" i="13"/>
  <c r="AK20" i="13"/>
  <c r="AK47" i="13"/>
  <c r="AK29" i="13"/>
  <c r="AK34" i="13"/>
  <c r="AK295" i="13"/>
  <c r="AK36" i="13"/>
  <c r="AK294" i="13"/>
  <c r="AK27" i="13"/>
  <c r="AK17" i="13"/>
  <c r="AK24" i="13"/>
  <c r="AK15" i="13"/>
  <c r="AK14" i="13"/>
  <c r="E116" i="16"/>
  <c r="E114" i="16"/>
  <c r="L113" i="16"/>
  <c r="K113" i="16" s="1"/>
  <c r="L112" i="16"/>
  <c r="T60" i="4" l="1"/>
  <c r="AP44" i="4"/>
  <c r="AP47" i="4"/>
  <c r="T58" i="4"/>
  <c r="AP49" i="4"/>
  <c r="T56" i="4"/>
  <c r="T48" i="4"/>
  <c r="AP26" i="4"/>
  <c r="T61" i="4"/>
  <c r="AP35" i="4"/>
  <c r="T26" i="4"/>
  <c r="AP48" i="4"/>
  <c r="AP31" i="4"/>
  <c r="T49" i="4"/>
  <c r="AP33" i="4"/>
  <c r="T29" i="4"/>
  <c r="T28" i="4"/>
  <c r="T55" i="4"/>
  <c r="AP36" i="4"/>
  <c r="T50" i="4"/>
  <c r="AP25" i="4"/>
  <c r="T37" i="4"/>
  <c r="AP50" i="4"/>
  <c r="M51" i="16"/>
  <c r="D139" i="19" s="1"/>
  <c r="J129" i="19" s="1"/>
  <c r="J133" i="19" s="1"/>
  <c r="L36" i="16"/>
  <c r="M36" i="16" s="1"/>
  <c r="AP42" i="4"/>
  <c r="AP52" i="4"/>
  <c r="T34" i="4"/>
  <c r="T62" i="4"/>
  <c r="AP40" i="4"/>
  <c r="AP28" i="4"/>
  <c r="AP45" i="4"/>
  <c r="T59" i="4"/>
  <c r="T44" i="4"/>
  <c r="T36" i="4"/>
  <c r="AP29" i="4"/>
  <c r="T32" i="4"/>
  <c r="T42" i="4"/>
  <c r="T41" i="4"/>
  <c r="AP58" i="4"/>
  <c r="T27" i="4"/>
  <c r="AP30" i="4"/>
  <c r="AP55" i="4"/>
  <c r="AP64" i="4"/>
  <c r="T35" i="4"/>
  <c r="AP63" i="4"/>
  <c r="T45" i="4"/>
  <c r="AP62" i="4"/>
  <c r="T38" i="4"/>
  <c r="T30" i="4"/>
  <c r="T57" i="4"/>
  <c r="AP32" i="4"/>
  <c r="T40" i="4"/>
  <c r="T51" i="4"/>
  <c r="T64" i="4"/>
  <c r="AP46" i="4"/>
  <c r="T39" i="4"/>
  <c r="T47" i="4"/>
  <c r="T31" i="4"/>
  <c r="AP41" i="4"/>
  <c r="AP37" i="4"/>
  <c r="AP54" i="4"/>
  <c r="T46" i="4"/>
  <c r="AP56" i="4"/>
  <c r="T25" i="4"/>
  <c r="AP53" i="4"/>
  <c r="AP38" i="4"/>
  <c r="T33" i="4"/>
  <c r="T52" i="4"/>
  <c r="AP61" i="4"/>
  <c r="AP51" i="4"/>
  <c r="AP27" i="4"/>
  <c r="AP59" i="4"/>
  <c r="AP57" i="4"/>
  <c r="AP39" i="4"/>
  <c r="T54" i="4"/>
  <c r="T63" i="4"/>
  <c r="AP60" i="4"/>
  <c r="AP43" i="4"/>
  <c r="T43" i="4"/>
  <c r="T53" i="4"/>
  <c r="AP34" i="4"/>
  <c r="T64" i="15"/>
  <c r="AP97" i="15"/>
  <c r="D15" i="17"/>
  <c r="E15" i="17"/>
  <c r="AK26" i="7"/>
  <c r="L121" i="16"/>
  <c r="AK79" i="7"/>
  <c r="AK76" i="7"/>
  <c r="AK14" i="7"/>
  <c r="AK19" i="7"/>
  <c r="AK54" i="7"/>
  <c r="AK49" i="7"/>
  <c r="AK53" i="7"/>
  <c r="AK38" i="7"/>
  <c r="AK17" i="7"/>
  <c r="AK22" i="7"/>
  <c r="AK27" i="7"/>
  <c r="AK59" i="7"/>
  <c r="AK15" i="7"/>
  <c r="AK42" i="7"/>
  <c r="AK72" i="7"/>
  <c r="AK80" i="7"/>
  <c r="AK33" i="7"/>
  <c r="AK64" i="7"/>
  <c r="F64" i="16"/>
  <c r="AK48" i="7"/>
  <c r="AK61" i="7"/>
  <c r="AK9" i="7"/>
  <c r="AK77" i="7"/>
  <c r="AK29" i="7"/>
  <c r="AK68" i="7"/>
  <c r="AK67" i="7"/>
  <c r="AK51" i="7"/>
  <c r="AK58" i="7"/>
  <c r="AK35" i="7"/>
  <c r="AK25" i="7"/>
  <c r="AK46" i="7"/>
  <c r="AK70" i="7"/>
  <c r="AK65" i="7"/>
  <c r="AK18" i="7"/>
  <c r="AK31" i="7"/>
  <c r="AK63" i="7"/>
  <c r="AK44" i="7"/>
  <c r="AK24" i="7"/>
  <c r="M39" i="16"/>
  <c r="M54" i="16" s="1"/>
  <c r="AK50" i="7"/>
  <c r="AK45" i="7"/>
  <c r="AK40" i="7"/>
  <c r="AK73" i="7"/>
  <c r="AK32" i="7"/>
  <c r="AK56" i="7"/>
  <c r="AK37" i="7"/>
  <c r="AK16" i="7"/>
  <c r="AK71" i="7"/>
  <c r="AK36" i="7"/>
  <c r="AK20" i="7"/>
  <c r="AK23" i="7"/>
  <c r="AK12" i="7"/>
  <c r="AK66" i="7"/>
  <c r="AK81" i="7"/>
  <c r="AK74" i="7"/>
  <c r="F61" i="16"/>
  <c r="AK69" i="7"/>
  <c r="AK75" i="7"/>
  <c r="AK62" i="7"/>
  <c r="AK55" i="7"/>
  <c r="AK21" i="7"/>
  <c r="L123" i="16"/>
  <c r="F70" i="16" s="1"/>
  <c r="AJ32" i="7" s="1"/>
  <c r="AK30" i="7"/>
  <c r="AK43" i="7"/>
  <c r="AK47" i="7"/>
  <c r="AK13" i="7"/>
  <c r="AK57" i="7"/>
  <c r="AK41" i="7"/>
  <c r="AK78" i="7"/>
  <c r="AK11" i="7"/>
  <c r="AK28" i="7"/>
  <c r="AK52" i="7"/>
  <c r="AK10" i="7"/>
  <c r="AK60" i="7"/>
  <c r="AK39" i="7"/>
  <c r="AK34" i="7"/>
  <c r="F55" i="16"/>
  <c r="F46" i="16" s="1"/>
  <c r="E117" i="16"/>
  <c r="E118" i="16" s="1"/>
  <c r="AK298" i="13"/>
  <c r="G10" i="17" s="1"/>
  <c r="H10" i="17" s="1"/>
  <c r="M55" i="16" l="1"/>
  <c r="AP65" i="4"/>
  <c r="B12" i="17"/>
  <c r="H12" i="17" s="1"/>
  <c r="T65" i="4"/>
  <c r="C15" i="17"/>
  <c r="H15" i="17" s="1"/>
  <c r="D142" i="19"/>
  <c r="I148" i="19" s="1"/>
  <c r="I149" i="19" s="1"/>
  <c r="C180" i="19" s="1"/>
  <c r="C182" i="19" s="1"/>
  <c r="F121" i="16"/>
  <c r="AJ46" i="13"/>
  <c r="AJ53" i="13"/>
  <c r="AJ69" i="13"/>
  <c r="AJ85" i="13"/>
  <c r="AJ101" i="13"/>
  <c r="AJ117" i="13"/>
  <c r="AJ133" i="13"/>
  <c r="AJ70" i="13"/>
  <c r="AJ91" i="13"/>
  <c r="AJ112" i="13"/>
  <c r="AJ134" i="13"/>
  <c r="AJ150" i="13"/>
  <c r="AJ165" i="13"/>
  <c r="AJ55" i="13"/>
  <c r="AJ76" i="13"/>
  <c r="AJ98" i="13"/>
  <c r="AJ119" i="13"/>
  <c r="AJ139" i="13"/>
  <c r="AJ58" i="13"/>
  <c r="AJ79" i="13"/>
  <c r="AJ100" i="13"/>
  <c r="AJ122" i="13"/>
  <c r="AJ141" i="13"/>
  <c r="AJ156" i="13"/>
  <c r="AJ99" i="13"/>
  <c r="AJ126" i="13"/>
  <c r="AJ67" i="13"/>
  <c r="AJ148" i="13"/>
  <c r="AJ115" i="13"/>
  <c r="AJ174" i="13"/>
  <c r="AJ190" i="13"/>
  <c r="AJ206" i="13"/>
  <c r="AJ218" i="13"/>
  <c r="AJ175" i="13"/>
  <c r="AJ191" i="13"/>
  <c r="AJ207" i="13"/>
  <c r="AJ219" i="13"/>
  <c r="AJ176" i="13"/>
  <c r="AJ192" i="13"/>
  <c r="AJ208" i="13"/>
  <c r="AJ57" i="13"/>
  <c r="AJ73" i="13"/>
  <c r="AJ89" i="13"/>
  <c r="AJ105" i="13"/>
  <c r="AJ121" i="13"/>
  <c r="AJ54" i="13"/>
  <c r="AJ75" i="13"/>
  <c r="AJ96" i="13"/>
  <c r="AJ118" i="13"/>
  <c r="AJ138" i="13"/>
  <c r="AJ154" i="13"/>
  <c r="AJ169" i="13"/>
  <c r="AJ60" i="13"/>
  <c r="AJ82" i="13"/>
  <c r="AJ103" i="13"/>
  <c r="AJ124" i="13"/>
  <c r="AJ143" i="13"/>
  <c r="AJ158" i="13"/>
  <c r="AJ63" i="13"/>
  <c r="AJ84" i="13"/>
  <c r="AJ106" i="13"/>
  <c r="AJ127" i="13"/>
  <c r="AJ145" i="13"/>
  <c r="AJ160" i="13"/>
  <c r="AJ171" i="13"/>
  <c r="AJ120" i="13"/>
  <c r="AJ62" i="13"/>
  <c r="AJ144" i="13"/>
  <c r="AJ88" i="13"/>
  <c r="AJ163" i="13"/>
  <c r="AJ136" i="13"/>
  <c r="AJ178" i="13"/>
  <c r="AJ194" i="13"/>
  <c r="AJ222" i="13"/>
  <c r="AJ179" i="13"/>
  <c r="AJ195" i="13"/>
  <c r="AJ209" i="13"/>
  <c r="AJ223" i="13"/>
  <c r="AJ180" i="13"/>
  <c r="AJ196" i="13"/>
  <c r="AJ210" i="13"/>
  <c r="AJ224" i="13"/>
  <c r="AJ61" i="13"/>
  <c r="AJ77" i="13"/>
  <c r="AJ93" i="13"/>
  <c r="AJ109" i="13"/>
  <c r="AJ125" i="13"/>
  <c r="AJ59" i="13"/>
  <c r="AJ80" i="13"/>
  <c r="AJ102" i="13"/>
  <c r="AJ123" i="13"/>
  <c r="AJ142" i="13"/>
  <c r="AJ157" i="13"/>
  <c r="AJ66" i="13"/>
  <c r="AJ87" i="13"/>
  <c r="AJ108" i="13"/>
  <c r="AJ130" i="13"/>
  <c r="AJ147" i="13"/>
  <c r="AJ162" i="13"/>
  <c r="AJ173" i="13"/>
  <c r="AJ68" i="13"/>
  <c r="AJ90" i="13"/>
  <c r="AJ111" i="13"/>
  <c r="AJ132" i="13"/>
  <c r="AJ149" i="13"/>
  <c r="AJ164" i="13"/>
  <c r="AJ56" i="13"/>
  <c r="AJ140" i="13"/>
  <c r="AJ83" i="13"/>
  <c r="AJ159" i="13"/>
  <c r="AJ110" i="13"/>
  <c r="AJ72" i="13"/>
  <c r="AJ152" i="13"/>
  <c r="AJ182" i="13"/>
  <c r="AJ198" i="13"/>
  <c r="AJ212" i="13"/>
  <c r="AJ226" i="13"/>
  <c r="AJ183" i="13"/>
  <c r="AJ199" i="13"/>
  <c r="AJ213" i="13"/>
  <c r="AJ227" i="13"/>
  <c r="AJ184" i="13"/>
  <c r="AJ200" i="13"/>
  <c r="AJ228" i="13"/>
  <c r="AJ65" i="13"/>
  <c r="AJ129" i="13"/>
  <c r="AJ128" i="13"/>
  <c r="AJ71" i="13"/>
  <c r="AJ151" i="13"/>
  <c r="AJ95" i="13"/>
  <c r="AJ168" i="13"/>
  <c r="AJ94" i="13"/>
  <c r="AJ186" i="13"/>
  <c r="AJ187" i="13"/>
  <c r="AJ188" i="13"/>
  <c r="AJ232" i="13"/>
  <c r="AJ177" i="13"/>
  <c r="AJ205" i="13"/>
  <c r="AJ211" i="13"/>
  <c r="AJ246" i="13"/>
  <c r="AJ262" i="13"/>
  <c r="AJ247" i="13"/>
  <c r="AJ263" i="13"/>
  <c r="AJ265" i="13"/>
  <c r="AJ248" i="13"/>
  <c r="AJ264" i="13"/>
  <c r="AJ261" i="13"/>
  <c r="AJ278" i="13"/>
  <c r="AJ275" i="13"/>
  <c r="AJ293" i="13"/>
  <c r="AJ286" i="13"/>
  <c r="AJ113" i="13"/>
  <c r="AJ107" i="13"/>
  <c r="AJ172" i="13"/>
  <c r="AJ74" i="13"/>
  <c r="AJ153" i="13"/>
  <c r="AJ220" i="13"/>
  <c r="AJ201" i="13"/>
  <c r="AJ233" i="13"/>
  <c r="AJ259" i="13"/>
  <c r="AJ257" i="13"/>
  <c r="AJ260" i="13"/>
  <c r="AJ285" i="13"/>
  <c r="AJ292" i="13"/>
  <c r="AJ81" i="13"/>
  <c r="AJ64" i="13"/>
  <c r="AJ146" i="13"/>
  <c r="AJ92" i="13"/>
  <c r="AJ166" i="13"/>
  <c r="AJ116" i="13"/>
  <c r="AJ78" i="13"/>
  <c r="AJ104" i="13"/>
  <c r="AJ131" i="13"/>
  <c r="AJ167" i="13"/>
  <c r="AJ202" i="13"/>
  <c r="AJ203" i="13"/>
  <c r="AJ204" i="13"/>
  <c r="AJ217" i="13"/>
  <c r="AJ193" i="13"/>
  <c r="AJ225" i="13"/>
  <c r="AJ229" i="13"/>
  <c r="AJ234" i="13"/>
  <c r="AJ250" i="13"/>
  <c r="AJ235" i="13"/>
  <c r="AJ251" i="13"/>
  <c r="AJ241" i="13"/>
  <c r="AJ236" i="13"/>
  <c r="AJ252" i="13"/>
  <c r="AJ237" i="13"/>
  <c r="AJ266" i="13"/>
  <c r="AJ268" i="13"/>
  <c r="AJ279" i="13"/>
  <c r="AJ273" i="13"/>
  <c r="AJ282" i="13"/>
  <c r="AJ288" i="13"/>
  <c r="AJ283" i="13"/>
  <c r="AJ284" i="13"/>
  <c r="AJ290" i="13"/>
  <c r="AJ291" i="13"/>
  <c r="AJ230" i="13"/>
  <c r="AJ221" i="13"/>
  <c r="AJ242" i="13"/>
  <c r="AJ243" i="13"/>
  <c r="AJ244" i="13"/>
  <c r="AJ274" i="13"/>
  <c r="AJ277" i="13"/>
  <c r="AJ280" i="13"/>
  <c r="AJ289" i="13"/>
  <c r="AJ97" i="13"/>
  <c r="AJ86" i="13"/>
  <c r="AJ161" i="13"/>
  <c r="AJ114" i="13"/>
  <c r="AJ52" i="13"/>
  <c r="AJ137" i="13"/>
  <c r="AJ155" i="13"/>
  <c r="AJ170" i="13"/>
  <c r="AJ214" i="13"/>
  <c r="AJ215" i="13"/>
  <c r="AJ216" i="13"/>
  <c r="AJ181" i="13"/>
  <c r="AJ185" i="13"/>
  <c r="AJ189" i="13"/>
  <c r="AJ238" i="13"/>
  <c r="AJ254" i="13"/>
  <c r="AJ239" i="13"/>
  <c r="AJ255" i="13"/>
  <c r="AJ245" i="13"/>
  <c r="AJ240" i="13"/>
  <c r="AJ256" i="13"/>
  <c r="AJ249" i="13"/>
  <c r="AJ270" i="13"/>
  <c r="AJ276" i="13"/>
  <c r="AJ269" i="13"/>
  <c r="AJ267" i="13"/>
  <c r="AJ272" i="13"/>
  <c r="AJ281" i="13"/>
  <c r="AJ287" i="13"/>
  <c r="AJ135" i="13"/>
  <c r="AJ231" i="13"/>
  <c r="AJ197" i="13"/>
  <c r="AJ258" i="13"/>
  <c r="AJ253" i="13"/>
  <c r="AJ271" i="13"/>
  <c r="AJ20" i="7"/>
  <c r="AJ58" i="7"/>
  <c r="AJ40" i="7"/>
  <c r="AJ39" i="7"/>
  <c r="AJ26" i="7"/>
  <c r="AJ25" i="7"/>
  <c r="AJ35" i="7"/>
  <c r="AJ33" i="7"/>
  <c r="AJ294" i="13"/>
  <c r="AJ39" i="13"/>
  <c r="AJ33" i="13"/>
  <c r="AJ41" i="13"/>
  <c r="AK82" i="7"/>
  <c r="G6" i="17" s="1"/>
  <c r="H6" i="17" s="1"/>
  <c r="AJ81" i="7"/>
  <c r="AJ80" i="7"/>
  <c r="AJ49" i="7"/>
  <c r="AJ73" i="7"/>
  <c r="AJ67" i="7"/>
  <c r="AJ63" i="7"/>
  <c r="AJ62" i="7"/>
  <c r="AJ15" i="13"/>
  <c r="F69" i="16"/>
  <c r="AJ30" i="7"/>
  <c r="AJ18" i="7"/>
  <c r="AJ66" i="7"/>
  <c r="AJ44" i="7"/>
  <c r="AJ11" i="13"/>
  <c r="AJ23" i="7"/>
  <c r="AJ41" i="7"/>
  <c r="AJ19" i="7"/>
  <c r="AJ53" i="7"/>
  <c r="AJ51" i="13"/>
  <c r="AJ36" i="13"/>
  <c r="AJ13" i="7"/>
  <c r="AJ24" i="7"/>
  <c r="AJ28" i="7"/>
  <c r="AJ44" i="13"/>
  <c r="AJ295" i="13"/>
  <c r="AJ10" i="7"/>
  <c r="AJ61" i="7"/>
  <c r="AJ54" i="7"/>
  <c r="M40" i="16"/>
  <c r="M46" i="16" s="1"/>
  <c r="K68" i="16" s="1"/>
  <c r="L38" i="16"/>
  <c r="AJ296" i="13"/>
  <c r="AJ23" i="13"/>
  <c r="AJ32" i="13"/>
  <c r="AJ18" i="13"/>
  <c r="AJ45" i="13"/>
  <c r="AJ28" i="13"/>
  <c r="AJ24" i="13"/>
  <c r="AJ40" i="13"/>
  <c r="AJ25" i="13"/>
  <c r="AJ9" i="13"/>
  <c r="AJ297" i="13"/>
  <c r="AJ26" i="13"/>
  <c r="AJ27" i="13"/>
  <c r="AJ29" i="13"/>
  <c r="AJ49" i="13"/>
  <c r="AJ17" i="13"/>
  <c r="AJ22" i="13"/>
  <c r="AJ38" i="13"/>
  <c r="AJ12" i="13"/>
  <c r="AJ13" i="13"/>
  <c r="AJ37" i="13"/>
  <c r="AJ64" i="7"/>
  <c r="AJ50" i="7"/>
  <c r="AJ70" i="7"/>
  <c r="AJ46" i="7"/>
  <c r="AJ27" i="7"/>
  <c r="AJ15" i="7"/>
  <c r="AJ55" i="7"/>
  <c r="AJ29" i="7"/>
  <c r="AJ38" i="7"/>
  <c r="AJ69" i="7"/>
  <c r="AJ16" i="7"/>
  <c r="AJ75" i="7"/>
  <c r="AJ79" i="7"/>
  <c r="AJ45" i="7"/>
  <c r="AJ48" i="7"/>
  <c r="AJ51" i="7"/>
  <c r="AJ59" i="7"/>
  <c r="AJ21" i="7"/>
  <c r="AJ72" i="7"/>
  <c r="AJ43" i="7"/>
  <c r="AJ34" i="7"/>
  <c r="AJ9" i="7"/>
  <c r="AJ56" i="7"/>
  <c r="AJ74" i="7"/>
  <c r="AJ12" i="7"/>
  <c r="AJ36" i="7"/>
  <c r="AJ52" i="7"/>
  <c r="AJ42" i="7"/>
  <c r="AJ76" i="7"/>
  <c r="AJ37" i="7"/>
  <c r="AJ57" i="7"/>
  <c r="AJ78" i="7"/>
  <c r="L39" i="16"/>
  <c r="AJ68" i="7"/>
  <c r="AJ14" i="7"/>
  <c r="AJ11" i="7"/>
  <c r="AJ31" i="7"/>
  <c r="AJ77" i="7"/>
  <c r="AJ22" i="7"/>
  <c r="AJ60" i="7"/>
  <c r="AJ71" i="7"/>
  <c r="AJ47" i="7"/>
  <c r="AJ65" i="7"/>
  <c r="AJ17" i="7"/>
  <c r="AJ47" i="13"/>
  <c r="AJ21" i="13"/>
  <c r="F49" i="16"/>
  <c r="AJ19" i="13"/>
  <c r="AJ50" i="13"/>
  <c r="F54" i="16"/>
  <c r="AJ31" i="13"/>
  <c r="AJ34" i="13"/>
  <c r="AJ14" i="13"/>
  <c r="AJ30" i="13"/>
  <c r="AJ16" i="13"/>
  <c r="AJ42" i="13"/>
  <c r="AJ10" i="13"/>
  <c r="AJ43" i="13"/>
  <c r="AJ35" i="13"/>
  <c r="AJ20" i="13"/>
  <c r="AJ48" i="13"/>
  <c r="B34" i="20" l="1"/>
  <c r="B35" i="20" s="1"/>
  <c r="K59" i="16"/>
  <c r="D144" i="19"/>
  <c r="H20" i="17"/>
  <c r="I6" i="17" s="1"/>
  <c r="F122" i="16"/>
  <c r="F129" i="16" s="1"/>
  <c r="F134" i="16" s="1"/>
  <c r="G134" i="16" s="1"/>
  <c r="J7" i="16" s="1"/>
  <c r="L40" i="16"/>
  <c r="L46" i="16" s="1"/>
  <c r="AJ82" i="7"/>
  <c r="AJ298" i="13"/>
  <c r="I19" i="17" l="1"/>
  <c r="I15" i="17"/>
  <c r="I3" i="17"/>
  <c r="I10" i="17"/>
  <c r="I4" i="17"/>
  <c r="I11" i="17"/>
  <c r="I12" i="17"/>
  <c r="I18" i="17"/>
  <c r="I8" i="17"/>
  <c r="I17" i="17"/>
  <c r="I14" i="17"/>
  <c r="I13" i="17"/>
  <c r="I16" i="17"/>
  <c r="I9" i="17"/>
  <c r="I7" i="17"/>
  <c r="I5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<sst xmlns="http://schemas.openxmlformats.org/spreadsheetml/2006/main" count="3970" uniqueCount="907">
  <si>
    <t>RESUMO COMERCIAL</t>
  </si>
  <si>
    <t>OBRA</t>
  </si>
  <si>
    <t>ENG</t>
  </si>
  <si>
    <t>MARGEM REAL</t>
  </si>
  <si>
    <t>VENDAS BRUTAS ULTIMOS 12 MESES</t>
  </si>
  <si>
    <t>ISENÇÃO PIS / COFINS</t>
  </si>
  <si>
    <t>NÃO</t>
  </si>
  <si>
    <t>COMISSÃO VENDEDOR EXTERNO</t>
  </si>
  <si>
    <t>LUCRO MATERIAIS</t>
  </si>
  <si>
    <t>PRAZO TOTAL  (MESES)</t>
  </si>
  <si>
    <t>CONSUMIDOR FINAL</t>
  </si>
  <si>
    <t>SIM</t>
  </si>
  <si>
    <t>COMISSÃO REPRESENTANTE</t>
  </si>
  <si>
    <t>LUCRO SERVIÇOS</t>
  </si>
  <si>
    <t>ALÍQUOTA SIMPLES NACIONAL</t>
  </si>
  <si>
    <t>CONTRIBUINTE ICMS</t>
  </si>
  <si>
    <t>CONTRIBUINTE</t>
  </si>
  <si>
    <t>SERVIÇOS ENGENHARIA</t>
  </si>
  <si>
    <t>LUCRO REAL</t>
  </si>
  <si>
    <t>SERVIÇOS CAMPO</t>
  </si>
  <si>
    <t>MATERIAL</t>
  </si>
  <si>
    <t>ESTADO DESTINO</t>
  </si>
  <si>
    <t>SP</t>
  </si>
  <si>
    <t>SERVIÇOS DE ENGENHARIA</t>
  </si>
  <si>
    <t>Custo</t>
  </si>
  <si>
    <t>Venda Liq</t>
  </si>
  <si>
    <t>DESPESAS DE ENGENHARIA</t>
  </si>
  <si>
    <t>Impostos</t>
  </si>
  <si>
    <t>(+) Pis</t>
  </si>
  <si>
    <t>(+) Cofins</t>
  </si>
  <si>
    <t>(+) Simples Nacional</t>
  </si>
  <si>
    <t>(+) Iss</t>
  </si>
  <si>
    <t>Sub-Total:</t>
  </si>
  <si>
    <t>SERVIÇOS DE MONTAGEM</t>
  </si>
  <si>
    <t>DESPESAS DE MONTAGEM</t>
  </si>
  <si>
    <t>(+) IR CSLL</t>
  </si>
  <si>
    <t>TERCEIROS E LOCAÇÕES</t>
  </si>
  <si>
    <t>SELECIONAR</t>
  </si>
  <si>
    <t>DESCRIÇÃO</t>
  </si>
  <si>
    <t>CÓDIGO / NCM</t>
  </si>
  <si>
    <t>VALOR S/ IPI</t>
  </si>
  <si>
    <t>VALOR C/ IPI</t>
  </si>
  <si>
    <t>07.01</t>
  </si>
  <si>
    <t>SERVIÇOS DE INSTALAÇÃO OU OBRAS</t>
  </si>
  <si>
    <t>14.01 / 14.06 / 07.02</t>
  </si>
  <si>
    <t>SISTEMA DE ENERGIA</t>
  </si>
  <si>
    <t>8537.20.90</t>
  </si>
  <si>
    <t>PAINÉIS/SISTEMA DE AUTOMAÇÃO</t>
  </si>
  <si>
    <t>8537.10.90</t>
  </si>
  <si>
    <t>SUB TOTAL</t>
  </si>
  <si>
    <t>FATURAMENTO DIRETO</t>
  </si>
  <si>
    <t>CONDIÇÃO DE PAGAMENTO</t>
  </si>
  <si>
    <t>28 dias</t>
  </si>
  <si>
    <t>MATERIAIS CAMPO</t>
  </si>
  <si>
    <t>MATERIAL DE CAMPO</t>
  </si>
  <si>
    <t>SINAL &gt; 20%</t>
  </si>
  <si>
    <t>(+) ICMS</t>
  </si>
  <si>
    <t>TOTAL GERAL</t>
  </si>
  <si>
    <t>Sub para cáculos</t>
  </si>
  <si>
    <t>(+) IPI</t>
  </si>
  <si>
    <t>SEM IPI</t>
  </si>
  <si>
    <t>UTILIZAR CRÉDITO ICMS:</t>
  </si>
  <si>
    <t>UTILIZAR CRÉDITO IPI:</t>
  </si>
  <si>
    <t>TOTAL CAMPO:</t>
  </si>
  <si>
    <t>MATERIAIS PAINEIS</t>
  </si>
  <si>
    <t>MATERIAL DE PAINÉIS</t>
  </si>
  <si>
    <t>TOTAL PAINÉIS:</t>
  </si>
  <si>
    <t>REVISÃO</t>
  </si>
  <si>
    <t>RESUMO ADMINISTRATIVO</t>
  </si>
  <si>
    <t>CUSTO</t>
  </si>
  <si>
    <t>VENDA LIQUIDA</t>
  </si>
  <si>
    <t>RESUMO COMPARATIVO</t>
  </si>
  <si>
    <t>VALORES CUSTO</t>
  </si>
  <si>
    <t>VALORES LIQUIDO</t>
  </si>
  <si>
    <t>Serviços Internos AUTPRO</t>
  </si>
  <si>
    <t>TOTAL SERVIÇOS</t>
  </si>
  <si>
    <t>Serviços Externos AUTPRO</t>
  </si>
  <si>
    <t>MARGEM TOTAL SERVIÇOS</t>
  </si>
  <si>
    <t>Despesas Externas AUTPRO</t>
  </si>
  <si>
    <t>Serviços Internos MONTAGEM</t>
  </si>
  <si>
    <t>Serviços Externos MONTAGEM</t>
  </si>
  <si>
    <t>Despesas Externas MONTAGEM</t>
  </si>
  <si>
    <t>Terceiros e Locações</t>
  </si>
  <si>
    <t>TOTAL PRODUTOS</t>
  </si>
  <si>
    <t>Materiais de Campo</t>
  </si>
  <si>
    <t>MARGEM TOTAL  PRODUTOS</t>
  </si>
  <si>
    <t>Materiais de Painel</t>
  </si>
  <si>
    <t>LUCRO  PRODUTOS</t>
  </si>
  <si>
    <t>Bonificação</t>
  </si>
  <si>
    <t>Comissão Vendedor Externo</t>
  </si>
  <si>
    <t>Comissão Representante</t>
  </si>
  <si>
    <t>Custo Financeiro</t>
  </si>
  <si>
    <t>TOTAL:</t>
  </si>
  <si>
    <t>IPI</t>
  </si>
  <si>
    <t>Constante</t>
  </si>
  <si>
    <t>CAMPO</t>
  </si>
  <si>
    <t>PAINEL</t>
  </si>
  <si>
    <t>IMPOSTOS À PAGAR</t>
  </si>
  <si>
    <t>VALOR</t>
  </si>
  <si>
    <t>ICMS</t>
  </si>
  <si>
    <t>PIS</t>
  </si>
  <si>
    <t>COFINS</t>
  </si>
  <si>
    <t>ISS</t>
  </si>
  <si>
    <t>IR</t>
  </si>
  <si>
    <t>Adic. IR</t>
  </si>
  <si>
    <t>Simples</t>
  </si>
  <si>
    <t>Líquido em Caixa:</t>
  </si>
  <si>
    <t>ORÇAMENTO DETALHADO</t>
  </si>
  <si>
    <t>HOSPEDAGEM</t>
  </si>
  <si>
    <t>QUANTIDADE</t>
  </si>
  <si>
    <t>TOTAL</t>
  </si>
  <si>
    <t>VALOR HOTEL</t>
  </si>
  <si>
    <t>MARK-UP</t>
  </si>
  <si>
    <t>ALIMENTAÇÃO</t>
  </si>
  <si>
    <t>VALOR REFEIÇÃO</t>
  </si>
  <si>
    <t>REFEIÇÕES</t>
  </si>
  <si>
    <t>TRANSPORTE</t>
  </si>
  <si>
    <t>MESES</t>
  </si>
  <si>
    <t>VIAGENS</t>
  </si>
  <si>
    <t>PEDÁGIOS</t>
  </si>
  <si>
    <t>KM</t>
  </si>
  <si>
    <t>MOBILIZAÇÃO (POR TRANSLADO)</t>
  </si>
  <si>
    <t>HOTEL PARA OBRA</t>
  </si>
  <si>
    <t>ALUGUEL CARRO MENSAL</t>
  </si>
  <si>
    <t>Carros:</t>
  </si>
  <si>
    <t>PASSAGEM AEREA</t>
  </si>
  <si>
    <t>SERVIÇOS INTERNOS</t>
  </si>
  <si>
    <t>SERVIÇOS EXTERNOS</t>
  </si>
  <si>
    <t>LEGENDA</t>
  </si>
  <si>
    <t>PROFISSIONAL</t>
  </si>
  <si>
    <t>Profissional</t>
  </si>
  <si>
    <t>REGIME DE TRABALHO</t>
  </si>
  <si>
    <t>VENDA</t>
  </si>
  <si>
    <t>Especialista Eletricista I</t>
  </si>
  <si>
    <t>ITEM</t>
  </si>
  <si>
    <t>CENTRO DE CUSTO</t>
  </si>
  <si>
    <t>SERVIÇO</t>
  </si>
  <si>
    <t>CÓDIGO</t>
  </si>
  <si>
    <t>DESCRIÇÃO FUNÇÃO</t>
  </si>
  <si>
    <t>DIAS</t>
  </si>
  <si>
    <t>PESSOAS</t>
  </si>
  <si>
    <t>HORAS DIA</t>
  </si>
  <si>
    <t>TIPO H</t>
  </si>
  <si>
    <t>HE CALC</t>
  </si>
  <si>
    <t>TOTAL HORAS</t>
  </si>
  <si>
    <t>R$ / HORA</t>
  </si>
  <si>
    <t>HORA</t>
  </si>
  <si>
    <t>TOTAL3</t>
  </si>
  <si>
    <t>TOTAL4</t>
  </si>
  <si>
    <t>MULTA</t>
  </si>
  <si>
    <t>VENDA COM IMPOSTOS</t>
  </si>
  <si>
    <t>Coluna1</t>
  </si>
  <si>
    <t>Especialista Eletricista II</t>
  </si>
  <si>
    <t>Projetos</t>
  </si>
  <si>
    <t>Serviço</t>
  </si>
  <si>
    <t>NORMAL</t>
  </si>
  <si>
    <t>Sistemas</t>
  </si>
  <si>
    <t>Especialista Eletricista III</t>
  </si>
  <si>
    <t>Especialista Eletricista IV</t>
  </si>
  <si>
    <t>Especialista Eletricista V</t>
  </si>
  <si>
    <t>Especialista Controle e Automação I</t>
  </si>
  <si>
    <t>Especialista Controle e Automação Il</t>
  </si>
  <si>
    <t>Especialista Controle e Automação III</t>
  </si>
  <si>
    <t>Especialista Controle e Automação IV</t>
  </si>
  <si>
    <t>Especialista Controle e Automação V</t>
  </si>
  <si>
    <t>Especialista em Computação I</t>
  </si>
  <si>
    <t>Especialista em Computação II</t>
  </si>
  <si>
    <t>Especialista Computação III</t>
  </si>
  <si>
    <t>Especialista Computação IV</t>
  </si>
  <si>
    <t>Especialista Computação V</t>
  </si>
  <si>
    <t>Analista de Sistemas de  Automação I</t>
  </si>
  <si>
    <t>Analista de Sistemas de  Automação  II</t>
  </si>
  <si>
    <t>Analista de Sistemas de  Automação III</t>
  </si>
  <si>
    <t>Analista de Sistemas de  Automação IV</t>
  </si>
  <si>
    <t>Analista de Sistemas de  Automação V</t>
  </si>
  <si>
    <t>Desenhista Projetista I</t>
  </si>
  <si>
    <t>Desenhista Projetista II</t>
  </si>
  <si>
    <t>Desenhista Projetista III</t>
  </si>
  <si>
    <t>Desenhista Projetista IV</t>
  </si>
  <si>
    <t>Desenhista Projetista V</t>
  </si>
  <si>
    <t>Projetista Elétrico I</t>
  </si>
  <si>
    <t>Projetista Elétrico II</t>
  </si>
  <si>
    <t>Projetista Elétrico III</t>
  </si>
  <si>
    <t>Projetista Elétrico IV</t>
  </si>
  <si>
    <t>Projetista Elétrico V</t>
  </si>
  <si>
    <t>Técnico Automação I</t>
  </si>
  <si>
    <t>Técnico Automação II</t>
  </si>
  <si>
    <t>Técnico Automação III</t>
  </si>
  <si>
    <t>Técnico Automação IV</t>
  </si>
  <si>
    <t>Técnico Automação V</t>
  </si>
  <si>
    <t>Técnico Mecatrônica I</t>
  </si>
  <si>
    <t>Técnico Mecatrônica II</t>
  </si>
  <si>
    <t>Técnico Mecatrônica III</t>
  </si>
  <si>
    <t>Técnico Mecatrônica IV</t>
  </si>
  <si>
    <t>Técnico Mecatrônica V</t>
  </si>
  <si>
    <t>Eletricista Instalador I</t>
  </si>
  <si>
    <t>Eletricista Instalador II</t>
  </si>
  <si>
    <t>8</t>
  </si>
  <si>
    <t>Total</t>
  </si>
  <si>
    <t>Eletricista Instalador III</t>
  </si>
  <si>
    <t>Eletricista Instalador IV</t>
  </si>
  <si>
    <t>Eletricista Instalador V</t>
  </si>
  <si>
    <t>Eletricista Força e Comando I</t>
  </si>
  <si>
    <t>Eletricista Força e Comando II</t>
  </si>
  <si>
    <t>Eletricista Força e Comando III</t>
  </si>
  <si>
    <t>Eletricista Força e Comando IV</t>
  </si>
  <si>
    <t>Eletricista Força e Comando V</t>
  </si>
  <si>
    <t>Especialista de Manutenção I</t>
  </si>
  <si>
    <t>Especialista de Manutenção II</t>
  </si>
  <si>
    <t>Especialista de Manutenção III</t>
  </si>
  <si>
    <t>Especialista de Manutenção IV</t>
  </si>
  <si>
    <t>Especialista de Manutenção V</t>
  </si>
  <si>
    <t>Eletricista de Instalações Industriais I</t>
  </si>
  <si>
    <t>Eletricista de Instalações Industriais II</t>
  </si>
  <si>
    <t>Eletricista de Instalações Industriais III</t>
  </si>
  <si>
    <t>Eletricista de Instalações Industriais IV</t>
  </si>
  <si>
    <t>Eletricista de Instalações Industriais V</t>
  </si>
  <si>
    <t>Instrumentista Tubista I</t>
  </si>
  <si>
    <t>Instrumentista Tubista II</t>
  </si>
  <si>
    <t>Instrumentista Tubista III</t>
  </si>
  <si>
    <t>Instrumentista Tubista IV</t>
  </si>
  <si>
    <t>Instrumentista Tubista V</t>
  </si>
  <si>
    <t>Ajudante de Eletricista</t>
  </si>
  <si>
    <t>Gerente de Obras</t>
  </si>
  <si>
    <t>Coodernador de Obras</t>
  </si>
  <si>
    <t>Encarregado de Obras I</t>
  </si>
  <si>
    <t>Encarregado de Obras II</t>
  </si>
  <si>
    <t>Encarregado de Obras III</t>
  </si>
  <si>
    <t>Encarregado de Obras IV</t>
  </si>
  <si>
    <t>Encarregado de Obras V</t>
  </si>
  <si>
    <t>Encarregado de Instalações Elétricas I</t>
  </si>
  <si>
    <t>Encarregado de Instalações Elétricas II</t>
  </si>
  <si>
    <t>Encarregado de Instalações Elétricas III</t>
  </si>
  <si>
    <t>Encarregado de Instalações Elétricas IV</t>
  </si>
  <si>
    <t>Encarregado de Instalações Elétricas V</t>
  </si>
  <si>
    <t>Montador de Equipamentos Eletroeletrônico I</t>
  </si>
  <si>
    <t>Montador de Equipamentos Eletroeletrônico II</t>
  </si>
  <si>
    <t>Montador de Equipamentos Eletroeletrônico III</t>
  </si>
  <si>
    <t>Montador de Equipamentos Eletroeletrônico IV</t>
  </si>
  <si>
    <t>Montador de Equipamentos Eletroeletrônico V</t>
  </si>
  <si>
    <t>Montador de Instalações Elétricas I</t>
  </si>
  <si>
    <t>Montador de Instalações Elétricas II</t>
  </si>
  <si>
    <t>Montador de Instalações Elétricas III</t>
  </si>
  <si>
    <t>Montador de Instalações Elétricas IV</t>
  </si>
  <si>
    <t>Montador de Instalações Elétricas V</t>
  </si>
  <si>
    <t>Montador de Painel Elétrico I</t>
  </si>
  <si>
    <t>Montador de Painel Elétrico II</t>
  </si>
  <si>
    <t>Montador de Painel Elétrico III</t>
  </si>
  <si>
    <t>Montador de Painel Elétrico IV</t>
  </si>
  <si>
    <t>Montador de Painel Elétrico V</t>
  </si>
  <si>
    <t>Montador de Estruturas Metálicas I</t>
  </si>
  <si>
    <t>Montador de Estruturas Metálicas Il</t>
  </si>
  <si>
    <t>Montador de Estruturas Metálicas Ill</t>
  </si>
  <si>
    <t>Montador de Estruturas Metálicas IV</t>
  </si>
  <si>
    <t>Montador de Estruturas Metálicas V</t>
  </si>
  <si>
    <t>Ajudante de Montador</t>
  </si>
  <si>
    <t>Técnico em Segurança do Trabalho I</t>
  </si>
  <si>
    <t>Técnico em Segurança do Trabalho II</t>
  </si>
  <si>
    <t>Técnico em Segurança do Trabalho III</t>
  </si>
  <si>
    <t>Técnico em Segurança do Trabalho IV</t>
  </si>
  <si>
    <t>Auxiliar de Limpeza</t>
  </si>
  <si>
    <t>Auxiliar de Cozinha</t>
  </si>
  <si>
    <t>Motorista I</t>
  </si>
  <si>
    <t>Motorista II</t>
  </si>
  <si>
    <t>Motorista III</t>
  </si>
  <si>
    <t>Motorista IV</t>
  </si>
  <si>
    <t>Motorista V</t>
  </si>
  <si>
    <t>Pedreiro I</t>
  </si>
  <si>
    <t>Pedreiro II</t>
  </si>
  <si>
    <t>Pedreiro III</t>
  </si>
  <si>
    <t>Pedreiro IV</t>
  </si>
  <si>
    <t>Pedreiro V</t>
  </si>
  <si>
    <t>Servente de Pedreiro</t>
  </si>
  <si>
    <t>Pintor I</t>
  </si>
  <si>
    <t>Pintor II</t>
  </si>
  <si>
    <t>Pintor III</t>
  </si>
  <si>
    <t>Pintor IV</t>
  </si>
  <si>
    <t>Pintor V</t>
  </si>
  <si>
    <t>ALOJAMENTO PARA OBRA</t>
  </si>
  <si>
    <t>DATA</t>
  </si>
  <si>
    <t>DESPESAS / LOCAÇÕES / TERCEIROS</t>
  </si>
  <si>
    <t>SERVIÇOS TERCEIRIZADOS</t>
  </si>
  <si>
    <t>AUTOR</t>
  </si>
  <si>
    <t>GPM</t>
  </si>
  <si>
    <t>ITENS</t>
  </si>
  <si>
    <t>VENDA SEM IMPOSTOS</t>
  </si>
  <si>
    <t>CÁLCULO</t>
  </si>
  <si>
    <t>FORNECEDOR</t>
  </si>
  <si>
    <t>PRAZO PAGAMENTO</t>
  </si>
  <si>
    <t>ORIGEM</t>
  </si>
  <si>
    <t>TOTAL CUSTO</t>
  </si>
  <si>
    <t>FATURAMENTO</t>
  </si>
  <si>
    <t>VALOR UNITÁRIO</t>
  </si>
  <si>
    <t>TOTAL VENDA</t>
  </si>
  <si>
    <t>CUSTO FIXO</t>
  </si>
  <si>
    <t>SÃO PAULO</t>
  </si>
  <si>
    <t>ESTUDOS ELÉTRICOS</t>
  </si>
  <si>
    <t>TESTES DE PAINEIS</t>
  </si>
  <si>
    <t>TRANSPORTE DE PAINEIS (PREÇO ESTIMADO POR COLUNA)</t>
  </si>
  <si>
    <t>CANTEIRO DE OBRAS</t>
  </si>
  <si>
    <t>Obras</t>
  </si>
  <si>
    <t>CONTAINERS - ESCRITORIO</t>
  </si>
  <si>
    <t>CONTAINERS - ALMOXARIFADO</t>
  </si>
  <si>
    <t>CONTAINERS - VESTIÁRIO</t>
  </si>
  <si>
    <t>TRANSPORTE DOS CONTAINER</t>
  </si>
  <si>
    <t>VERBA PARA EPIs</t>
  </si>
  <si>
    <t>BARRACÃO AUXILIAR</t>
  </si>
  <si>
    <t>PLATAFORMAS, ANDAIMES E MUNCK</t>
  </si>
  <si>
    <t>PLATAFORMA ELEVATORIA 42m</t>
  </si>
  <si>
    <t>PLATAFORMA ELEVATORIA 27m</t>
  </si>
  <si>
    <t>PLATAFORMA ELEVATORIA 15m - C / Transporte</t>
  </si>
  <si>
    <t>COMBUSTIVEL</t>
  </si>
  <si>
    <t>ANDAIMES</t>
  </si>
  <si>
    <t>MUNCK</t>
  </si>
  <si>
    <t>ALUGUEL DE EQUIPAMENTOS</t>
  </si>
  <si>
    <t>VERBA</t>
  </si>
  <si>
    <t>FERRAMENTAS</t>
  </si>
  <si>
    <t>CONTRATAÇÃO</t>
  </si>
  <si>
    <t>EXAMES</t>
  </si>
  <si>
    <t>TREINAMENTOS</t>
  </si>
  <si>
    <t>EPI</t>
  </si>
  <si>
    <t>UNIFORMES</t>
  </si>
  <si>
    <t>TERCEIRIZAÇÕES</t>
  </si>
  <si>
    <t>CONFIGURAÇÃO DO SISTEMA DE INCÊNDIO</t>
  </si>
  <si>
    <t>MARKETING</t>
  </si>
  <si>
    <t>MKT 02</t>
  </si>
  <si>
    <t>MKT 03</t>
  </si>
  <si>
    <t>LAVANDERIA</t>
  </si>
  <si>
    <t>DESPESAS</t>
  </si>
  <si>
    <t>ENG. SEGURANÇA (EXTERNO)</t>
  </si>
  <si>
    <t xml:space="preserve">MATERIAIS INSTALAÇÕES DE CAMPO    </t>
  </si>
  <si>
    <t>AREA / SETOR</t>
  </si>
  <si>
    <t>DESENHO / SEGMENTO</t>
  </si>
  <si>
    <t>CATEGORIA</t>
  </si>
  <si>
    <t>NCM</t>
  </si>
  <si>
    <t>UNIT S/IPI S/DESC</t>
  </si>
  <si>
    <t>ICMS %</t>
  </si>
  <si>
    <t>IPI %</t>
  </si>
  <si>
    <t>% DESC</t>
  </si>
  <si>
    <t>UNIT S/ IPI C/DESC</t>
  </si>
  <si>
    <t>TOTAL S/ IPI</t>
  </si>
  <si>
    <t>TOTAL C/ IPI</t>
  </si>
  <si>
    <t>DIFERENCIAL ICMS</t>
  </si>
  <si>
    <t>ICMS $</t>
  </si>
  <si>
    <t>TOTAL ICMS $</t>
  </si>
  <si>
    <t>UNIT S/ IP + DIF ICMS</t>
  </si>
  <si>
    <t>PIS R$</t>
  </si>
  <si>
    <t>COFINS R$</t>
  </si>
  <si>
    <t>UNIT C/ IPI</t>
  </si>
  <si>
    <t>CRED ICMS</t>
  </si>
  <si>
    <t>CREDITO IPI</t>
  </si>
  <si>
    <t>UNIT CRED</t>
  </si>
  <si>
    <t>TOT CRED</t>
  </si>
  <si>
    <t>TOT CUSTO</t>
  </si>
  <si>
    <t>UNIT VENDA</t>
  </si>
  <si>
    <t>S/ IPI</t>
  </si>
  <si>
    <t>C/ IPI</t>
  </si>
  <si>
    <t>Rótulos de Linha</t>
  </si>
  <si>
    <t>Soma de S/ IPI</t>
  </si>
  <si>
    <t>Soma de C/ IPI</t>
  </si>
  <si>
    <t>(vazio)</t>
  </si>
  <si>
    <t>Total Geral</t>
  </si>
  <si>
    <t xml:space="preserve">MATERIAIS PAINÉIS + MDO INDUSTRIALIZAÇÃO    </t>
  </si>
  <si>
    <t>UNID.</t>
  </si>
  <si>
    <t>DESC%</t>
  </si>
  <si>
    <t>MATERIAIS / EQUIPAMENTO FAT.DIRETO</t>
  </si>
  <si>
    <t>Item</t>
  </si>
  <si>
    <t>Descrição</t>
  </si>
  <si>
    <t>FABRICANTE</t>
  </si>
  <si>
    <t>Qtd</t>
  </si>
  <si>
    <t>R$ / Unit s/DESC</t>
  </si>
  <si>
    <t>R$ / Unit c/DESC</t>
  </si>
  <si>
    <t>Total (R$)</t>
  </si>
  <si>
    <t>CENTRO DE CUSTOS</t>
  </si>
  <si>
    <t>SERVINT AUTPRO</t>
  </si>
  <si>
    <t>SERVEXT AUTPRO</t>
  </si>
  <si>
    <t>SERVINT MONT</t>
  </si>
  <si>
    <t>SERVEXT MONT</t>
  </si>
  <si>
    <t>TERC LOC</t>
  </si>
  <si>
    <t>MATERIAIS</t>
  </si>
  <si>
    <t>%</t>
  </si>
  <si>
    <t>Administrativo</t>
  </si>
  <si>
    <t>Almoxarifado</t>
  </si>
  <si>
    <t>Diretoria</t>
  </si>
  <si>
    <t>Fabrica</t>
  </si>
  <si>
    <t>Financeiro</t>
  </si>
  <si>
    <t>Fiscal/Contabil</t>
  </si>
  <si>
    <t>Marketing</t>
  </si>
  <si>
    <t>Orçamentos</t>
  </si>
  <si>
    <t>Recursos Humanos / Departamento Pessoal</t>
  </si>
  <si>
    <t>Segurança do Trabalho</t>
  </si>
  <si>
    <t>Suprimentos</t>
  </si>
  <si>
    <t>Terceirização</t>
  </si>
  <si>
    <t>Vendas Externas</t>
  </si>
  <si>
    <t>Vendas Internas</t>
  </si>
  <si>
    <t>HORAS TRABALHADAS MÊS</t>
  </si>
  <si>
    <t>INTERNO</t>
  </si>
  <si>
    <t>EXTERNO</t>
  </si>
  <si>
    <t>SALÁRIO</t>
  </si>
  <si>
    <t>MULTA/H</t>
  </si>
  <si>
    <t>ACRESCIMO</t>
  </si>
  <si>
    <t>TRIBUTAÇÃO</t>
  </si>
  <si>
    <t>ESTADOS</t>
  </si>
  <si>
    <t>SIGLA</t>
  </si>
  <si>
    <t>UTILIZAR CRÉDITOS ICMS</t>
  </si>
  <si>
    <t>UTILIZAR CRÉDITOS IPI</t>
  </si>
  <si>
    <t>CARRO ALUGADO</t>
  </si>
  <si>
    <t>LUCRO PRESUMIDO</t>
  </si>
  <si>
    <t>SIMPLES YAMA</t>
  </si>
  <si>
    <t>SIMPLES RESENDE</t>
  </si>
  <si>
    <t>EXPORTAÇÃO</t>
  </si>
  <si>
    <t>ALÍQUOTA</t>
  </si>
  <si>
    <t>FCP</t>
  </si>
  <si>
    <t>INTERNA</t>
  </si>
  <si>
    <t>INTERNA FCP</t>
  </si>
  <si>
    <t>R$/Mês</t>
  </si>
  <si>
    <t>R$/H</t>
  </si>
  <si>
    <t>R$/hora</t>
  </si>
  <si>
    <t>ACRE</t>
  </si>
  <si>
    <t>AC</t>
  </si>
  <si>
    <t>ACIONAMENTOS</t>
  </si>
  <si>
    <t>(-) Pis</t>
  </si>
  <si>
    <t>S/ LUCRO</t>
  </si>
  <si>
    <t>EXTRA 50%</t>
  </si>
  <si>
    <t>ALAGOAS</t>
  </si>
  <si>
    <t>AL</t>
  </si>
  <si>
    <t>AUTOMAÇÃO</t>
  </si>
  <si>
    <t>(-) Cofins</t>
  </si>
  <si>
    <t>DIRETORIA</t>
  </si>
  <si>
    <t>EXTRA 75%</t>
  </si>
  <si>
    <t>AMAPÁ</t>
  </si>
  <si>
    <t>AP</t>
  </si>
  <si>
    <t>SIMPLES</t>
  </si>
  <si>
    <t>AMAZONAS</t>
  </si>
  <si>
    <t>AM</t>
  </si>
  <si>
    <t>EXTRA 100%</t>
  </si>
  <si>
    <t>CONDUTORES</t>
  </si>
  <si>
    <t>EXTRA 150%</t>
  </si>
  <si>
    <t>BAHIA</t>
  </si>
  <si>
    <t>BA</t>
  </si>
  <si>
    <t>CONEXÕES</t>
  </si>
  <si>
    <t>CEARÁ</t>
  </si>
  <si>
    <t>CE</t>
  </si>
  <si>
    <t>DISJUNTORES</t>
  </si>
  <si>
    <t>DISTRITO FEDERAL</t>
  </si>
  <si>
    <t>DF</t>
  </si>
  <si>
    <t>ESPÍRITO SANTO</t>
  </si>
  <si>
    <t>ES</t>
  </si>
  <si>
    <t>ISOLADORES</t>
  </si>
  <si>
    <t>GOIÁS</t>
  </si>
  <si>
    <t>GO</t>
  </si>
  <si>
    <t>MISCELÂNEAS CAMPO</t>
  </si>
  <si>
    <t>MARANHÃO</t>
  </si>
  <si>
    <t>MA</t>
  </si>
  <si>
    <t>MISCELÂNEAS PAINEL</t>
  </si>
  <si>
    <t>IMPORTAÇÃO</t>
  </si>
  <si>
    <t>IM</t>
  </si>
  <si>
    <t>MATO GROSSO</t>
  </si>
  <si>
    <t>MT</t>
  </si>
  <si>
    <t>SERVIÇOS AUXILIARES</t>
  </si>
  <si>
    <t>MATO GROSSO DO SUL</t>
  </si>
  <si>
    <t>MS</t>
  </si>
  <si>
    <t>EPIs</t>
  </si>
  <si>
    <t>MINAS GERAIS</t>
  </si>
  <si>
    <t>MG</t>
  </si>
  <si>
    <t>OUTROS</t>
  </si>
  <si>
    <t>PARÁ</t>
  </si>
  <si>
    <t>PA</t>
  </si>
  <si>
    <t>PARAÍBA</t>
  </si>
  <si>
    <t>PB</t>
  </si>
  <si>
    <t>PARANÁ</t>
  </si>
  <si>
    <t>PR</t>
  </si>
  <si>
    <t>PERNAMBUCO</t>
  </si>
  <si>
    <t>PE</t>
  </si>
  <si>
    <t>PIAUÍ</t>
  </si>
  <si>
    <t>PI</t>
  </si>
  <si>
    <t>RIO DE JANEIRO</t>
  </si>
  <si>
    <t>RJ</t>
  </si>
  <si>
    <t>RIO GRANDE DO NORTE</t>
  </si>
  <si>
    <t>RN</t>
  </si>
  <si>
    <t>RIO GRANDE DO SUL</t>
  </si>
  <si>
    <t>RS</t>
  </si>
  <si>
    <t>RONDONIA</t>
  </si>
  <si>
    <t>RO</t>
  </si>
  <si>
    <t>RORAIMA</t>
  </si>
  <si>
    <t>RR</t>
  </si>
  <si>
    <t>SANTA CATARINA</t>
  </si>
  <si>
    <t>SC</t>
  </si>
  <si>
    <t>ADIANTAMENTO</t>
  </si>
  <si>
    <t>CALCULO</t>
  </si>
  <si>
    <t>SERGIPE</t>
  </si>
  <si>
    <t>SE</t>
  </si>
  <si>
    <t>Condição de Pagamento</t>
  </si>
  <si>
    <t>TOCANTINS</t>
  </si>
  <si>
    <t>TO</t>
  </si>
  <si>
    <t>Meta Venda Mês</t>
  </si>
  <si>
    <t>À VISTA</t>
  </si>
  <si>
    <t>Custos Indiretos Materiais</t>
  </si>
  <si>
    <t>10 dias</t>
  </si>
  <si>
    <t>Custos Indiretos Obras</t>
  </si>
  <si>
    <t>Custo Base Original</t>
  </si>
  <si>
    <t>14 dias</t>
  </si>
  <si>
    <t>Custos Indiretos Engenharia</t>
  </si>
  <si>
    <t>Tempo Serviços Calculado</t>
  </si>
  <si>
    <t>21 dias</t>
  </si>
  <si>
    <t>Custos Extra Serviços</t>
  </si>
  <si>
    <t>Tempo Preenchido</t>
  </si>
  <si>
    <t>Lucro Serviços</t>
  </si>
  <si>
    <t>Custo Venda Materiais</t>
  </si>
  <si>
    <t>21/28/35 dias</t>
  </si>
  <si>
    <t>Lucro Materiais</t>
  </si>
  <si>
    <t>Custo Venda Serviços</t>
  </si>
  <si>
    <t>30 dias</t>
  </si>
  <si>
    <t>Comissão</t>
  </si>
  <si>
    <t>VL Materiais</t>
  </si>
  <si>
    <t>42 dias</t>
  </si>
  <si>
    <t>IR SERVIÇOS</t>
  </si>
  <si>
    <t>VL Serviços</t>
  </si>
  <si>
    <t>28/56 dias</t>
  </si>
  <si>
    <t>IR MATERIAIS</t>
  </si>
  <si>
    <t>Venda Líquida Projetada</t>
  </si>
  <si>
    <t>28/42/56 dias</t>
  </si>
  <si>
    <t>INTERNA E FCP</t>
  </si>
  <si>
    <t>CSLL SERVIÇOS</t>
  </si>
  <si>
    <t>Venda Líquida por Mês</t>
  </si>
  <si>
    <t>30/60 dias</t>
  </si>
  <si>
    <t>INTERESTADUAL</t>
  </si>
  <si>
    <t>CSLL MATERIAIS</t>
  </si>
  <si>
    <t>56 dias</t>
  </si>
  <si>
    <t>DIFAL</t>
  </si>
  <si>
    <t>IR SERVIÇOS ENG</t>
  </si>
  <si>
    <t>Fator Base Calculado</t>
  </si>
  <si>
    <t>60 dias</t>
  </si>
  <si>
    <t>CONSIDERADO</t>
  </si>
  <si>
    <t>CSLL SERVIÇOS ENG</t>
  </si>
  <si>
    <t>Fator Base Utilizado</t>
  </si>
  <si>
    <t>30/60/90 dias</t>
  </si>
  <si>
    <t>ACRESCENTAR NA BASE</t>
  </si>
  <si>
    <t>LUCRO LIQUIDO ANTES IRPJ E CSLL ESTIMAD</t>
  </si>
  <si>
    <t>75 dias</t>
  </si>
  <si>
    <t>60/90 dias</t>
  </si>
  <si>
    <t>90 dias</t>
  </si>
  <si>
    <t>FATURAMENTO MATERIAIS</t>
  </si>
  <si>
    <t>MARKUP DIVISOR</t>
  </si>
  <si>
    <t>FATURAMENTO SERVIÇOS OBRA</t>
  </si>
  <si>
    <t>SERVIÇOS</t>
  </si>
  <si>
    <t>FATURAMENTO SERVIÇOS ENGENHARIA</t>
  </si>
  <si>
    <t>MATERIAIS DE MÉDIA TENSÃO</t>
  </si>
  <si>
    <t>MÉDIA TENSÃO</t>
  </si>
  <si>
    <t>1 X 185MM² 8,5/15KV EPR 105, CABO SINGELO DE COBRE NÚ, TÊMPERA MOLE, ENCORDOAMENTO CLASSE 2, CAMADA SEMICONDUTORA APLICADA POR EXTRUSÃO, ISOLAÇÃO COMPOSTO TERMOFIXO DE EPR 105ºC, BLINDAGEM DE ISOLAÇÃO NÃO METÁLICA E PARTE METÁLICA FIOS DE COBRE NÚ, TÊMPERA MOLE, SEÇÃO 6MM², COBERTURA EM PVC NA COR PRETA.</t>
  </si>
  <si>
    <t>CABO MT 8,5/15KV 105º</t>
  </si>
  <si>
    <t>MTS</t>
  </si>
  <si>
    <t>ALIMENTADORES</t>
  </si>
  <si>
    <t>MATERIAIS  DE BAIXA TENSÃO</t>
  </si>
  <si>
    <t>BAIXA TENSÃO</t>
  </si>
  <si>
    <t>CABO MULTIPOLAR BT 0,6/1KV 105º</t>
  </si>
  <si>
    <t>3 X 2,5MM² 0,6/1KV HEPR 105, CABO MULTIPOLAR DE COBRE NÚ, TÊMPERA MOLE, ENCORDOAMENTO CLASSE 5, ISOLAÇÃO HEPR 90ºC, COBERTURA PVC NA COR PRETA</t>
  </si>
  <si>
    <t>4 X 2,5MM² 0,6/1KV HEPR 105, CABO MULTIPOLAR DE COBRE NÚ, TÊMPERA MOLE, ENCORDOAMENTO CLASSE 5, ISOLAÇÃO HEPR 90ºC, COBERTURA PVC NA COR PRETA</t>
  </si>
  <si>
    <t>4 X 4,0MM² 0,6/1KV HEPR 105, CABO MULTIPOLAR DE COBRE NÚ, TÊMPERA MOLE, ENCORDOAMENTO CLASSE 5, ISOLAÇÃO HEPR 90ºC, COBERTURA PVC NA COR PRETA</t>
  </si>
  <si>
    <t>4 X 6,0MM² 0,6/1KV HEPR 105, CABO MULTIPOLAR DE COBRE NÚ, TÊMPERA MOLE, ENCORDOAMENTO CLASSE 5, ISOLAÇÃO HEPR 90ºC, COBERTURA PVC NA COR PRETA</t>
  </si>
  <si>
    <t>4 X 16,0MM² 0,6/1KV HEPR 105, CABO MULTIPOLAR DE COBRE NÚ, TÊMPERA MOLE, ENCORDOAMENTO CLASSE 5, ISOLAÇÃO HEPR 90ºC, COBERTURA PVC NA COR PRETA</t>
  </si>
  <si>
    <t>4 X 25,0MM² 0,6/1KV HEPR 105, CABO MULTIPOLAR DE COBRE NÚ, TÊMPERA MOLE, ENCORDOAMENTO CLASSE 5, ISOLAÇÃO HEPR 90ºC, COBERTURA PVC NA COR PRETA</t>
  </si>
  <si>
    <t>1 X 240MM² 0,6/1KV HEPR 90, CABO SINGELO DE COBRE NÚ, TÊMPERA MOLE, ENCORDOAMENTO CLASSE 5, ISOLAÇÃO HEPR 90ºC, COBERTURA PVC NA COR VERDE</t>
  </si>
  <si>
    <t>1 X 185MM² 0,6/1KV HEPR 90, CABO SINGELO DE COBRE NÚ, TÊMPERA MOLE, ENCORDOAMENTO CLASSE 5, ISOLAÇÃO HEPR 90ºC, COBERTURA PVC NA COR VERDE</t>
  </si>
  <si>
    <t>1 X 150MM² 0,6/1KV HEPR 90, CABO SINGELO DE COBRE NÚ, TÊMPERA MOLE, ENCORDOAMENTO CLASSE 5, ISOLAÇÃO HEPR 90ºC, COBERTURA PVC NA COR VERDE</t>
  </si>
  <si>
    <t>1 X 120MM² 0,6/1KV HEPR 90, CABO SINGELO DE COBRE NÚ, TÊMPERA MOLE, ENCORDOAMENTO CLASSE 5, ISOLAÇÃO HEPR 90ºC, COBERTURA PVC NA COR VERDE</t>
  </si>
  <si>
    <t>1 X 95MM² 0,6/1KV HEPR 90, CABO SINGELO DE COBRE NÚ, TÊMPERA MOLE, ENCORDOAMENTO CLASSE 5, ISOLAÇÃO HEPR 90ºC, COBERTURA PVC NA COR VERDE</t>
  </si>
  <si>
    <t>1 X 70MM² 0,6/1KV HEPR 90, CABO SINGELO DE COBRE NÚ, TÊMPERA MOLE, ENCORDOAMENTO CLASSE 5, ISOLAÇÃO HEPR 90ºC, COBERTURA PVC NA COR VERDE</t>
  </si>
  <si>
    <t>1 X 50MM² 0,6/1KV HEPR 90, CABO SINGELO DE COBRE NÚ, TÊMPERA MOLE, ENCORDOAMENTO CLASSE 5, ISOLAÇÃO HEPR 90ºC, COBERTURA PVC NA COR VERDE</t>
  </si>
  <si>
    <t>1 X 35MM² 0,6/1KV HEPR 90, CABO SINGELO DE COBRE NÚ, TÊMPERA MOLE, ENCORDOAMENTO CLASSE 5, ISOLAÇÃO HEPR 90ºC, COBERTURA PVC NA COR VERDE</t>
  </si>
  <si>
    <t>1 X 25MM² 0,6/1KV HEPR 90, CABO SINGELO DE COBRE NÚ, TÊMPERA MOLE, ENCORDOAMENTO CLASSE 5, ISOLAÇÃO HEPR 90ºC, COBERTURA PVC NA COR VERDE</t>
  </si>
  <si>
    <t>1 X 16MM² 0,6/1KV HEPR 90, CABO SINGELO DE COBRE NÚ, TÊMPERA MOLE, ENCORDOAMENTO CLASSE 5, ISOLAÇÃO HEPR 90ºC, COBERTURA PVC NA COR VERDE</t>
  </si>
  <si>
    <t>CABO SINGELO BT 0,6/1KV 90º</t>
  </si>
  <si>
    <t>1 X 240MM² 0,6/1KV HEPR 105, CABO SINGELO DE COBRE NÚ, TÊMPERA MOLE, ENCORDOAMENTO CLASSE 5, ISOLAÇÃO HEPR 90ºC, COBERTURA PVC NA COR PRETA</t>
  </si>
  <si>
    <t>1 X 185MM² 0,6/1KV HEPR 105 CABO SINGELO DE COBRE NÚ, TÊMPERA MOLE, ENCORDOAMENTO CLASSE 5, ISOLAÇÃO HEPR 90ºC, COBERTURA PVC NA COR PRETA</t>
  </si>
  <si>
    <t>1 X 150MM² 0,6/1KV HEPR 105, CABO SINGELO DE COBRE NÚ, TÊMPERA MOLE, ENCORDOAMENTO CLASSE 5, ISOLAÇÃO HEPR 90ºC, COBERTURA PVC NA COR PRETA</t>
  </si>
  <si>
    <t>1 X 120MM² 0,6/1KV HEPR 105, CABO SINGELO DE COBRE NÚ, TÊMPERA MOLE, ENCORDOAMENTO CLASSE 5, ISOLAÇÃO HEPR 90ºC, COBERTURA PVC NA COR PRETA</t>
  </si>
  <si>
    <t>1 X 95MM² 0,6/1KV HEPR 105, CABO SINGELO DE COBRE NÚ, TÊMPERA MOLE, ENCORDOAMENTO CLASSE 5, ISOLAÇÃO HEPR 90ºC, COBERTURA PVC NA COR PRETA</t>
  </si>
  <si>
    <t>1 X 70MM² 0,6/1KV HEPR 105, CABO SINGELO DE COBRE NÚ, TÊMPERA MOLE, ENCORDOAMENTO CLASSE 5, ISOLAÇÃO HEPR 105ºC, COBERTURA PVC NA COR PRETA</t>
  </si>
  <si>
    <t>1 X 50MM² 0,6/1KV HEPR 105, CABO SINGELO DE COBRE NÚ, TÊMPERA MOLE, ENCORDOAMENTO CLASSE 5, ISOLAÇÃO HEPR 105ºC, COBERTURA PVC NA COR PRETA</t>
  </si>
  <si>
    <t>1 X 35MM² 0,6/1KV HEPR 105, CABO SINGELO DE COBRE NÚ, TÊMPERA MOLE, ENCORDOAMENTO CLASSE 5, ISOLAÇÃO HEPR 105ºC, COBERTURA PVC NA COR PRETA</t>
  </si>
  <si>
    <t>1 X 25MM² 0,6/1KV HEPR 105, CABO SINGELO DE COBRE NÚ, TÊMPERA MOLE, ENCORDOAMENTO CLASSE 5, ISOLAÇÃO HEPR 105ºC, COBERTURA PVC NA COR PRETA</t>
  </si>
  <si>
    <t>1 X 16MM² 0,6/1KV HEPR 105, CABO SINGELO DE COBRE NÚ, TÊMPERA MOLE, ENCORDOAMENTO CLASSE 5, ISOLAÇÃO HEPR 105ºC, COBERTURA PVC NA COR PRETA</t>
  </si>
  <si>
    <t>1 X 10MM² 0,6/1KV HEPR 105, CABO SINGELO DE COBRE NÚ, TÊMPERA MOLE, ENCORDOAMENTO CLASSE 5, ISOLAÇÃO HEPR 105ºC, COBERTURA PVC NA COR PRETA</t>
  </si>
  <si>
    <t>1 X 6,0MM² 0,6/1KV HEPR 105, CABO SINGELO DE COBRE NÚ, TÊMPERA MOLE, ENCORDOAMENTO CLASSE 5, ISOLAÇÃO HEPR 105ºC, COBERTURA PVC NA COR PRETA</t>
  </si>
  <si>
    <t>1 X 4,0MM² 0,6/1KV HEPR 105, CABO SINGELO DE COBRE NÚ, TÊMPERA MOLE, ENCORDOAMENTO CLASSE 5, ISOLAÇÃO HEPR 105ºC, COBERTURA PVC NA COR PRETA</t>
  </si>
  <si>
    <t>1 X 2,5MM² 0,6/1KV HEPR 105, CABO SINGELO DE COBRE NÚ, TÊMPERA MOLE, ENCORDOAMENTO CLASSE 5, ISOLAÇÃO HEPR 105ºC, COBERTURA PVC NA COR PRETA</t>
  </si>
  <si>
    <t>CABO SINGELO BT 0,6/1KV 105º</t>
  </si>
  <si>
    <t>CABOS INSTRUMENTAÇÃO</t>
  </si>
  <si>
    <t>CABO DE CONTROLE / I&amp;A</t>
  </si>
  <si>
    <t>MATERIAIS DE INSTRUMENTAÇÃO E CONTROLE</t>
  </si>
  <si>
    <t>12 X 1,50MM² 500V SB, CABO DE COMANDO/CONTROLE VEIAS NUMERADAS, SEM BLINDAGEM, 500V, CLASSE 5, ISOLAÇÃO E COBERTURA PVC 70ºC PRETO</t>
  </si>
  <si>
    <t>CABO COMANDO SEM BLINDAGEM</t>
  </si>
  <si>
    <t>1 X 2 X 1,00MM² 300V, CABO DE INSTRUMENTAÇÃO/SINAL , COM BLINDAGEM TOTAL + DRENO, CLASSE 5, ISOLAÇÃO E COBERTURA PVC ST2</t>
  </si>
  <si>
    <t>CABO INSTRUMENTAÇÃO E SINAL</t>
  </si>
  <si>
    <t>CONDUSCAMP</t>
  </si>
  <si>
    <t>MATERIAIS ATERRAMENTO</t>
  </si>
  <si>
    <t>ATERRAMENTO</t>
  </si>
  <si>
    <t>CABO COBRE NÚ</t>
  </si>
  <si>
    <t>CABO DE COBRE NÚ, MEIO DURO, 50MM², NORMA DE FABRICAÇÃO ABNT NBR 6524, FORMAÇÃO 7 FIOS, DIÂMETRO DO FIO 3,0MM, DIÂMETRO EXTERNO 9,0MM</t>
  </si>
  <si>
    <t>CABO DE COBRE NÚ, MEIO DURO, 95MM², NORMA DE FABRICAÇÃO ABNT NBR 6524, FORMAÇÃO 7 FIOS, DIÂMETRO DO FIO 4,12MM</t>
  </si>
  <si>
    <t>HASTE DE ATERRAMENTO, 5/8" X 3000MM, NÚCLEO DE AÇO, REVESTIDO EM COBRE, CAMADA MÍNIMA DE 254 MICRA, CONFORME ABNT NBR 13571, SEM ROSCA NA EXTREMIDADE</t>
  </si>
  <si>
    <t>HASTE DE ATERRAMENTO</t>
  </si>
  <si>
    <t>PÇ</t>
  </si>
  <si>
    <t>ESP.</t>
  </si>
  <si>
    <t>MO</t>
  </si>
  <si>
    <t>AUX</t>
  </si>
  <si>
    <t>FC</t>
  </si>
  <si>
    <t>INST</t>
  </si>
  <si>
    <t>DU</t>
  </si>
  <si>
    <t>Instalação Eletromecânica de Leitos e Acessórios</t>
  </si>
  <si>
    <t>Instalação de Conexões Eletromecânicas</t>
  </si>
  <si>
    <t>Passagem de Cabos</t>
  </si>
  <si>
    <t>Terminações e Muflas</t>
  </si>
  <si>
    <t>Teste de Tensão Aplicada aos Cabos</t>
  </si>
  <si>
    <t>Conexões e Identificações</t>
  </si>
  <si>
    <t>MÉDIA TENSÃO ALM ELETROCENTRO</t>
  </si>
  <si>
    <t>MÉDIA TENSÃO ALM CALDEIRA</t>
  </si>
  <si>
    <t>NAMBEI</t>
  </si>
  <si>
    <t>TIPO</t>
  </si>
  <si>
    <t>12 X 1,50MM² 1KV SB, CABO DE COMANDO/CONTROLE VEIAS NUMERADAS, SEM BLINDAGEM, 1KV, CLASSE 5, ISOLAÇÃO E COBERTURA PVC 70ºC PRETO</t>
  </si>
  <si>
    <t>SANTA LUZIA</t>
  </si>
  <si>
    <t>Abertura e Fechamento de Valetas</t>
  </si>
  <si>
    <t xml:space="preserve">Instalação de Aterramento </t>
  </si>
  <si>
    <t>Equipotêncialização de Leitos</t>
  </si>
  <si>
    <t>Conexões e Terminações de Aterramento</t>
  </si>
  <si>
    <t>Medição da Malha de Aterramento</t>
  </si>
  <si>
    <t>ATERRAMENTO GERAL</t>
  </si>
  <si>
    <t>CONECTOR DE ATERRAMENTO CABO-CABO À COMPRESSÃO EM  LIGA DE COBRE COM COMPOSTO ANTIÓXIDO, #35-70MM / #16-70MM (SACC)</t>
  </si>
  <si>
    <t>CONECTOR DE COMPRESSÃO ATM</t>
  </si>
  <si>
    <t>CONECTOR DE ATERRAMENTO CABO-HASTE À COMPRESSÃO EM  LIGA DE COBRE COM COMPOSTO ANTIÓXIDO, HASTE 5/8"-3/4", CABO #50-70</t>
  </si>
  <si>
    <t>CONECTOR DE ATERRAMENTO CABO-CABO À COMPRESSÃO EM  LIGA DE COBRE COM COMPOSTO ANTIÓXIDO, #95MM / #95MM (SACC)</t>
  </si>
  <si>
    <t>CONECTOR DE ATERRAMENTO CABO-HASTE À COMPRESSÃO EM  LIGA DE COBRE COM COMPOSTO ANTIÓXIDO, HASTE 5/8"-3/4", CABO #95</t>
  </si>
  <si>
    <t>CONJUNTO BEP</t>
  </si>
  <si>
    <t>BEP</t>
  </si>
  <si>
    <t>CONEXÕES E EQUIPOTENCIALIZAÇÃO DE EQUIPAMENTOS</t>
  </si>
  <si>
    <t>EQUIPOTENCIALIZAÇÕES</t>
  </si>
  <si>
    <t>SPDA</t>
  </si>
  <si>
    <t>BARRA CHATA DE ALUMÍNIO, 3MTS, 7/8" X 1/8"</t>
  </si>
  <si>
    <t>BARRA CHATA DE ALUMÍNIO</t>
  </si>
  <si>
    <t>TERMINAL AÉREO, H=600MM, 7/8 X 1/8, ALUMINIO</t>
  </si>
  <si>
    <t>ADERIFIX - SUPORTE FIXADOR COLÁVEL</t>
  </si>
  <si>
    <t>ADESIVO PU</t>
  </si>
  <si>
    <t>CAIXA SUSPENSA 1-1.1/2 - 2, PP</t>
  </si>
  <si>
    <t>TERMINAL AÉREO</t>
  </si>
  <si>
    <t>FIXADOR COLAVEL</t>
  </si>
  <si>
    <t>CAIXA DE INSPEÇÃO</t>
  </si>
  <si>
    <t>PARAGAM</t>
  </si>
  <si>
    <t>INTELLI</t>
  </si>
  <si>
    <t>AUTPRO</t>
  </si>
  <si>
    <t>Instalação de Gaiola de Captação</t>
  </si>
  <si>
    <t>SPDA GERAL</t>
  </si>
  <si>
    <t>ELETROMECANICO EIA</t>
  </si>
  <si>
    <t>LEITO SEMI-PESADO 100X200X3000MM, ABAS EXTERNAS, GF, #12/14, LONGARINA "U" ALTURA 100MM CHAPA #12, TRAVESSAS DE PERFILADOS 38X19MM CHAPA #14 SOLDADAS À LONGARINA, DISTÂNCIA ENTRE TRAVESSAS 250MM.</t>
  </si>
  <si>
    <t>TAMPA DE ENCAIXE LEITO RETA 200X3000MM, GF, CHAPA #16</t>
  </si>
  <si>
    <t>INECEL</t>
  </si>
  <si>
    <t>LEITO SEMI-PESADO 100X400X3000MM, ABAS EXTERNAS, GF, #12/14, LONGARINA "U" ALTURA 100MM CHAPA #12, TRAVESSAS DE PERFILADOS 38X19MM CHAPA #14 SOLDADAS À LONGARINA, DISTÂNCIA ENTRE TRAVESSAS 250MM.</t>
  </si>
  <si>
    <t>TAMPA DE ENCAIXE LEITO RETA 400X3000MM, GF, CHAPA #16</t>
  </si>
  <si>
    <t>TAMPA DE ENCAIXE CURVA HORIZONTAL 90º RETA 200MM, GF, CHAPA #16</t>
  </si>
  <si>
    <t>TAMPA DE ENCAIXE CURVA HORIZONTAL 90º RETA 400MM, GF, CHAPA #16</t>
  </si>
  <si>
    <t>TAMPA DE ENCAIXE CURVA VERTICAL EXTERNA 90º RETA 200MM, GF, CHAPA #16</t>
  </si>
  <si>
    <t>TAMPA DE ENCAIXE CURVA VERTICAL EXTERNA 90º RETA 400MM, GF, CHAPA #16</t>
  </si>
  <si>
    <t>TAMPA DE ENCAIXE CURVA VERTICAL INTERNA 90º RETA 200MM, GF, CHAPA #16</t>
  </si>
  <si>
    <t>TAMPA DE ENCAIXE CURVA VERTICAL INTERNA 90º RETA 400MM, GF, CHAPA #16</t>
  </si>
  <si>
    <t>TÊ HORIZONTAL 90º SEMI-PESADO 100X200X3000MM, ABAS EXTERNAS, GF, #12/14, LONGARINA "U" ALTURA 100MM CHAPA #12, TRAVESSAS DE PERFILADOS 38X19MM CHAPA #14 SOLDADAS À LONGARINA, DISTÂNCIA ENTRE TRAVESSAS 250MM.</t>
  </si>
  <si>
    <t>TAMPA DE ENCAIXE TÊ HORIZONTAL 90º RETA 200MM, GF, CHAPA #16</t>
  </si>
  <si>
    <t>TAMPA DE ENCAIXE TÊ HORIZONTAL 90º RETA 400MM, GF, CHAPA #16</t>
  </si>
  <si>
    <t>CURVA HORIZONTAL 90º SEMI-PESADO 100X200MM, ABAS EXTERNAS, GF, #12/14, LONGARINA "U" ALTURA 100MM CHAPA #12, TRAVESSAS DE PERFILADOS 38X19MM CHAPA #14 SOLDADAS À LONGARINA, DISTÂNCIA ENTRE TRAVESSAS 250MM.</t>
  </si>
  <si>
    <t>CURVA HORIZONTAL 90º SEMI-PESADO 100X4000MM, ABAS EXTERNAS, GF, #12/14, LONGARINA "U" ALTURA 100MM CHAPA #12, TRAVESSAS DE PERFILADOS 38X19MM CHAPA #14 SOLDADAS À LONGARINA, DISTÂNCIA ENTRE TRAVESSAS 250MM.</t>
  </si>
  <si>
    <t>CURVA VERTICAL EXTERNA 90º SEMI-PESADO 100X200MM, ABAS EXTERNAS, GF, #12/14, LONGARINA "U" ALTURA 100MM CHAPA #12, TRAVESSAS DE PERFILADOS 38X19MM CHAPA #14 SOLDADAS À LONGARINA, DISTÂNCIA ENTRE TRAVESSAS 250MM.</t>
  </si>
  <si>
    <t>CURVA VERTICAL EXTERNA 90º SEMI-PESADO 100X400MM, ABAS EXTERNAS, GF, #12/14, LONGARINA "U" ALTURA 100MM CHAPA #12, TRAVESSAS DE PERFILADOS 38X19MM CHAPA #14 SOLDADAS À LONGARINA, DISTÂNCIA ENTRE TRAVESSAS 250MM.</t>
  </si>
  <si>
    <t>CURVA VERTICAL INTERNA 90º SEMI-PESADO 100X200MM, ABAS EXTERNAS, GF, #12/14, LONGARINA "U" ALTURA 100MM CHAPA #12, TRAVESSAS DE PERFILADOS 38X19MM CHAPA #14 SOLDADAS À LONGARINA, DISTÂNCIA ENTRE TRAVESSAS 250MM.</t>
  </si>
  <si>
    <t>CURVA VERTICAL INTERNA 90º SEMI-PESADO 100X400MM, ABAS EXTERNAS, GF, #12/14, LONGARINA "U" ALTURA 100MM CHAPA #12, TRAVESSAS DE PERFILADOS 38X19MM CHAPA #14 SOLDADAS À LONGARINA, DISTÂNCIA ENTRE TRAVESSAS 250MM.</t>
  </si>
  <si>
    <t>TÊ HORIZONTAL 90º SEMI-PESADO 100X400MM, ABAS EXTERNAS, GF, #12/14, LONGARINA "U" ALTURA 100MM CHAPA #12, TRAVESSAS DE PERFILADOS 38X19MM CHAPA #14 SOLDADAS À LONGARINA, DISTÂNCIA ENTRE TRAVESSAS 250MM.</t>
  </si>
  <si>
    <t>LEITO 200</t>
  </si>
  <si>
    <t>LEITO 400</t>
  </si>
  <si>
    <t>JUNÇÃO SIMPLES 152X90MM C/ 8 FUROS BILONGADOS, DIMENSÕES 90(ALTURA) X 152(COMPRIMENTO)MM, GF, CHAPA #12</t>
  </si>
  <si>
    <t xml:space="preserve">PARAFUSO CABEÇA LENTILHA AUTO-TRAVANTE 3/8"X3/4", FABRICADO EM AÇO CARBONO ACABAMENTO ZINCADO BRANCO </t>
  </si>
  <si>
    <t>PORCA SEXTAVADA 3/8", FABRICADA EM AÇO CARBONO ACABAMENTO ZINCADO BRANCO</t>
  </si>
  <si>
    <t>ARRUELA LISA 3/8", FABRICADA EM AÇO CARBONO ACABAMENTO ZINCADO BRANCO</t>
  </si>
  <si>
    <t>PRESILHA PARA TAMPA DE ENCAIXE LEITO, LONGARINA 100MM X ABA 19MM, AÇO CARBONO, GF</t>
  </si>
  <si>
    <t>PARAFUSO CABEÇA REDONDA/LENTILHA FENDA 1/4"X1/2", FABRICADO EM AÇO CARBONO ACABAMENTO ZINCADO BRANCO</t>
  </si>
  <si>
    <t>PORCA SEXTAVADA 1/4", FABRICADA EM AÇO CARBONO ACABAMENTO ZINCADO BRANCO</t>
  </si>
  <si>
    <t>ARRUELA LISA 1/4", FABRICADA EM AÇO CARBONO ACABAMENTO ZINCADO BRANCO</t>
  </si>
  <si>
    <t>ARRUELA DE PRESSÃO 1/4", FABRICADA EM AÇO CARBONO ACABAMENTO ZINCADO BRANCO</t>
  </si>
  <si>
    <t>ACESS. LEITOS</t>
  </si>
  <si>
    <t>GRAPA FIXA PARA LEITO, FURO 3/8"</t>
  </si>
  <si>
    <t>LEITOS E ACESSÓRIOS</t>
  </si>
  <si>
    <t>ELETROCALHAS E ACESSÓRIOS</t>
  </si>
  <si>
    <t>ELETROCALHA</t>
  </si>
  <si>
    <t>TALA PARA ELETROCALHA PERFURADA 100X150MM, GF, CHAPA #16</t>
  </si>
  <si>
    <t>ELETROCALHA PERFURADA 50X100X3000MM, PERFIL "U", GF, CHAPA #18</t>
  </si>
  <si>
    <t>TAMPA DE ENCAIXE RETA ELETROCALHA 100X3000MM, GF, CHAPA #18</t>
  </si>
  <si>
    <t>ELETROCALHA PERFURADA 100X100X3000MM, PERFIL "U", GF, CHAPA #18</t>
  </si>
  <si>
    <t>ELETROCALHA PERFURADA 200X100X3000MM, PERFIL "U", GF, CHAPA #18</t>
  </si>
  <si>
    <t>TAMPA DE ENCAIXE RETA ELETROCALHA 200X3000MM, GF, CHAPA #18</t>
  </si>
  <si>
    <t>ELETROCALHA PERFURADA 300X100X3000MM, PERFIL "U", GF, CHAPA #18</t>
  </si>
  <si>
    <t>TAMPA DE ENCAIXE RETA ELETROCALHA 300X3000MM, GF, CHAPA #18</t>
  </si>
  <si>
    <t>ELETROCALHA PERFURADA 400X100X3000MM, PERFIL "U", GF, CHAPA #18</t>
  </si>
  <si>
    <t>TAMPA DE ENCAIXE RETA ELETROCALHA 400X3000MM, GF, CHAPA #18</t>
  </si>
  <si>
    <t>CURVA HORIZONTAL 90º ELETROCALHA PERFURADA 50X100MM, GF, CHAPA #18</t>
  </si>
  <si>
    <t>TAMPA ENCAIXE CURVA HORIZONTAL 90º ELETROCALHA PERFURADA 50X100MM, GF, CHAPA #18</t>
  </si>
  <si>
    <t>CURVA VERTICAL EXTERNA 90º ELETROCALHA PERFURADA 50X100MM, GF, CHAPA #18</t>
  </si>
  <si>
    <t>TAMPA ENCAIXE CURVA VERTICAL EXTERNA 90º  ELETROCALHA PERFURADA 50X100MM, GF, CHAPA #18</t>
  </si>
  <si>
    <t>CURVA VERTICAL INTERNA 90º ELETROCALHA PERFURADA 50X100MM, GF, CHAPA #18</t>
  </si>
  <si>
    <t>TAMPA ENCAIXE CURVA INTERNA EXTERNA 90º  ELETROCALHA PERFURADA 50X100MM, GF, CHAPA #18</t>
  </si>
  <si>
    <t>CURVA HORIZONTAL 90º ELETROCALHA PERFURADA 100X100MM, GF, CHAPA #18</t>
  </si>
  <si>
    <t>TAMPA ENCAIXE CURVA HORIZONTAL 90º ELETROCALHA PERFURADA 100X100MM, GF, CHAPA #18</t>
  </si>
  <si>
    <t>CURVA VERTICAL EXTERNA 90º ELETROCALHA PERFURADA 100X100MM, GF, CHAPA #18</t>
  </si>
  <si>
    <t>TAMPA ENCAIXE CURVA VERTICAL EXTERNA 90º  ELETROCALHA PERFURADA 100X100MM, GF, CHAPA #18</t>
  </si>
  <si>
    <t>CURVA VERTICAL INTERNA 90º ELETROCALHA PERFURADA 100X100MM, GF, CHAPA #18</t>
  </si>
  <si>
    <t>TAMPA ENCAIXE CURVA INTERNA EXTERNA 90º  ELETROCALHA PERFURADA 100X100MM, GF, CHAPA #18</t>
  </si>
  <si>
    <t>CURVA HORIZONTAL 90º ELETROCALHA PERFURADA 200X100MM, GF, CHAPA #18</t>
  </si>
  <si>
    <t>TAMPA ENCAIXE CURVA HORIZONTAL 90º ELETROCALHA PERFURADA 200X100MM, GF, CHAPA #18</t>
  </si>
  <si>
    <t>CURVA VERTICAL EXTERNA 90º ELETROCALHA PERFURADA 200X100MM, GF, CHAPA #18</t>
  </si>
  <si>
    <t>TAMPA ENCAIXE CURVA VERTICAL EXTERNA 90º  ELETROCALHA PERFURADA 200X100MM, GF, CHAPA #18</t>
  </si>
  <si>
    <t>CURVA VERTICAL INTERNA 90º ELETROCALHA PERFURADA 200X100MM, GF, CHAPA #18</t>
  </si>
  <si>
    <t>TAMPA ENCAIXE CURVA INTERNA EXTERNA 90º  ELETROCALHA PERFURADA 200X100MM, GF, CHAPA #18</t>
  </si>
  <si>
    <t>CURVA HORIZONTAL 90º ELETROCALHA PERFURADA 400X100MM, GF, CHAPA #18</t>
  </si>
  <si>
    <t>TAMPA ENCAIXE CURVA HORIZONTAL 90º ELETROCALHA PERFURADA 400X100MM, GF, CHAPA #18</t>
  </si>
  <si>
    <t>CURVA VERTICAL EXTERNA 90º ELETROCALHA PERFURADA 400X100MM, GF, CHAPA #18</t>
  </si>
  <si>
    <t>TAMPA ENCAIXE CURVA VERTICAL EXTERNA 90º  ELETROCALHA PERFURADA 400X100MM, GF, CHAPA #18</t>
  </si>
  <si>
    <t>CURVA VERTICAL INTERNA 90º ELETROCALHA PERFURADA 400X100MM, GF, CHAPA #18</t>
  </si>
  <si>
    <t>TAMPA ENCAIXE CURVA INTERNA EXTERNA 90º  ELETROCALHA PERFURADA 400X100MM, GF, CHAPA #18</t>
  </si>
  <si>
    <t>PARAFUSO CABEÇA LENTILHA AUTO-TRAVANTE 1/4"X3/4", FABRICADO EM AÇO CARBONO ACABAMENTO ZINCADO BRANCO</t>
  </si>
  <si>
    <t>ACESS. ELETROCALHA</t>
  </si>
  <si>
    <t>PERFILADO</t>
  </si>
  <si>
    <t>PARAFUSO CABEÇA SEXTAVADA 3/8"X3/4", FABRICADO EM AÇO CARBONO ACABAMENTO ZINCADO BRANCO</t>
  </si>
  <si>
    <t>PERFILADOS E ACESSÓRIOS</t>
  </si>
  <si>
    <t>TAMPA DE ENCAIXE RETA PARA PERFILADO 38MM(LARGURA) X 3000MM, CHAPA #20, GF</t>
  </si>
  <si>
    <t>EMENDA INTERNA X P/ PERFILADO 38MMX38MM, CHAPA #20, GF</t>
  </si>
  <si>
    <t>PERFILADO PERFURADO 38 X 38 X 3000MM, CHAPA #20, GF</t>
  </si>
  <si>
    <t>CONJUNTO E ACESSÓRIOS</t>
  </si>
  <si>
    <t>WIREFLEX</t>
  </si>
  <si>
    <t>ELETRODUTOS</t>
  </si>
  <si>
    <t>ELETRODUTO 2" X 3000MM, GF, NBR 5598, ROSCA BSP, COM 1 (UMA) LUVA NA EXTREMIDADE</t>
  </si>
  <si>
    <t>ELETRODUTO</t>
  </si>
  <si>
    <t>ELETRODUTO 1" X 3000MM, GF, NBR 5598, ROSCA BSP, COM 1 (UMA) LUVA NA EXTREMIDADE</t>
  </si>
  <si>
    <t>LUVA 2", GF, NBR 5598, ROSCA BSP</t>
  </si>
  <si>
    <t>CURVA 90º, 2", GF, NBR 5598, ROSCA BSP</t>
  </si>
  <si>
    <t>CURVA 90º, 1", GF, NBR 5598, ROSCA BSP</t>
  </si>
  <si>
    <t>ELETRODUTO 3/4" X 3000MM, GF, NBR 5598, ROSCA BSP, COM 1 (UMA) LUVA NA EXTREMIDADE</t>
  </si>
  <si>
    <t>LUVA 1", GF, NBR 5598, ROSCA BSP</t>
  </si>
  <si>
    <t>LUVA 3/4", GF, NBR 5598, ROSCA BSP</t>
  </si>
  <si>
    <t>ABRAÇADEIRA TIPO "U", 2" X 5/16", ZINCADO BRILHANTE, FORNECIDO COM 2 PORCAS E 2 ARRUELAS</t>
  </si>
  <si>
    <t>ABRAÇADEIRA TIPO "U", 1" X 1/4", ZINCADO BRILHANTE, FORNECIDO COM 2 PORCAS E 2 ARRUELAS</t>
  </si>
  <si>
    <t>ABRAÇADEIRA TIPO "U", 3/4" X 1/4", ZINCADO BRILHANTE, FORNECIDO COM 2 PORCAS E 2 ARRUELAS</t>
  </si>
  <si>
    <t>CURVA 90º, 3/4", GF, NBR 5598, ROSCA BSP</t>
  </si>
  <si>
    <t>LOSADA</t>
  </si>
  <si>
    <t>CONJUNTO CONDULETES 2"</t>
  </si>
  <si>
    <t>CONJUNTO CONDULETES 1"</t>
  </si>
  <si>
    <t>CONJUNTO CONDULETES 3/4"</t>
  </si>
  <si>
    <t>CONDULETES</t>
  </si>
  <si>
    <t>ACESS. ELETRODUTO</t>
  </si>
  <si>
    <t>HAWSER</t>
  </si>
  <si>
    <t>DAISA</t>
  </si>
  <si>
    <t>CONJUNTO INFRAESTRUTURA ELETROMECÂNICA</t>
  </si>
  <si>
    <t>VB</t>
  </si>
  <si>
    <t>MÃO DE OBRA DIRETA</t>
  </si>
  <si>
    <t>Instalação Eletromecânica de Eletrocalhas e Acessórios</t>
  </si>
  <si>
    <t>Instalação Eletromecânica de Perfilados e Acessórios</t>
  </si>
  <si>
    <t>Instalação Eletromecânica de Eletroduto e Acessórios</t>
  </si>
  <si>
    <t>INSTALAÇÃO ELETROMECÂNICA</t>
  </si>
  <si>
    <t>Instalação de Transmissores e Termoresistências</t>
  </si>
  <si>
    <t>Tomadas de Impulso</t>
  </si>
  <si>
    <t>Conexão de Todos os cabos elétricos</t>
  </si>
  <si>
    <t>Acabamento e Configuração (não estamos considerando a calibração)</t>
  </si>
  <si>
    <t>INSTRUMENTAÇÃO</t>
  </si>
  <si>
    <t>MATERIAIS INSTRUMENTAÇÃO</t>
  </si>
  <si>
    <t>TUBO AÇO INOXIDÁVEL AISI 304, DIÂMETRO EXTERNO(OD) 1/2"(12,70MM) X 6000MM, A269, SEM COSTURA, ACABAMENTO DECAPADO</t>
  </si>
  <si>
    <t>TUBING</t>
  </si>
  <si>
    <t>FLOW</t>
  </si>
  <si>
    <t>CONEXÕES ANILHADAS</t>
  </si>
  <si>
    <t>ANILHAS</t>
  </si>
  <si>
    <t>POTE DE SELAGEM</t>
  </si>
  <si>
    <t>VÁLVULA DE BLOQUEIO TIPO AGULHA 1/2" ROSCA NPT EM AÇO INOXIDÁVEL AISI 316</t>
  </si>
  <si>
    <t>VÁLVULAS</t>
  </si>
  <si>
    <t xml:space="preserve">MATERIAIS DE ACABAMENTO </t>
  </si>
  <si>
    <t>MISCELÂNEAS</t>
  </si>
  <si>
    <t>ILUMINAÇÃO</t>
  </si>
  <si>
    <t>MATERIAIS ILUMINAÇÃO</t>
  </si>
  <si>
    <r>
      <t xml:space="preserve">Projetor LED, com alça de ajuste para angulação, </t>
    </r>
    <r>
      <rPr>
        <b/>
        <sz val="9"/>
        <color theme="1"/>
        <rFont val="Arial"/>
        <family val="2"/>
      </rPr>
      <t>36W</t>
    </r>
    <r>
      <rPr>
        <sz val="9"/>
        <color theme="1"/>
        <rFont val="Arial"/>
        <family val="2"/>
      </rPr>
      <t xml:space="preserve">, </t>
    </r>
    <r>
      <rPr>
        <b/>
        <sz val="9"/>
        <color theme="1"/>
        <rFont val="Arial"/>
        <family val="2"/>
      </rPr>
      <t>5000 Lumens</t>
    </r>
    <r>
      <rPr>
        <sz val="9"/>
        <color theme="1"/>
        <rFont val="Arial"/>
        <family val="2"/>
      </rPr>
      <t xml:space="preserve">, Facho </t>
    </r>
    <r>
      <rPr>
        <b/>
        <sz val="9"/>
        <color theme="1"/>
        <rFont val="Arial"/>
        <family val="2"/>
      </rPr>
      <t>90°</t>
    </r>
    <r>
      <rPr>
        <sz val="9"/>
        <color theme="1"/>
        <rFont val="Arial"/>
        <family val="2"/>
      </rPr>
      <t xml:space="preserve">, pintura epóxi Cinza Munsell N6.5, TGVP, fornecido com prensa cabo, </t>
    </r>
    <r>
      <rPr>
        <b/>
        <sz val="9"/>
        <color theme="1"/>
        <rFont val="Arial"/>
        <family val="2"/>
      </rPr>
      <t>não dimerizável</t>
    </r>
  </si>
  <si>
    <r>
      <t xml:space="preserve">Projetor LED, com alça de ajuste para angulação, </t>
    </r>
    <r>
      <rPr>
        <b/>
        <sz val="9"/>
        <color theme="1"/>
        <rFont val="Arial"/>
        <family val="2"/>
      </rPr>
      <t>120W</t>
    </r>
    <r>
      <rPr>
        <sz val="9"/>
        <color theme="1"/>
        <rFont val="Arial"/>
        <family val="2"/>
      </rPr>
      <t xml:space="preserve">, </t>
    </r>
    <r>
      <rPr>
        <b/>
        <sz val="9"/>
        <color theme="1"/>
        <rFont val="Arial"/>
        <family val="2"/>
      </rPr>
      <t>18260 Lumens</t>
    </r>
    <r>
      <rPr>
        <sz val="9"/>
        <color theme="1"/>
        <rFont val="Arial"/>
        <family val="2"/>
      </rPr>
      <t xml:space="preserve">, Facho </t>
    </r>
    <r>
      <rPr>
        <b/>
        <sz val="9"/>
        <color theme="1"/>
        <rFont val="Arial"/>
        <family val="2"/>
      </rPr>
      <t>90°</t>
    </r>
    <r>
      <rPr>
        <sz val="9"/>
        <color theme="1"/>
        <rFont val="Arial"/>
        <family val="2"/>
      </rPr>
      <t xml:space="preserve">, pintura epóxi Cinza Munsell N6.5, TGVP, fornecido com prensa cabo, </t>
    </r>
    <r>
      <rPr>
        <b/>
        <sz val="9"/>
        <color theme="1"/>
        <rFont val="Arial"/>
        <family val="2"/>
      </rPr>
      <t>não dimerizável</t>
    </r>
  </si>
  <si>
    <r>
      <t xml:space="preserve">Projetor LED, com alça de ajuste para angulação, </t>
    </r>
    <r>
      <rPr>
        <b/>
        <sz val="9"/>
        <color theme="1"/>
        <rFont val="Arial"/>
        <family val="2"/>
      </rPr>
      <t>250W</t>
    </r>
    <r>
      <rPr>
        <sz val="9"/>
        <color theme="1"/>
        <rFont val="Arial"/>
        <family val="2"/>
      </rPr>
      <t xml:space="preserve">, </t>
    </r>
    <r>
      <rPr>
        <b/>
        <sz val="9"/>
        <color theme="1"/>
        <rFont val="Arial"/>
        <family val="2"/>
      </rPr>
      <t>37550 Lumens</t>
    </r>
    <r>
      <rPr>
        <sz val="9"/>
        <color theme="1"/>
        <rFont val="Arial"/>
        <family val="2"/>
      </rPr>
      <t xml:space="preserve">, Facho </t>
    </r>
    <r>
      <rPr>
        <b/>
        <sz val="9"/>
        <color theme="1"/>
        <rFont val="Arial"/>
        <family val="2"/>
      </rPr>
      <t>90°</t>
    </r>
    <r>
      <rPr>
        <sz val="9"/>
        <color theme="1"/>
        <rFont val="Arial"/>
        <family val="2"/>
      </rPr>
      <t xml:space="preserve">, pintura epóxi Cinza Munsell N6.5, TGVP, fornecido com prensa cabo, </t>
    </r>
    <r>
      <rPr>
        <b/>
        <sz val="9"/>
        <color theme="1"/>
        <rFont val="Arial"/>
        <family val="2"/>
      </rPr>
      <t>não dimerizável</t>
    </r>
  </si>
  <si>
    <t>Postes metálicos curvos simples com altura útil de oito (06) metros, galvanizado a fogo, conexão à luminária Ø2" - Arruamento</t>
  </si>
  <si>
    <t>Luminária LED, Pública, 100W, IP66, 85~265Vca, conexão ao poste de Ø2", Branca Neutra (5000~6000K), Fluxo mínimo de ~10.000 lumens</t>
  </si>
  <si>
    <t>PROJETOR LED, COM ALÇA DE AJUSTE PARA ANGULAÇÃO, 36W, 5000 LUMENS, FACHO 90°, PINTURA EPÓXI CINZA MUNSELL N6.5, TGVP, FORNECIDO COM PRENSA CABO, NÃO DIMERIZÁVEL</t>
  </si>
  <si>
    <t>PROJETOR LED, COM ALÇA DE AJUSTE PARA ANGULAÇÃO, 120W, 18260 LUMENS, FACHO 90°, PINTURA EPÓXI CINZA MUNSELL N6.5, TGVP, FORNECIDO COM PRENSA CABO, NÃO DIMERIZÁVEL</t>
  </si>
  <si>
    <t>PROJETOR LED, COM ALÇA DE AJUSTE PARA ANGULAÇÃO, 250W, 37550 LUMENS, FACHO 90°, PINTURA EPÓXI CINZA MUNSELL N6.5, TGVP, FORNECIDO COM PRENSA CABO, NÃO DIMERIZÁVEL</t>
  </si>
  <si>
    <t>PROJETOR</t>
  </si>
  <si>
    <r>
      <t xml:space="preserve">Bloco autônomo de iluminação de emergência, </t>
    </r>
    <r>
      <rPr>
        <b/>
        <sz val="9"/>
        <color theme="1"/>
        <rFont val="Arial"/>
        <family val="2"/>
      </rPr>
      <t>IP-65</t>
    </r>
    <r>
      <rPr>
        <sz val="9"/>
        <color theme="1"/>
        <rFont val="Arial"/>
        <family val="2"/>
      </rPr>
      <t>, com dois projetores de LED de 2200 lumens cada, e autonomia de 2 horas, Bivolt, 100~240Vca</t>
    </r>
  </si>
  <si>
    <t>BLOCO AUTÔNOMO DE ILUMINAÇÃO DE EMERGÊNCIA, IP-65, COM DOIS PROJETORES DE LED DE 2200 LUMENS CADA, E AUTONOMIA DE 2 HORAS, BIVOLT, 100~240VCA</t>
  </si>
  <si>
    <t>BLOCO AUTÔNOMO</t>
  </si>
  <si>
    <t>FORTLIGHT</t>
  </si>
  <si>
    <t>AUREON</t>
  </si>
  <si>
    <t>MISCELÂNEAS DE MONTAGEM ILLUMINAÇÃO</t>
  </si>
  <si>
    <t>Passagem de Fibra Óptica</t>
  </si>
  <si>
    <t>Serviço de Fusões de Fibra Óptica</t>
  </si>
  <si>
    <t>Acabamentos e Identificações</t>
  </si>
  <si>
    <t>INSTALAÇÃO FIBRA ÓPTICA</t>
  </si>
  <si>
    <t>FIBRA ÓPTICA</t>
  </si>
  <si>
    <t>MATERIAIS FIBRA ÓPTICA</t>
  </si>
  <si>
    <t>CABO ÓPTICO, MULTIMODO 50/125MICRA, AR OUTDOOR, 6 VIAS</t>
  </si>
  <si>
    <t>FUSÕES</t>
  </si>
  <si>
    <t>CORDÃO OPTICO</t>
  </si>
  <si>
    <t>MISCELÂNEAS DE MONTAGEM FIBRA ÓPTICA</t>
  </si>
  <si>
    <t>Passagem de Cabos de Potência</t>
  </si>
  <si>
    <t>Passagem de Cabos de Iluminação</t>
  </si>
  <si>
    <t>Passagem de Cabos de Comando</t>
  </si>
  <si>
    <t>Passagem de Cabos de Instrumentação e SDI</t>
  </si>
  <si>
    <t>Testes de Cabos</t>
  </si>
  <si>
    <t>Acabamento e Ligações</t>
  </si>
  <si>
    <t>DISTRIBUIÇÃO EIA</t>
  </si>
  <si>
    <t>MATERIAIS MISCELÂNEAS DE CONEXÃO E ACABAMENTO</t>
  </si>
  <si>
    <t>FIRE-STOP COM SERVIÇOS</t>
  </si>
  <si>
    <t>FIRE-STOP</t>
  </si>
  <si>
    <t>CANTONEIRA DE ABAS IGUAIS 1.1/2" X 1.1/2" X 3/16" X 6000MM</t>
  </si>
  <si>
    <t>GERDAU</t>
  </si>
  <si>
    <t>CANTONEIRA</t>
  </si>
  <si>
    <t>Painel para Tomadas em Campo, sendo:
1 Painel em Aço Carbono, IP54, com dimensões aproximadas de 600x500x250 (AxLxP)
-1 TOMADA 3P+T 32A, 220V, AZUL - 9H - Embutir - IP44
-1 TOMADA  2P+T 16A, 220V, AZUL - 6H - Embutir - IP44
-1 TOMADA 3P+T 32A, 440V, VERMELHA - 6H - Embutir - IP44
-1 DISJUNTOR 16A, BIPOLAR (Interno ao Painel)
-1 DISJUNTOR 32A, TRIPOLAR (Interno ao Painel)
-1 DISJUNTOR 32A, TRIPOLAR (Interno ao Painel)
-12 BORNES 16mm² (Interno ao Painel)
-1 BARRA TERRA (Interno ao Painel)
-4 PÇs. PRENSA CABO Ø1"</t>
  </si>
  <si>
    <t>QDT</t>
  </si>
  <si>
    <t>QUADROS</t>
  </si>
  <si>
    <t>COMISSIONAMENTO E STARTUP</t>
  </si>
  <si>
    <t>EQUIPE INDIRETA DE CAMPO</t>
  </si>
  <si>
    <t>CO</t>
  </si>
  <si>
    <t>ENC</t>
  </si>
  <si>
    <t>PL</t>
  </si>
  <si>
    <t>COORDENAÇÃO (VISITA MENSAL)</t>
  </si>
  <si>
    <t>ENCARREGADO DE OBRA</t>
  </si>
  <si>
    <t>ALM/ADM</t>
  </si>
  <si>
    <t>TS</t>
  </si>
  <si>
    <t>PLANEJAMENTO DE EXECUÇÃO</t>
  </si>
  <si>
    <t>SEGURANÇA NO TRABALHO</t>
  </si>
  <si>
    <t>ALMOXARIFE E ADMINISTRAÇÃO</t>
  </si>
  <si>
    <t>MONTADOR</t>
  </si>
  <si>
    <t>AUXILIAR</t>
  </si>
  <si>
    <t>FORÇA E CONTROLE</t>
  </si>
  <si>
    <t>INSTRUMENTISTA</t>
  </si>
  <si>
    <t>ESPECIALISTA EM ELÉTRICA</t>
  </si>
  <si>
    <t>HORAS</t>
  </si>
  <si>
    <t>TOTAL DE HORAS</t>
  </si>
  <si>
    <t>MÃO DE OBRA INDIRETA</t>
  </si>
  <si>
    <t>COORDENADOR DE OBRAS (VISITA MENSAL)</t>
  </si>
  <si>
    <t>ENCARREGADO DE INSTALAÇÕES</t>
  </si>
  <si>
    <t>PLANEJADOR DE OBRAS</t>
  </si>
  <si>
    <t>TÉCNICO SEGURANÇA DO TRABALHO</t>
  </si>
  <si>
    <t>MONTAGEM</t>
  </si>
  <si>
    <t>AS-BUILT DE PROJETOS E DOCUMENTAÇÕES</t>
  </si>
  <si>
    <t>SUPERVISÃO DE MONTAGEM</t>
  </si>
  <si>
    <t>ADMINISTRATIVO E ALMOXARIFADO</t>
  </si>
  <si>
    <t>SEGURANÇA DO TRABALHO</t>
  </si>
  <si>
    <t>PLANEJADOR</t>
  </si>
  <si>
    <t>EQUIPAMENTOS E MÁQUINAS</t>
  </si>
  <si>
    <t>UNIDADE</t>
  </si>
  <si>
    <t>QTDE</t>
  </si>
  <si>
    <t>MUNCK (APLICAÇÃO EM MOVIMENTAÇÃO DE MATERIAIS)</t>
  </si>
  <si>
    <t>PLATAFORMA ELEVATÓRIA 15 MTS</t>
  </si>
  <si>
    <t>CONTRATADA</t>
  </si>
  <si>
    <t>FAT. DIRETO</t>
  </si>
  <si>
    <t>SEM</t>
  </si>
  <si>
    <t>TERRÔMETRO</t>
  </si>
  <si>
    <t>MEGGER</t>
  </si>
  <si>
    <t>MÊS</t>
  </si>
  <si>
    <t>HIPOT</t>
  </si>
  <si>
    <t>CALIBRADOR DE INSTRUMENTOS</t>
  </si>
  <si>
    <t>PIPE SHOP</t>
  </si>
  <si>
    <t>MALA HEXAFÁSICA (CALIBRAÇÃO DE RELÉS)</t>
  </si>
  <si>
    <t>MÁQUINAS E EQUIPAMENTOS</t>
  </si>
  <si>
    <t>PLATAFORMA ELEVATÓRIA 15MTS - 2 MESES</t>
  </si>
  <si>
    <t>PLATAFORMA ELEVATÓRIA 25MTS - 1 MÊS</t>
  </si>
  <si>
    <t>MATERIAIS E CANTEIRO</t>
  </si>
  <si>
    <t>TRANSPORTE DE MATERIAIS E CANTEIRO</t>
  </si>
  <si>
    <t>ATIVIDADE</t>
  </si>
  <si>
    <t>LOCAL DE PRESTAÇÃO</t>
  </si>
  <si>
    <t>RETENÇÃO INSS</t>
  </si>
  <si>
    <t>VALOR TOTAL</t>
  </si>
  <si>
    <t>SERV.</t>
  </si>
  <si>
    <t>SERVIÇO DE ENGENHARIA</t>
  </si>
  <si>
    <t>14.06</t>
  </si>
  <si>
    <t>MAQUINARIOS E LOGÍSTICAS</t>
  </si>
  <si>
    <t>PAULÍNIA / SP</t>
  </si>
  <si>
    <t>SERTÃOZINHO / SP</t>
  </si>
  <si>
    <t>ENGENHARIA</t>
  </si>
  <si>
    <t>SERVIÇOS TÉCNICOS E GESTÃO</t>
  </si>
  <si>
    <t>SERVIÇOS DE INSTALAÇÃO E SUPERVISÃO</t>
  </si>
  <si>
    <t>MAQUINÁRIO E LOGISTICAS</t>
  </si>
  <si>
    <t>14.05</t>
  </si>
  <si>
    <t>SERVIÇO DE INSTALAÇÃO/ SUPERVISÃO</t>
  </si>
  <si>
    <t>DESPESAS OPERACIONAIS</t>
  </si>
  <si>
    <t>PIS/ COFINS</t>
  </si>
  <si>
    <t>FATURAMENTO SERVIÇOS</t>
  </si>
  <si>
    <t>IPI A INCLUIR</t>
  </si>
  <si>
    <t>UN.</t>
  </si>
  <si>
    <t>SISTEMA DE DISTRIBUIÇÃO DE ENERGIA</t>
  </si>
  <si>
    <t xml:space="preserve">TOTAL MATERIAIS </t>
  </si>
  <si>
    <t>ADM FAT DIRETO</t>
  </si>
  <si>
    <t>TOTAL FATURAMENTO DIRETO</t>
  </si>
  <si>
    <t>TOTAL MATERIAIS</t>
  </si>
  <si>
    <t>VALOR TOTAL DO INVESTIMENTO</t>
  </si>
  <si>
    <t>MATERIAIS SPDA</t>
  </si>
  <si>
    <t>PMI</t>
  </si>
  <si>
    <t>PAINEL MODULO DE INTERFACE INCÊNDIO (KIDDE)</t>
  </si>
  <si>
    <t>w</t>
  </si>
  <si>
    <t>6 X 1,50MM² 1KV SB, CABO DE COMANDO/CONTROLE VEIAS NUMERADAS, SEM BLINDAGEM, 1KV, CLASSE 5, ISOLAÇÃO E COBERTURA PVC 70ºC PRETO</t>
  </si>
  <si>
    <t>CABO DE COBRE NÚ, MEIO DURO, 70MM², NORMA DE FABRICAÇÃO ABNT NBR 6524, FORMAÇÃO 7 FIOS, DIÂMETRO DO FIO 3,0MM, DIÂMETRO EXTERNO 9,0MM</t>
  </si>
  <si>
    <t>CABO DE COBRE NÚ, MEIO DURO, 35MM², NORMA DE FABRICAÇÃO ABNT NBR 6524, FORMAÇÃO 7 FIOS, DIÂMETRO DO FIO 4,12MM</t>
  </si>
  <si>
    <t>CABO DE COBRE NÚ, MEIO DURO, 16MM², NORMA DE FABRICAÇÃO ABNT NBR 6524, FORMAÇÃO 7 FIOS, DIÂMETRO DO FIO 4,12MM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</si>
</sst>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"/>
    <numFmt numFmtId="165" formatCode="#,##0.00;[Red]\-#,##0.00;&quot;&quot;"/>
    <numFmt numFmtId="166" formatCode="#,##0.00\ ;&quot; -&quot;#,##0.00\ ;&quot;&quot;;&quot;&quot;"/>
    <numFmt numFmtId="167" formatCode="00;&quot;&quot;;&quot;&quot;"/>
    <numFmt numFmtId="168" formatCode="&quot;Cliente     : &quot;@"/>
    <numFmt numFmtId="169" formatCode="&quot;Descrição : &quot;@"/>
    <numFmt numFmtId="170" formatCode="[$R$-416]\ #,##0.00;[Red]\-[$R$-416]\ #,##0.00"/>
    <numFmt numFmtId="171" formatCode="_-[$R$-416]\ * #,##0.00_-;\-[$R$-416]\ * #,##0.00_-;_-[$R$-416]\ * &quot;-&quot;??_-;_-@_-"/>
    <numFmt numFmtId="172" formatCode="&quot;Código     : &quot;@"/>
    <numFmt numFmtId="173" formatCode="00.0;&quot;&quot;;&quot;&quot;"/>
    <numFmt numFmtId="174" formatCode="_(&quot;R$ &quot;* #,##0.00_);_(&quot;R$ &quot;* \(#,##0.00\);_(&quot;R$ &quot;* &quot;-&quot;??_);_(@_)"/>
    <numFmt numFmtId="175" formatCode="_ * #,##0.00_ ;_ * \-#,##0.00_ ;_ * &quot;-&quot;??_ ;_ @_ "/>
    <numFmt numFmtId="176" formatCode="0.00000"/>
    <numFmt numFmtId="177" formatCode="_-&quot;R$&quot;* #,##0.00_-;\-&quot;R$&quot;* #,##0.00_-;_-&quot;R$&quot;* &quot;-&quot;??_-;_-@_-"/>
    <numFmt numFmtId="178" formatCode="_-[$R$-416]\ * #,##0.000_-;\-[$R$-416]\ * #,##0.000_-;_-[$R$-416]\ * &quot;-&quot;???_-;_-@_-"/>
    <numFmt numFmtId="179" formatCode="0.000%"/>
    <numFmt numFmtId="180" formatCode="0.0%"/>
    <numFmt numFmtId="181" formatCode="00.00"/>
    <numFmt numFmtId="182" formatCode="#,##0.00000;[Red]\-#,##0.00000;&quot;&quot;"/>
    <numFmt numFmtId="183" formatCode="_-[$R$-416]\ * #,##0.00_-;\-[$R$-416]\ * #,##0.00_-;_-[$R$-416]\ * &quot;-&quot;???_-;_-@_-"/>
    <numFmt numFmtId="184" formatCode="&quot;R$&quot;\ #,##0.00"/>
    <numFmt numFmtId="185" formatCode="0.000000000000"/>
    <numFmt numFmtId="186" formatCode="0.0000000000000000000"/>
    <numFmt numFmtId="187" formatCode="_-* #,##0.0000000_-;\-* #,##0.0000000_-;_-* &quot;-&quot;??_-;_-@_-"/>
  </numFmts>
  <fonts count="4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rgb="FFFFFF00"/>
      <name val="Arial"/>
      <family val="2"/>
    </font>
    <font>
      <sz val="11"/>
      <color theme="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FFFFFF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10"/>
      <color rgb="FFFFFFFF"/>
      <name val="Arial"/>
      <family val="2"/>
    </font>
    <font>
      <sz val="8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D549D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D549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0D549D"/>
      </left>
      <right style="medium">
        <color rgb="FF0D549D"/>
      </right>
      <top style="medium">
        <color rgb="FF0D549D"/>
      </top>
      <bottom style="medium">
        <color rgb="FF0D549D"/>
      </bottom>
      <diagonal/>
    </border>
    <border>
      <left/>
      <right style="medium">
        <color rgb="FF0D549D"/>
      </right>
      <top style="medium">
        <color rgb="FF0D549D"/>
      </top>
      <bottom style="medium">
        <color rgb="FF0D549D"/>
      </bottom>
      <diagonal/>
    </border>
    <border>
      <left style="medium">
        <color rgb="FF0D549D"/>
      </left>
      <right style="medium">
        <color rgb="FF0D549D"/>
      </right>
      <top/>
      <bottom/>
      <diagonal/>
    </border>
    <border>
      <left/>
      <right style="medium">
        <color rgb="FF0D549D"/>
      </right>
      <top/>
      <bottom style="medium">
        <color rgb="FF0D549D"/>
      </bottom>
      <diagonal/>
    </border>
    <border>
      <left style="medium">
        <color rgb="FF0D549D"/>
      </left>
      <right style="medium">
        <color rgb="FF0D549D"/>
      </right>
      <top/>
      <bottom style="medium">
        <color rgb="FF0D549D"/>
      </bottom>
      <diagonal/>
    </border>
    <border>
      <left style="medium">
        <color rgb="FF0D549D"/>
      </left>
      <right style="medium">
        <color rgb="FF0D549D"/>
      </right>
      <top style="medium">
        <color rgb="FF0D549D"/>
      </top>
      <bottom/>
      <diagonal/>
    </border>
    <border>
      <left style="medium">
        <color rgb="FF0D549D"/>
      </left>
      <right/>
      <top/>
      <bottom/>
      <diagonal/>
    </border>
    <border>
      <left/>
      <right style="medium">
        <color rgb="FF0D549D"/>
      </right>
      <top/>
      <bottom/>
      <diagonal/>
    </border>
    <border>
      <left style="medium">
        <color rgb="FF0D549D"/>
      </left>
      <right/>
      <top style="medium">
        <color rgb="FF0D549D"/>
      </top>
      <bottom style="medium">
        <color rgb="FF0D549D"/>
      </bottom>
      <diagonal/>
    </border>
    <border>
      <left/>
      <right/>
      <top style="medium">
        <color rgb="FF0D549D"/>
      </top>
      <bottom style="medium">
        <color rgb="FF0D549D"/>
      </bottom>
      <diagonal/>
    </border>
  </borders>
  <cellStyleXfs count="49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0" borderId="0"/>
    <xf numFmtId="0" fontId="11" fillId="0" borderId="0"/>
    <xf numFmtId="174" fontId="5" fillId="0" borderId="0"/>
    <xf numFmtId="43" fontId="5" fillId="0" borderId="0" applyFont="0" applyFill="0" applyBorder="0" applyAlignment="0" applyProtection="0"/>
    <xf numFmtId="0" fontId="11" fillId="0" borderId="0"/>
    <xf numFmtId="176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5" fillId="0" borderId="0"/>
    <xf numFmtId="17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5" fillId="0" borderId="0"/>
    <xf numFmtId="0" fontId="13" fillId="0" borderId="0"/>
    <xf numFmtId="171" fontId="11" fillId="0" borderId="0" applyFont="0" applyFill="0" applyBorder="0" applyAlignment="0" applyProtection="0"/>
    <xf numFmtId="0" fontId="11" fillId="0" borderId="0"/>
    <xf numFmtId="176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177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759">
    <xf numFmtId="0" fontId="0" fillId="0" borderId="0" xfId="0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6" fillId="0" borderId="0" xfId="0" applyFont="1"/>
    <xf numFmtId="1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4" fontId="1" fillId="0" borderId="1" xfId="1" applyFont="1" applyFill="1" applyBorder="1" applyAlignment="1" applyProtection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43" fontId="6" fillId="2" borderId="0" xfId="3" applyFont="1" applyFill="1" applyAlignment="1" applyProtection="1"/>
    <xf numFmtId="0" fontId="10" fillId="0" borderId="0" xfId="0" applyFont="1" applyAlignment="1">
      <alignment horizontal="center" vertical="center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left"/>
      <protection locked="0"/>
    </xf>
    <xf numFmtId="43" fontId="6" fillId="2" borderId="0" xfId="3" applyFont="1" applyFill="1" applyAlignment="1" applyProtection="1">
      <protection locked="0"/>
    </xf>
    <xf numFmtId="10" fontId="1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vertical="center"/>
    </xf>
    <xf numFmtId="10" fontId="6" fillId="0" borderId="1" xfId="2" applyNumberFormat="1" applyFont="1" applyFill="1" applyBorder="1" applyProtection="1"/>
    <xf numFmtId="10" fontId="6" fillId="0" borderId="1" xfId="2" applyNumberFormat="1" applyFont="1" applyFill="1" applyBorder="1" applyAlignment="1" applyProtection="1">
      <alignment horizontal="right"/>
    </xf>
    <xf numFmtId="10" fontId="6" fillId="0" borderId="0" xfId="2" applyNumberFormat="1" applyFont="1" applyBorder="1" applyProtection="1"/>
    <xf numFmtId="178" fontId="6" fillId="0" borderId="0" xfId="0" applyNumberFormat="1" applyFont="1"/>
    <xf numFmtId="178" fontId="6" fillId="2" borderId="0" xfId="0" applyNumberFormat="1" applyFont="1" applyFill="1"/>
    <xf numFmtId="179" fontId="6" fillId="2" borderId="0" xfId="2" applyNumberFormat="1" applyFont="1" applyFill="1" applyBorder="1" applyProtection="1"/>
    <xf numFmtId="0" fontId="10" fillId="0" borderId="0" xfId="0" applyFont="1"/>
    <xf numFmtId="171" fontId="8" fillId="0" borderId="0" xfId="0" applyNumberFormat="1" applyFont="1"/>
    <xf numFmtId="0" fontId="6" fillId="2" borderId="16" xfId="0" applyFont="1" applyFill="1" applyBorder="1"/>
    <xf numFmtId="0" fontId="6" fillId="2" borderId="14" xfId="0" applyFont="1" applyFill="1" applyBorder="1"/>
    <xf numFmtId="0" fontId="6" fillId="0" borderId="14" xfId="0" applyFont="1" applyBorder="1"/>
    <xf numFmtId="0" fontId="6" fillId="2" borderId="15" xfId="0" applyFont="1" applyFill="1" applyBorder="1"/>
    <xf numFmtId="0" fontId="6" fillId="2" borderId="15" xfId="0" applyFont="1" applyFill="1" applyBorder="1" applyAlignment="1">
      <alignment vertical="center"/>
    </xf>
    <xf numFmtId="0" fontId="17" fillId="0" borderId="0" xfId="0" applyFont="1" applyAlignment="1">
      <alignment vertical="center" wrapText="1"/>
    </xf>
    <xf numFmtId="171" fontId="6" fillId="0" borderId="1" xfId="2" applyNumberFormat="1" applyFont="1" applyFill="1" applyBorder="1" applyProtection="1"/>
    <xf numFmtId="44" fontId="6" fillId="0" borderId="1" xfId="2" applyNumberFormat="1" applyFont="1" applyFill="1" applyBorder="1" applyProtection="1"/>
    <xf numFmtId="178" fontId="6" fillId="0" borderId="1" xfId="0" applyNumberFormat="1" applyFont="1" applyBorder="1"/>
    <xf numFmtId="10" fontId="19" fillId="0" borderId="1" xfId="2" applyNumberFormat="1" applyFont="1" applyFill="1" applyBorder="1" applyAlignment="1" applyProtection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1" fontId="6" fillId="0" borderId="1" xfId="2" applyNumberFormat="1" applyFont="1" applyFill="1" applyBorder="1" applyAlignment="1" applyProtection="1">
      <alignment horizontal="right"/>
    </xf>
    <xf numFmtId="171" fontId="6" fillId="0" borderId="1" xfId="0" applyNumberFormat="1" applyFont="1" applyBorder="1"/>
    <xf numFmtId="171" fontId="6" fillId="0" borderId="1" xfId="1" applyNumberFormat="1" applyFont="1" applyFill="1" applyBorder="1" applyProtection="1"/>
    <xf numFmtId="171" fontId="10" fillId="0" borderId="1" xfId="0" applyNumberFormat="1" applyFont="1" applyBorder="1"/>
    <xf numFmtId="0" fontId="6" fillId="0" borderId="0" xfId="0" applyFont="1" applyAlignment="1">
      <alignment horizontal="right" vertical="center"/>
    </xf>
    <xf numFmtId="168" fontId="3" fillId="0" borderId="0" xfId="0" applyNumberFormat="1" applyFont="1" applyAlignment="1">
      <alignment vertical="center"/>
    </xf>
    <xf numFmtId="172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0" fontId="6" fillId="0" borderId="0" xfId="0" applyFont="1" applyProtection="1">
      <protection locked="0"/>
    </xf>
    <xf numFmtId="171" fontId="1" fillId="0" borderId="0" xfId="0" applyNumberFormat="1" applyFont="1" applyAlignment="1" applyProtection="1">
      <alignment horizontal="right" vertical="center"/>
      <protection locked="0"/>
    </xf>
    <xf numFmtId="171" fontId="6" fillId="0" borderId="0" xfId="0" applyNumberFormat="1" applyFont="1" applyProtection="1">
      <protection locked="0"/>
    </xf>
    <xf numFmtId="180" fontId="6" fillId="2" borderId="0" xfId="2" applyNumberFormat="1" applyFont="1" applyFill="1" applyBorder="1" applyProtection="1">
      <protection locked="0"/>
    </xf>
    <xf numFmtId="178" fontId="21" fillId="0" borderId="1" xfId="0" applyNumberFormat="1" applyFont="1" applyBorder="1" applyAlignment="1">
      <alignment vertical="center"/>
    </xf>
    <xf numFmtId="44" fontId="21" fillId="0" borderId="1" xfId="0" applyNumberFormat="1" applyFont="1" applyBorder="1" applyAlignment="1">
      <alignment vertical="center"/>
    </xf>
    <xf numFmtId="178" fontId="23" fillId="3" borderId="1" xfId="0" applyNumberFormat="1" applyFont="1" applyFill="1" applyBorder="1"/>
    <xf numFmtId="0" fontId="18" fillId="0" borderId="1" xfId="0" applyFont="1" applyBorder="1" applyAlignment="1">
      <alignment vertical="center"/>
    </xf>
    <xf numFmtId="178" fontId="21" fillId="0" borderId="1" xfId="2" applyNumberFormat="1" applyFont="1" applyBorder="1" applyAlignment="1" applyProtection="1">
      <alignment horizontal="center" vertical="center"/>
    </xf>
    <xf numFmtId="10" fontId="21" fillId="2" borderId="1" xfId="2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left" vertical="center"/>
    </xf>
    <xf numFmtId="171" fontId="6" fillId="0" borderId="1" xfId="2" applyNumberFormat="1" applyFont="1" applyBorder="1" applyAlignment="1" applyProtection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0" fontId="2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71" fontId="9" fillId="0" borderId="1" xfId="0" applyNumberFormat="1" applyFont="1" applyBorder="1" applyAlignment="1">
      <alignment horizontal="center" vertical="center"/>
    </xf>
    <xf numFmtId="178" fontId="24" fillId="0" borderId="1" xfId="2" applyNumberFormat="1" applyFont="1" applyBorder="1" applyAlignment="1" applyProtection="1">
      <alignment horizontal="center" vertical="center"/>
    </xf>
    <xf numFmtId="44" fontId="2" fillId="0" borderId="0" xfId="1" applyFont="1" applyFill="1" applyBorder="1" applyAlignment="1" applyProtection="1">
      <alignment horizontal="center" vertical="center"/>
    </xf>
    <xf numFmtId="10" fontId="6" fillId="0" borderId="0" xfId="0" applyNumberFormat="1" applyFont="1"/>
    <xf numFmtId="10" fontId="6" fillId="0" borderId="0" xfId="2" applyNumberFormat="1" applyFont="1" applyFill="1" applyBorder="1" applyProtection="1"/>
    <xf numFmtId="44" fontId="6" fillId="0" borderId="0" xfId="1" applyFont="1" applyFill="1" applyBorder="1" applyProtection="1"/>
    <xf numFmtId="10" fontId="6" fillId="8" borderId="1" xfId="2" applyNumberFormat="1" applyFont="1" applyFill="1" applyBorder="1" applyProtection="1">
      <protection locked="0"/>
    </xf>
    <xf numFmtId="10" fontId="10" fillId="8" borderId="1" xfId="2" applyNumberFormat="1" applyFont="1" applyFill="1" applyBorder="1" applyAlignment="1" applyProtection="1">
      <alignment horizontal="right"/>
      <protection locked="0"/>
    </xf>
    <xf numFmtId="171" fontId="15" fillId="8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9" xfId="0" applyFont="1" applyBorder="1"/>
    <xf numFmtId="0" fontId="17" fillId="0" borderId="20" xfId="0" applyFont="1" applyBorder="1" applyAlignment="1">
      <alignment vertical="center" wrapText="1"/>
    </xf>
    <xf numFmtId="171" fontId="8" fillId="0" borderId="20" xfId="0" applyNumberFormat="1" applyFont="1" applyBorder="1"/>
    <xf numFmtId="172" fontId="3" fillId="0" borderId="20" xfId="0" applyNumberFormat="1" applyFont="1" applyBorder="1" applyAlignment="1">
      <alignment vertical="center"/>
    </xf>
    <xf numFmtId="169" fontId="3" fillId="0" borderId="20" xfId="0" applyNumberFormat="1" applyFont="1" applyBorder="1" applyAlignment="1">
      <alignment vertical="center"/>
    </xf>
    <xf numFmtId="0" fontId="6" fillId="0" borderId="20" xfId="0" applyFont="1" applyBorder="1"/>
    <xf numFmtId="0" fontId="6" fillId="2" borderId="17" xfId="0" applyFont="1" applyFill="1" applyBorder="1"/>
    <xf numFmtId="0" fontId="6" fillId="2" borderId="21" xfId="0" applyFont="1" applyFill="1" applyBorder="1"/>
    <xf numFmtId="0" fontId="6" fillId="0" borderId="18" xfId="0" applyFont="1" applyBorder="1"/>
    <xf numFmtId="171" fontId="6" fillId="2" borderId="0" xfId="0" applyNumberFormat="1" applyFont="1" applyFill="1" applyProtection="1">
      <protection locked="0"/>
    </xf>
    <xf numFmtId="10" fontId="21" fillId="0" borderId="0" xfId="0" applyNumberFormat="1" applyFont="1" applyAlignment="1">
      <alignment horizontal="center" vertical="center"/>
    </xf>
    <xf numFmtId="44" fontId="6" fillId="0" borderId="0" xfId="1" applyFont="1" applyFill="1" applyAlignment="1" applyProtection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44" fontId="1" fillId="0" borderId="0" xfId="1" applyFont="1" applyFill="1" applyAlignment="1" applyProtection="1">
      <alignment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167" fontId="1" fillId="0" borderId="1" xfId="0" applyNumberFormat="1" applyFont="1" applyBorder="1" applyAlignment="1" applyProtection="1">
      <alignment horizontal="center" vertical="center"/>
      <protection locked="0"/>
    </xf>
    <xf numFmtId="171" fontId="1" fillId="0" borderId="0" xfId="0" applyNumberFormat="1" applyFont="1" applyAlignment="1">
      <alignment horizontal="left" vertical="center"/>
    </xf>
    <xf numFmtId="171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71" fontId="1" fillId="0" borderId="1" xfId="0" applyNumberFormat="1" applyFont="1" applyBorder="1" applyAlignment="1" applyProtection="1">
      <alignment horizontal="left" vertical="center"/>
      <protection locked="0"/>
    </xf>
    <xf numFmtId="44" fontId="6" fillId="0" borderId="0" xfId="1" applyFont="1" applyFill="1" applyAlignment="1" applyProtection="1">
      <protection locked="0"/>
    </xf>
    <xf numFmtId="171" fontId="1" fillId="0" borderId="1" xfId="2" applyNumberFormat="1" applyFont="1" applyFill="1" applyBorder="1" applyAlignment="1" applyProtection="1">
      <alignment horizontal="left" vertical="center"/>
    </xf>
    <xf numFmtId="44" fontId="1" fillId="0" borderId="1" xfId="1" applyFont="1" applyFill="1" applyBorder="1" applyAlignment="1">
      <alignment horizontal="left" vertical="center"/>
    </xf>
    <xf numFmtId="165" fontId="1" fillId="0" borderId="2" xfId="0" applyNumberFormat="1" applyFont="1" applyBorder="1" applyAlignment="1">
      <alignment horizontal="center" vertical="center"/>
    </xf>
    <xf numFmtId="171" fontId="0" fillId="0" borderId="11" xfId="0" applyNumberFormat="1" applyBorder="1"/>
    <xf numFmtId="0" fontId="4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16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 applyProtection="1">
      <alignment horizontal="left" vertical="center"/>
      <protection locked="0"/>
    </xf>
    <xf numFmtId="166" fontId="1" fillId="0" borderId="0" xfId="0" applyNumberFormat="1" applyFont="1" applyAlignment="1">
      <alignment horizontal="left" vertical="center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44" fontId="1" fillId="0" borderId="1" xfId="0" applyNumberFormat="1" applyFont="1" applyBorder="1" applyAlignment="1" applyProtection="1">
      <alignment horizontal="left" vertical="center"/>
      <protection locked="0"/>
    </xf>
    <xf numFmtId="44" fontId="1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171" fontId="1" fillId="0" borderId="0" xfId="2" applyNumberFormat="1" applyFont="1" applyFill="1" applyBorder="1" applyAlignment="1">
      <alignment horizontal="left" vertical="center"/>
    </xf>
    <xf numFmtId="0" fontId="6" fillId="2" borderId="1" xfId="0" applyFont="1" applyFill="1" applyBorder="1"/>
    <xf numFmtId="14" fontId="6" fillId="0" borderId="0" xfId="0" applyNumberFormat="1" applyFont="1" applyAlignment="1">
      <alignment horizontal="right" vertical="center"/>
    </xf>
    <xf numFmtId="44" fontId="1" fillId="0" borderId="0" xfId="1" applyFont="1" applyFill="1" applyBorder="1" applyAlignment="1" applyProtection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167" fontId="1" fillId="0" borderId="0" xfId="0" applyNumberFormat="1" applyFont="1" applyAlignment="1" applyProtection="1">
      <alignment horizontal="left" vertical="center"/>
      <protection locked="0"/>
    </xf>
    <xf numFmtId="173" fontId="1" fillId="0" borderId="0" xfId="0" applyNumberFormat="1" applyFont="1" applyAlignment="1" applyProtection="1">
      <alignment horizontal="left" vertical="center"/>
      <protection locked="0"/>
    </xf>
    <xf numFmtId="166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44" fontId="1" fillId="0" borderId="0" xfId="1" applyFont="1" applyFill="1" applyBorder="1" applyAlignment="1">
      <alignment horizontal="left" vertical="center"/>
    </xf>
    <xf numFmtId="2" fontId="1" fillId="0" borderId="0" xfId="1" applyNumberFormat="1" applyFont="1" applyFill="1" applyBorder="1" applyAlignment="1">
      <alignment horizontal="left" vertical="center"/>
    </xf>
    <xf numFmtId="171" fontId="6" fillId="2" borderId="0" xfId="0" applyNumberFormat="1" applyFont="1" applyFill="1" applyAlignment="1">
      <alignment horizontal="left"/>
    </xf>
    <xf numFmtId="44" fontId="1" fillId="0" borderId="0" xfId="1" applyFont="1" applyFill="1" applyBorder="1" applyAlignment="1" applyProtection="1">
      <alignment horizontal="left" vertical="center"/>
    </xf>
    <xf numFmtId="2" fontId="1" fillId="0" borderId="0" xfId="1" applyNumberFormat="1" applyFont="1" applyFill="1" applyBorder="1" applyAlignment="1" applyProtection="1">
      <alignment horizontal="left" vertical="center"/>
    </xf>
    <xf numFmtId="171" fontId="1" fillId="0" borderId="0" xfId="2" applyNumberFormat="1" applyFont="1" applyFill="1" applyBorder="1" applyAlignment="1" applyProtection="1">
      <alignment horizontal="left" vertical="center"/>
    </xf>
    <xf numFmtId="0" fontId="1" fillId="0" borderId="0" xfId="2" applyNumberFormat="1" applyFont="1" applyFill="1" applyBorder="1" applyAlignment="1" applyProtection="1">
      <alignment horizontal="left" vertical="center"/>
    </xf>
    <xf numFmtId="44" fontId="6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171" fontId="0" fillId="0" borderId="0" xfId="0" applyNumberFormat="1"/>
    <xf numFmtId="2" fontId="1" fillId="0" borderId="0" xfId="1" applyNumberFormat="1" applyFont="1" applyFill="1" applyBorder="1" applyAlignment="1">
      <alignment horizontal="center" vertical="center"/>
    </xf>
    <xf numFmtId="44" fontId="6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18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10" borderId="1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/>
    </xf>
    <xf numFmtId="0" fontId="1" fillId="10" borderId="1" xfId="0" applyFont="1" applyFill="1" applyBorder="1"/>
    <xf numFmtId="44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165" fontId="1" fillId="10" borderId="1" xfId="0" applyNumberFormat="1" applyFont="1" applyFill="1" applyBorder="1" applyAlignment="1">
      <alignment horizontal="center" vertical="center"/>
    </xf>
    <xf numFmtId="164" fontId="23" fillId="11" borderId="0" xfId="0" applyNumberFormat="1" applyFont="1" applyFill="1" applyAlignment="1">
      <alignment horizontal="center" vertical="center"/>
    </xf>
    <xf numFmtId="0" fontId="23" fillId="11" borderId="0" xfId="0" applyFont="1" applyFill="1" applyAlignment="1">
      <alignment horizontal="left"/>
    </xf>
    <xf numFmtId="0" fontId="23" fillId="11" borderId="0" xfId="0" applyFont="1" applyFill="1"/>
    <xf numFmtId="44" fontId="1" fillId="0" borderId="0" xfId="1" applyFont="1" applyFill="1" applyBorder="1" applyProtection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vertical="center"/>
    </xf>
    <xf numFmtId="165" fontId="23" fillId="11" borderId="0" xfId="0" applyNumberFormat="1" applyFont="1" applyFill="1" applyAlignment="1">
      <alignment horizontal="center" vertical="center"/>
    </xf>
    <xf numFmtId="165" fontId="23" fillId="11" borderId="0" xfId="0" applyNumberFormat="1" applyFont="1" applyFill="1" applyAlignment="1">
      <alignment vertical="center"/>
    </xf>
    <xf numFmtId="171" fontId="6" fillId="0" borderId="11" xfId="0" applyNumberFormat="1" applyFont="1" applyBorder="1"/>
    <xf numFmtId="171" fontId="6" fillId="0" borderId="0" xfId="0" applyNumberFormat="1" applyFont="1" applyAlignment="1">
      <alignment horizontal="left"/>
    </xf>
    <xf numFmtId="165" fontId="1" fillId="10" borderId="1" xfId="0" applyNumberFormat="1" applyFont="1" applyFill="1" applyBorder="1" applyAlignment="1">
      <alignment vertical="center"/>
    </xf>
    <xf numFmtId="173" fontId="1" fillId="0" borderId="0" xfId="0" applyNumberFormat="1" applyFont="1" applyAlignment="1">
      <alignment horizontal="left" vertical="center"/>
    </xf>
    <xf numFmtId="10" fontId="27" fillId="4" borderId="13" xfId="2" applyNumberFormat="1" applyFont="1" applyFill="1" applyBorder="1" applyAlignment="1" applyProtection="1">
      <alignment horizontal="center" vertical="center"/>
      <protection locked="0"/>
    </xf>
    <xf numFmtId="10" fontId="27" fillId="4" borderId="9" xfId="2" applyNumberFormat="1" applyFont="1" applyFill="1" applyBorder="1" applyAlignment="1" applyProtection="1">
      <alignment horizontal="center" vertical="center"/>
      <protection locked="0"/>
    </xf>
    <xf numFmtId="169" fontId="3" fillId="0" borderId="13" xfId="0" applyNumberFormat="1" applyFont="1" applyBorder="1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9" fillId="0" borderId="0" xfId="0" applyFont="1"/>
    <xf numFmtId="0" fontId="31" fillId="0" borderId="0" xfId="0" applyFont="1" applyAlignment="1">
      <alignment vertical="center"/>
    </xf>
    <xf numFmtId="44" fontId="6" fillId="0" borderId="1" xfId="0" applyNumberFormat="1" applyFont="1" applyBorder="1"/>
    <xf numFmtId="178" fontId="6" fillId="2" borderId="21" xfId="0" applyNumberFormat="1" applyFont="1" applyFill="1" applyBorder="1" applyProtection="1">
      <protection locked="0"/>
    </xf>
    <xf numFmtId="0" fontId="6" fillId="2" borderId="21" xfId="0" applyFont="1" applyFill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2" borderId="16" xfId="0" applyFont="1" applyFill="1" applyBorder="1" applyProtection="1">
      <protection locked="0"/>
    </xf>
    <xf numFmtId="0" fontId="6" fillId="2" borderId="14" xfId="0" applyFont="1" applyFill="1" applyBorder="1" applyProtection="1">
      <protection locked="0"/>
    </xf>
    <xf numFmtId="0" fontId="6" fillId="0" borderId="14" xfId="0" applyFont="1" applyBorder="1" applyProtection="1">
      <protection locked="0"/>
    </xf>
    <xf numFmtId="0" fontId="6" fillId="0" borderId="19" xfId="0" applyFont="1" applyBorder="1" applyProtection="1">
      <protection locked="0"/>
    </xf>
    <xf numFmtId="0" fontId="6" fillId="2" borderId="15" xfId="0" applyFont="1" applyFill="1" applyBorder="1" applyProtection="1">
      <protection locked="0"/>
    </xf>
    <xf numFmtId="0" fontId="6" fillId="0" borderId="20" xfId="0" applyFont="1" applyBorder="1" applyProtection="1">
      <protection locked="0"/>
    </xf>
    <xf numFmtId="0" fontId="6" fillId="2" borderId="17" xfId="0" applyFont="1" applyFill="1" applyBorder="1" applyProtection="1">
      <protection locked="0"/>
    </xf>
    <xf numFmtId="0" fontId="6" fillId="0" borderId="18" xfId="0" applyFont="1" applyBorder="1" applyProtection="1">
      <protection locked="0"/>
    </xf>
    <xf numFmtId="0" fontId="20" fillId="0" borderId="0" xfId="0" applyFont="1" applyAlignment="1">
      <alignment vertical="center"/>
    </xf>
    <xf numFmtId="0" fontId="27" fillId="4" borderId="9" xfId="2" applyNumberFormat="1" applyFont="1" applyFill="1" applyBorder="1" applyAlignment="1" applyProtection="1">
      <alignment horizontal="center" vertical="center" wrapText="1"/>
      <protection locked="0"/>
    </xf>
    <xf numFmtId="10" fontId="27" fillId="4" borderId="9" xfId="2" applyNumberFormat="1" applyFont="1" applyFill="1" applyBorder="1" applyAlignment="1" applyProtection="1">
      <alignment horizontal="center" vertical="center" wrapText="1"/>
      <protection locked="0"/>
    </xf>
    <xf numFmtId="171" fontId="1" fillId="4" borderId="1" xfId="0" applyNumberFormat="1" applyFont="1" applyFill="1" applyBorder="1" applyAlignment="1">
      <alignment horizontal="right" vertical="center"/>
    </xf>
    <xf numFmtId="171" fontId="1" fillId="13" borderId="1" xfId="0" applyNumberFormat="1" applyFont="1" applyFill="1" applyBorder="1" applyAlignment="1">
      <alignment horizontal="right" vertical="center"/>
    </xf>
    <xf numFmtId="164" fontId="2" fillId="13" borderId="1" xfId="0" applyNumberFormat="1" applyFont="1" applyFill="1" applyBorder="1" applyAlignment="1">
      <alignment horizontal="center" vertical="center"/>
    </xf>
    <xf numFmtId="44" fontId="6" fillId="0" borderId="1" xfId="1" applyFont="1" applyFill="1" applyBorder="1" applyProtection="1"/>
    <xf numFmtId="44" fontId="10" fillId="5" borderId="1" xfId="1" applyFont="1" applyFill="1" applyBorder="1" applyProtection="1"/>
    <xf numFmtId="164" fontId="2" fillId="4" borderId="1" xfId="0" applyNumberFormat="1" applyFont="1" applyFill="1" applyBorder="1" applyAlignment="1">
      <alignment horizontal="center" vertical="center"/>
    </xf>
    <xf numFmtId="44" fontId="10" fillId="9" borderId="1" xfId="1" applyFont="1" applyFill="1" applyBorder="1" applyProtection="1"/>
    <xf numFmtId="164" fontId="30" fillId="12" borderId="1" xfId="0" applyNumberFormat="1" applyFont="1" applyFill="1" applyBorder="1" applyAlignment="1">
      <alignment horizontal="center" vertical="center"/>
    </xf>
    <xf numFmtId="44" fontId="10" fillId="6" borderId="1" xfId="1" applyFont="1" applyFill="1" applyBorder="1" applyProtection="1"/>
    <xf numFmtId="164" fontId="2" fillId="14" borderId="1" xfId="0" applyNumberFormat="1" applyFont="1" applyFill="1" applyBorder="1" applyAlignment="1">
      <alignment horizontal="center" vertical="center"/>
    </xf>
    <xf numFmtId="171" fontId="1" fillId="14" borderId="1" xfId="0" applyNumberFormat="1" applyFont="1" applyFill="1" applyBorder="1" applyAlignment="1">
      <alignment horizontal="right" vertical="center"/>
    </xf>
    <xf numFmtId="171" fontId="1" fillId="9" borderId="1" xfId="0" applyNumberFormat="1" applyFont="1" applyFill="1" applyBorder="1" applyAlignment="1">
      <alignment horizontal="right" vertical="center"/>
    </xf>
    <xf numFmtId="164" fontId="2" fillId="9" borderId="1" xfId="0" applyNumberFormat="1" applyFont="1" applyFill="1" applyBorder="1" applyAlignment="1">
      <alignment horizontal="center" vertical="center"/>
    </xf>
    <xf numFmtId="44" fontId="10" fillId="0" borderId="1" xfId="1" applyFont="1" applyFill="1" applyBorder="1" applyProtection="1"/>
    <xf numFmtId="171" fontId="6" fillId="7" borderId="1" xfId="0" applyNumberFormat="1" applyFont="1" applyFill="1" applyBorder="1"/>
    <xf numFmtId="43" fontId="10" fillId="0" borderId="0" xfId="3" applyFont="1" applyBorder="1" applyAlignment="1">
      <alignment horizontal="center" vertical="center"/>
    </xf>
    <xf numFmtId="43" fontId="6" fillId="2" borderId="0" xfId="3" applyFont="1" applyFill="1" applyBorder="1" applyProtection="1"/>
    <xf numFmtId="43" fontId="1" fillId="0" borderId="0" xfId="3" applyFont="1" applyFill="1" applyBorder="1" applyAlignment="1" applyProtection="1">
      <alignment horizontal="center" vertical="center"/>
    </xf>
    <xf numFmtId="43" fontId="1" fillId="0" borderId="0" xfId="0" applyNumberFormat="1" applyFont="1" applyAlignment="1">
      <alignment horizontal="left" vertical="center"/>
    </xf>
    <xf numFmtId="44" fontId="6" fillId="2" borderId="0" xfId="0" applyNumberFormat="1" applyFont="1" applyFill="1" applyProtection="1">
      <protection locked="0"/>
    </xf>
    <xf numFmtId="9" fontId="6" fillId="2" borderId="0" xfId="0" applyNumberFormat="1" applyFont="1" applyFill="1" applyProtection="1">
      <protection locked="0"/>
    </xf>
    <xf numFmtId="171" fontId="10" fillId="7" borderId="1" xfId="0" applyNumberFormat="1" applyFont="1" applyFill="1" applyBorder="1"/>
    <xf numFmtId="183" fontId="6" fillId="0" borderId="1" xfId="0" applyNumberFormat="1" applyFont="1" applyBorder="1"/>
    <xf numFmtId="0" fontId="6" fillId="0" borderId="0" xfId="0" applyFont="1" applyAlignment="1">
      <alignment horizontal="left" vertical="center"/>
    </xf>
    <xf numFmtId="171" fontId="6" fillId="0" borderId="0" xfId="0" applyNumberFormat="1" applyFont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2" fontId="1" fillId="15" borderId="22" xfId="1" applyNumberFormat="1" applyFont="1" applyFill="1" applyBorder="1" applyAlignment="1">
      <alignment horizontal="left" vertical="center"/>
    </xf>
    <xf numFmtId="10" fontId="6" fillId="0" borderId="0" xfId="2" applyNumberFormat="1" applyFont="1" applyFill="1" applyAlignment="1" applyProtection="1"/>
    <xf numFmtId="10" fontId="1" fillId="0" borderId="0" xfId="2" applyNumberFormat="1" applyFont="1" applyFill="1" applyAlignment="1" applyProtection="1">
      <alignment vertical="center"/>
    </xf>
    <xf numFmtId="10" fontId="6" fillId="0" borderId="0" xfId="2" applyNumberFormat="1" applyFont="1" applyFill="1" applyAlignment="1" applyProtection="1">
      <protection locked="0"/>
    </xf>
    <xf numFmtId="165" fontId="1" fillId="8" borderId="4" xfId="0" applyNumberFormat="1" applyFont="1" applyFill="1" applyBorder="1" applyAlignment="1">
      <alignment horizontal="center" vertical="center"/>
    </xf>
    <xf numFmtId="171" fontId="26" fillId="8" borderId="11" xfId="0" applyNumberFormat="1" applyFont="1" applyFill="1" applyBorder="1" applyProtection="1">
      <protection locked="0"/>
    </xf>
    <xf numFmtId="171" fontId="22" fillId="2" borderId="0" xfId="0" applyNumberFormat="1" applyFont="1" applyFill="1" applyAlignment="1">
      <alignment vertical="center"/>
    </xf>
    <xf numFmtId="0" fontId="9" fillId="2" borderId="0" xfId="0" applyFont="1" applyFill="1"/>
    <xf numFmtId="0" fontId="15" fillId="2" borderId="0" xfId="0" applyFont="1" applyFill="1" applyAlignment="1">
      <alignment horizontal="center" vertical="center" textRotation="255"/>
    </xf>
    <xf numFmtId="171" fontId="1" fillId="0" borderId="11" xfId="0" applyNumberFormat="1" applyFont="1" applyBorder="1" applyAlignment="1" applyProtection="1">
      <alignment horizontal="left" vertical="center"/>
      <protection locked="0"/>
    </xf>
    <xf numFmtId="165" fontId="1" fillId="0" borderId="1" xfId="0" applyNumberFormat="1" applyFont="1" applyBorder="1" applyAlignment="1">
      <alignment horizontal="left" vertical="center"/>
    </xf>
    <xf numFmtId="171" fontId="1" fillId="0" borderId="7" xfId="0" applyNumberFormat="1" applyFont="1" applyBorder="1" applyAlignment="1">
      <alignment horizontal="left" vertical="center"/>
    </xf>
    <xf numFmtId="44" fontId="7" fillId="17" borderId="30" xfId="1" applyFont="1" applyFill="1" applyBorder="1" applyProtection="1"/>
    <xf numFmtId="0" fontId="4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44" fontId="1" fillId="0" borderId="1" xfId="1" applyFont="1" applyFill="1" applyBorder="1" applyProtection="1"/>
    <xf numFmtId="0" fontId="4" fillId="0" borderId="26" xfId="0" applyFont="1" applyBorder="1" applyAlignment="1">
      <alignment horizontal="center" vertical="center"/>
    </xf>
    <xf numFmtId="44" fontId="1" fillId="0" borderId="28" xfId="1" applyFont="1" applyFill="1" applyBorder="1" applyProtection="1"/>
    <xf numFmtId="44" fontId="7" fillId="17" borderId="31" xfId="1" applyFont="1" applyFill="1" applyBorder="1" applyProtection="1"/>
    <xf numFmtId="0" fontId="6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167" fontId="4" fillId="0" borderId="1" xfId="2" applyNumberFormat="1" applyFont="1" applyFill="1" applyBorder="1" applyAlignment="1" applyProtection="1">
      <alignment horizontal="center" vertical="center"/>
      <protection locked="0"/>
    </xf>
    <xf numFmtId="10" fontId="4" fillId="0" borderId="1" xfId="2" applyNumberFormat="1" applyFont="1" applyFill="1" applyBorder="1" applyAlignment="1" applyProtection="1">
      <alignment horizontal="center" vertical="center"/>
    </xf>
    <xf numFmtId="0" fontId="10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43" fontId="6" fillId="2" borderId="0" xfId="3" applyFont="1" applyFill="1" applyBorder="1" applyProtection="1">
      <protection locked="0"/>
    </xf>
    <xf numFmtId="0" fontId="6" fillId="2" borderId="0" xfId="0" applyFont="1" applyFill="1" applyAlignment="1" applyProtection="1">
      <alignment horizontal="right"/>
      <protection locked="0"/>
    </xf>
    <xf numFmtId="171" fontId="1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44" fontId="1" fillId="0" borderId="0" xfId="0" applyNumberFormat="1" applyFont="1" applyAlignment="1" applyProtection="1">
      <alignment horizontal="left" vertical="center"/>
      <protection locked="0"/>
    </xf>
    <xf numFmtId="44" fontId="1" fillId="0" borderId="0" xfId="1" applyFont="1" applyFill="1" applyBorder="1" applyAlignment="1" applyProtection="1">
      <alignment vertical="center"/>
      <protection locked="0"/>
    </xf>
    <xf numFmtId="44" fontId="6" fillId="0" borderId="0" xfId="1" applyFont="1" applyFill="1" applyBorder="1" applyProtection="1">
      <protection locked="0"/>
    </xf>
    <xf numFmtId="0" fontId="34" fillId="0" borderId="0" xfId="0" applyFont="1" applyAlignment="1">
      <alignment horizontal="left" vertical="center"/>
    </xf>
    <xf numFmtId="0" fontId="6" fillId="0" borderId="0" xfId="0" applyFont="1" applyAlignment="1" applyProtection="1">
      <alignment vertical="center"/>
      <protection locked="0"/>
    </xf>
    <xf numFmtId="0" fontId="0" fillId="0" borderId="0" xfId="0" pivotButton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184" fontId="0" fillId="0" borderId="0" xfId="0" applyNumberFormat="1" applyProtection="1">
      <protection locked="0"/>
    </xf>
    <xf numFmtId="0" fontId="33" fillId="0" borderId="0" xfId="0" applyFont="1" applyProtection="1">
      <protection locked="0"/>
    </xf>
    <xf numFmtId="171" fontId="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 applyProtection="1">
      <alignment horizontal="center" vertical="center"/>
      <protection locked="0"/>
    </xf>
    <xf numFmtId="44" fontId="27" fillId="4" borderId="9" xfId="1" applyFont="1" applyFill="1" applyBorder="1" applyAlignment="1" applyProtection="1">
      <alignment horizontal="center" vertical="center" wrapText="1"/>
      <protection locked="0"/>
    </xf>
    <xf numFmtId="10" fontId="0" fillId="0" borderId="0" xfId="2" applyNumberFormat="1" applyFont="1"/>
    <xf numFmtId="10" fontId="1" fillId="0" borderId="0" xfId="0" applyNumberFormat="1" applyFont="1"/>
    <xf numFmtId="44" fontId="1" fillId="0" borderId="0" xfId="0" applyNumberFormat="1" applyFont="1"/>
    <xf numFmtId="10" fontId="1" fillId="0" borderId="0" xfId="2" applyNumberFormat="1" applyFont="1" applyFill="1"/>
    <xf numFmtId="44" fontId="1" fillId="0" borderId="0" xfId="1" applyFont="1" applyFill="1"/>
    <xf numFmtId="165" fontId="8" fillId="0" borderId="0" xfId="0" applyNumberFormat="1" applyFont="1" applyAlignment="1">
      <alignment horizontal="center" vertical="center"/>
    </xf>
    <xf numFmtId="10" fontId="6" fillId="2" borderId="0" xfId="0" applyNumberFormat="1" applyFont="1" applyFill="1" applyProtection="1">
      <protection locked="0"/>
    </xf>
    <xf numFmtId="185" fontId="6" fillId="2" borderId="0" xfId="0" applyNumberFormat="1" applyFont="1" applyFill="1" applyProtection="1">
      <protection locked="0"/>
    </xf>
    <xf numFmtId="186" fontId="6" fillId="2" borderId="0" xfId="0" applyNumberFormat="1" applyFont="1" applyFill="1" applyProtection="1">
      <protection locked="0"/>
    </xf>
    <xf numFmtId="44" fontId="6" fillId="2" borderId="0" xfId="1" applyFont="1" applyFill="1" applyBorder="1" applyProtection="1">
      <protection locked="0"/>
    </xf>
    <xf numFmtId="10" fontId="8" fillId="0" borderId="0" xfId="0" applyNumberFormat="1" applyFont="1"/>
    <xf numFmtId="187" fontId="8" fillId="0" borderId="0" xfId="3" applyNumberFormat="1" applyFont="1" applyFill="1" applyBorder="1" applyProtection="1"/>
    <xf numFmtId="44" fontId="8" fillId="0" borderId="0" xfId="1" applyFont="1" applyFill="1" applyBorder="1" applyProtection="1"/>
    <xf numFmtId="0" fontId="4" fillId="16" borderId="1" xfId="0" applyFont="1" applyFill="1" applyBorder="1" applyAlignment="1" applyProtection="1">
      <alignment horizontal="left" vertical="center"/>
      <protection locked="0"/>
    </xf>
    <xf numFmtId="171" fontId="1" fillId="16" borderId="1" xfId="2" applyNumberFormat="1" applyFont="1" applyFill="1" applyBorder="1" applyAlignment="1" applyProtection="1">
      <alignment horizontal="left" vertical="center"/>
    </xf>
    <xf numFmtId="44" fontId="1" fillId="0" borderId="1" xfId="0" applyNumberFormat="1" applyFont="1" applyBorder="1" applyAlignment="1" applyProtection="1">
      <alignment horizontal="center" vertical="center"/>
      <protection locked="0"/>
    </xf>
    <xf numFmtId="14" fontId="6" fillId="2" borderId="14" xfId="0" applyNumberFormat="1" applyFont="1" applyFill="1" applyBorder="1" applyProtection="1"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/>
      <protection locked="0"/>
    </xf>
    <xf numFmtId="43" fontId="6" fillId="0" borderId="0" xfId="3" applyFont="1" applyBorder="1" applyAlignment="1" applyProtection="1">
      <alignment horizontal="center" vertical="center"/>
      <protection locked="0"/>
    </xf>
    <xf numFmtId="43" fontId="6" fillId="0" borderId="0" xfId="3" applyFont="1" applyFill="1" applyBorder="1" applyAlignment="1" applyProtection="1">
      <alignment horizontal="center"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 textRotation="255"/>
      <protection locked="0"/>
    </xf>
    <xf numFmtId="178" fontId="6" fillId="2" borderId="0" xfId="0" applyNumberFormat="1" applyFont="1" applyFill="1" applyProtection="1"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Protection="1">
      <protection locked="0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 applyProtection="1">
      <alignment horizontal="left" vertical="center" wrapText="1"/>
      <protection locked="0"/>
    </xf>
    <xf numFmtId="167" fontId="1" fillId="0" borderId="1" xfId="2" applyNumberFormat="1" applyFont="1" applyFill="1" applyBorder="1" applyAlignment="1" applyProtection="1">
      <alignment horizontal="center" vertical="center"/>
      <protection locked="0"/>
    </xf>
    <xf numFmtId="171" fontId="1" fillId="0" borderId="1" xfId="2" applyNumberFormat="1" applyFont="1" applyFill="1" applyBorder="1" applyAlignment="1" applyProtection="1">
      <alignment horizontal="center" vertical="center"/>
    </xf>
    <xf numFmtId="44" fontId="1" fillId="0" borderId="1" xfId="1" applyFont="1" applyFill="1" applyBorder="1" applyAlignment="1" applyProtection="1">
      <alignment horizontal="center" vertical="center"/>
    </xf>
    <xf numFmtId="171" fontId="1" fillId="0" borderId="1" xfId="1" applyNumberFormat="1" applyFont="1" applyFill="1" applyBorder="1" applyAlignment="1" applyProtection="1">
      <alignment horizontal="center" vertical="center"/>
    </xf>
    <xf numFmtId="44" fontId="4" fillId="0" borderId="0" xfId="1" applyFont="1" applyFill="1" applyBorder="1" applyAlignment="1" applyProtection="1">
      <alignment horizontal="center" vertical="center"/>
    </xf>
    <xf numFmtId="0" fontId="4" fillId="0" borderId="0" xfId="0" applyFont="1"/>
    <xf numFmtId="180" fontId="4" fillId="0" borderId="0" xfId="2" applyNumberFormat="1" applyFont="1" applyFill="1" applyBorder="1"/>
    <xf numFmtId="10" fontId="4" fillId="0" borderId="0" xfId="0" applyNumberFormat="1" applyFont="1"/>
    <xf numFmtId="171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171" fontId="4" fillId="0" borderId="0" xfId="0" applyNumberFormat="1" applyFont="1" applyAlignment="1">
      <alignment horizontal="center"/>
    </xf>
    <xf numFmtId="10" fontId="4" fillId="0" borderId="0" xfId="2" applyNumberFormat="1" applyFont="1" applyFill="1" applyBorder="1" applyProtection="1"/>
    <xf numFmtId="180" fontId="4" fillId="0" borderId="0" xfId="0" applyNumberFormat="1" applyFont="1"/>
    <xf numFmtId="44" fontId="4" fillId="0" borderId="0" xfId="1" applyFont="1" applyFill="1" applyBorder="1" applyAlignment="1" applyProtection="1">
      <alignment vertical="center"/>
    </xf>
    <xf numFmtId="44" fontId="4" fillId="0" borderId="0" xfId="0" applyNumberFormat="1" applyFont="1"/>
    <xf numFmtId="10" fontId="4" fillId="0" borderId="0" xfId="2" applyNumberFormat="1" applyFont="1" applyFill="1" applyBorder="1" applyProtection="1">
      <protection locked="0"/>
    </xf>
    <xf numFmtId="171" fontId="4" fillId="0" borderId="0" xfId="0" applyNumberFormat="1" applyFont="1"/>
    <xf numFmtId="44" fontId="4" fillId="0" borderId="0" xfId="1" applyFont="1" applyFill="1" applyBorder="1" applyAlignment="1" applyProtection="1">
      <alignment horizontal="center"/>
    </xf>
    <xf numFmtId="10" fontId="4" fillId="0" borderId="0" xfId="2" applyNumberFormat="1" applyFont="1"/>
    <xf numFmtId="43" fontId="4" fillId="0" borderId="0" xfId="0" applyNumberFormat="1" applyFont="1"/>
    <xf numFmtId="2" fontId="4" fillId="0" borderId="0" xfId="0" applyNumberFormat="1" applyFont="1"/>
    <xf numFmtId="43" fontId="4" fillId="0" borderId="0" xfId="3" applyFont="1" applyFill="1" applyBorder="1"/>
    <xf numFmtId="179" fontId="4" fillId="0" borderId="0" xfId="2" applyNumberFormat="1" applyFont="1" applyFill="1" applyBorder="1"/>
    <xf numFmtId="44" fontId="4" fillId="0" borderId="0" xfId="1" applyFont="1" applyFill="1" applyBorder="1" applyAlignment="1">
      <alignment vertical="center"/>
    </xf>
    <xf numFmtId="10" fontId="4" fillId="0" borderId="0" xfId="2" applyNumberFormat="1" applyFont="1" applyFill="1" applyBorder="1"/>
    <xf numFmtId="43" fontId="4" fillId="0" borderId="0" xfId="3" applyFont="1"/>
    <xf numFmtId="44" fontId="4" fillId="0" borderId="0" xfId="1" applyFont="1" applyFill="1" applyBorder="1"/>
    <xf numFmtId="2" fontId="4" fillId="0" borderId="0" xfId="3" applyNumberFormat="1" applyFont="1" applyFill="1" applyBorder="1"/>
    <xf numFmtId="9" fontId="4" fillId="0" borderId="0" xfId="0" applyNumberFormat="1" applyFont="1"/>
    <xf numFmtId="10" fontId="6" fillId="2" borderId="0" xfId="2" applyNumberFormat="1" applyFont="1" applyFill="1"/>
    <xf numFmtId="10" fontId="35" fillId="2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4" fontId="4" fillId="8" borderId="1" xfId="0" applyNumberFormat="1" applyFont="1" applyFill="1" applyBorder="1" applyAlignment="1">
      <alignment horizontal="center" vertical="center"/>
    </xf>
    <xf numFmtId="171" fontId="1" fillId="0" borderId="11" xfId="3" applyNumberFormat="1" applyFont="1" applyFill="1" applyBorder="1" applyAlignment="1" applyProtection="1">
      <alignment horizontal="left" vertical="center"/>
      <protection locked="0"/>
    </xf>
    <xf numFmtId="44" fontId="4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164" fontId="1" fillId="18" borderId="1" xfId="0" applyNumberFormat="1" applyFont="1" applyFill="1" applyBorder="1" applyAlignment="1" applyProtection="1">
      <alignment horizontal="center" vertical="center"/>
      <protection locked="0"/>
    </xf>
    <xf numFmtId="167" fontId="4" fillId="18" borderId="1" xfId="2" applyNumberFormat="1" applyFont="1" applyFill="1" applyBorder="1" applyAlignment="1" applyProtection="1">
      <alignment horizontal="center" vertical="center"/>
      <protection locked="0"/>
    </xf>
    <xf numFmtId="171" fontId="4" fillId="18" borderId="1" xfId="0" applyNumberFormat="1" applyFont="1" applyFill="1" applyBorder="1" applyAlignment="1">
      <alignment horizontal="center" vertical="center"/>
    </xf>
    <xf numFmtId="10" fontId="4" fillId="18" borderId="1" xfId="2" applyNumberFormat="1" applyFont="1" applyFill="1" applyBorder="1" applyAlignment="1" applyProtection="1">
      <alignment horizontal="center" vertical="center"/>
    </xf>
    <xf numFmtId="171" fontId="1" fillId="0" borderId="10" xfId="2" applyNumberFormat="1" applyFont="1" applyFill="1" applyBorder="1" applyAlignment="1" applyProtection="1">
      <alignment horizontal="center" vertical="center"/>
      <protection locked="0"/>
    </xf>
    <xf numFmtId="0" fontId="1" fillId="18" borderId="1" xfId="0" applyFont="1" applyFill="1" applyBorder="1" applyAlignment="1" applyProtection="1">
      <alignment horizontal="left" vertical="center"/>
      <protection locked="0"/>
    </xf>
    <xf numFmtId="0" fontId="1" fillId="18" borderId="1" xfId="0" applyFont="1" applyFill="1" applyBorder="1" applyAlignment="1" applyProtection="1">
      <alignment horizontal="center" vertical="center"/>
      <protection locked="0"/>
    </xf>
    <xf numFmtId="44" fontId="1" fillId="18" borderId="9" xfId="1" applyFont="1" applyFill="1" applyBorder="1" applyAlignment="1" applyProtection="1">
      <alignment horizontal="center" vertical="center"/>
      <protection locked="0"/>
    </xf>
    <xf numFmtId="10" fontId="1" fillId="0" borderId="1" xfId="2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10" fontId="6" fillId="0" borderId="0" xfId="2" applyNumberFormat="1" applyFont="1"/>
    <xf numFmtId="10" fontId="1" fillId="0" borderId="0" xfId="2" applyNumberFormat="1" applyFont="1" applyAlignment="1">
      <alignment vertical="center"/>
    </xf>
    <xf numFmtId="10" fontId="4" fillId="0" borderId="1" xfId="2" applyNumberFormat="1" applyFont="1" applyBorder="1" applyAlignment="1">
      <alignment vertical="center"/>
    </xf>
    <xf numFmtId="10" fontId="6" fillId="0" borderId="0" xfId="2" applyNumberFormat="1" applyFont="1" applyProtection="1"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82" fontId="1" fillId="0" borderId="1" xfId="1" applyNumberFormat="1" applyFont="1" applyFill="1" applyBorder="1" applyAlignment="1" applyProtection="1">
      <alignment horizontal="left" vertical="center"/>
      <protection locked="0"/>
    </xf>
    <xf numFmtId="165" fontId="26" fillId="0" borderId="1" xfId="1" applyNumberFormat="1" applyFont="1" applyFill="1" applyBorder="1" applyAlignment="1" applyProtection="1">
      <alignment horizontal="center" vertical="center"/>
      <protection locked="0"/>
    </xf>
    <xf numFmtId="165" fontId="26" fillId="0" borderId="1" xfId="1" applyNumberFormat="1" applyFont="1" applyFill="1" applyBorder="1" applyAlignment="1" applyProtection="1">
      <alignment horizontal="left" vertical="center"/>
      <protection locked="0"/>
    </xf>
    <xf numFmtId="165" fontId="26" fillId="0" borderId="1" xfId="0" applyNumberFormat="1" applyFont="1" applyBorder="1" applyAlignment="1" applyProtection="1">
      <alignment horizontal="left" vertical="center"/>
      <protection locked="0"/>
    </xf>
    <xf numFmtId="44" fontId="1" fillId="0" borderId="1" xfId="1" applyFont="1" applyFill="1" applyBorder="1" applyAlignment="1" applyProtection="1">
      <alignment horizontal="left" vertical="center"/>
      <protection locked="0"/>
    </xf>
    <xf numFmtId="164" fontId="1" fillId="18" borderId="1" xfId="0" applyNumberFormat="1" applyFont="1" applyFill="1" applyBorder="1" applyAlignment="1" applyProtection="1">
      <alignment horizontal="left" vertical="center" wrapText="1"/>
      <protection locked="0"/>
    </xf>
    <xf numFmtId="171" fontId="1" fillId="18" borderId="1" xfId="2" applyNumberFormat="1" applyFont="1" applyFill="1" applyBorder="1" applyAlignment="1" applyProtection="1">
      <alignment horizontal="left" vertical="center"/>
    </xf>
    <xf numFmtId="171" fontId="1" fillId="18" borderId="1" xfId="2" applyNumberFormat="1" applyFont="1" applyFill="1" applyBorder="1" applyAlignment="1" applyProtection="1">
      <alignment horizontal="center" vertical="center"/>
    </xf>
    <xf numFmtId="44" fontId="1" fillId="18" borderId="1" xfId="1" applyFont="1" applyFill="1" applyBorder="1" applyAlignment="1" applyProtection="1">
      <alignment horizontal="center" vertical="center"/>
    </xf>
    <xf numFmtId="171" fontId="1" fillId="18" borderId="1" xfId="1" applyNumberFormat="1" applyFont="1" applyFill="1" applyBorder="1" applyAlignment="1" applyProtection="1">
      <alignment horizontal="center" vertical="center"/>
    </xf>
    <xf numFmtId="182" fontId="1" fillId="18" borderId="1" xfId="1" applyNumberFormat="1" applyFont="1" applyFill="1" applyBorder="1" applyAlignment="1" applyProtection="1">
      <alignment horizontal="left" vertical="center"/>
      <protection locked="0"/>
    </xf>
    <xf numFmtId="165" fontId="26" fillId="18" borderId="1" xfId="1" applyNumberFormat="1" applyFont="1" applyFill="1" applyBorder="1" applyAlignment="1" applyProtection="1">
      <alignment horizontal="center" vertical="center"/>
      <protection locked="0"/>
    </xf>
    <xf numFmtId="165" fontId="26" fillId="18" borderId="1" xfId="1" applyNumberFormat="1" applyFont="1" applyFill="1" applyBorder="1" applyAlignment="1" applyProtection="1">
      <alignment horizontal="left" vertical="center"/>
      <protection locked="0"/>
    </xf>
    <xf numFmtId="165" fontId="26" fillId="18" borderId="1" xfId="0" applyNumberFormat="1" applyFont="1" applyFill="1" applyBorder="1" applyAlignment="1" applyProtection="1">
      <alignment horizontal="left" vertical="center"/>
      <protection locked="0"/>
    </xf>
    <xf numFmtId="44" fontId="1" fillId="18" borderId="1" xfId="1" applyFont="1" applyFill="1" applyBorder="1" applyAlignment="1" applyProtection="1">
      <alignment horizontal="left" vertical="center"/>
      <protection locked="0"/>
    </xf>
    <xf numFmtId="171" fontId="1" fillId="18" borderId="1" xfId="0" applyNumberFormat="1" applyFont="1" applyFill="1" applyBorder="1" applyAlignment="1" applyProtection="1">
      <alignment horizontal="left" vertical="center"/>
      <protection locked="0"/>
    </xf>
    <xf numFmtId="167" fontId="1" fillId="0" borderId="1" xfId="0" applyNumberFormat="1" applyFont="1" applyBorder="1" applyAlignment="1" applyProtection="1">
      <alignment horizontal="left" vertical="center"/>
      <protection locked="0"/>
    </xf>
    <xf numFmtId="44" fontId="1" fillId="0" borderId="1" xfId="1" applyFont="1" applyFill="1" applyBorder="1" applyAlignment="1" applyProtection="1">
      <alignment horizontal="center" vertical="center"/>
      <protection locked="0"/>
    </xf>
    <xf numFmtId="165" fontId="23" fillId="3" borderId="1" xfId="0" applyNumberFormat="1" applyFont="1" applyFill="1" applyBorder="1" applyAlignment="1">
      <alignment horizontal="center" vertical="center"/>
    </xf>
    <xf numFmtId="10" fontId="23" fillId="19" borderId="1" xfId="2" applyNumberFormat="1" applyFont="1" applyFill="1" applyBorder="1" applyAlignment="1">
      <alignment horizontal="center" vertical="center"/>
    </xf>
    <xf numFmtId="165" fontId="23" fillId="19" borderId="1" xfId="0" applyNumberFormat="1" applyFont="1" applyFill="1" applyBorder="1" applyAlignment="1">
      <alignment horizontal="center" vertical="center"/>
    </xf>
    <xf numFmtId="164" fontId="23" fillId="19" borderId="1" xfId="0" applyNumberFormat="1" applyFont="1" applyFill="1" applyBorder="1" applyAlignment="1">
      <alignment horizontal="center" vertical="center" wrapText="1"/>
    </xf>
    <xf numFmtId="165" fontId="23" fillId="13" borderId="1" xfId="0" applyNumberFormat="1" applyFont="1" applyFill="1" applyBorder="1" applyAlignment="1">
      <alignment horizontal="center" vertical="center"/>
    </xf>
    <xf numFmtId="0" fontId="23" fillId="13" borderId="0" xfId="0" applyFont="1" applyFill="1" applyAlignment="1">
      <alignment vertical="center"/>
    </xf>
    <xf numFmtId="171" fontId="1" fillId="18" borderId="10" xfId="2" applyNumberFormat="1" applyFont="1" applyFill="1" applyBorder="1" applyAlignment="1" applyProtection="1">
      <alignment horizontal="center" vertical="center"/>
      <protection locked="0"/>
    </xf>
    <xf numFmtId="10" fontId="23" fillId="3" borderId="3" xfId="2" applyNumberFormat="1" applyFont="1" applyFill="1" applyBorder="1" applyAlignment="1">
      <alignment horizontal="center" vertical="center"/>
    </xf>
    <xf numFmtId="10" fontId="1" fillId="0" borderId="2" xfId="0" applyNumberFormat="1" applyFont="1" applyBorder="1" applyAlignment="1" applyProtection="1">
      <alignment horizontal="center" vertical="center"/>
      <protection locked="0"/>
    </xf>
    <xf numFmtId="10" fontId="1" fillId="0" borderId="35" xfId="2" applyNumberFormat="1" applyFont="1" applyFill="1" applyBorder="1" applyAlignment="1" applyProtection="1">
      <alignment horizontal="center" vertical="center"/>
    </xf>
    <xf numFmtId="10" fontId="1" fillId="18" borderId="36" xfId="2" applyNumberFormat="1" applyFont="1" applyFill="1" applyBorder="1" applyAlignment="1" applyProtection="1">
      <alignment horizontal="center" vertical="center"/>
    </xf>
    <xf numFmtId="10" fontId="1" fillId="0" borderId="36" xfId="2" applyNumberFormat="1" applyFont="1" applyFill="1" applyBorder="1" applyAlignment="1" applyProtection="1">
      <alignment horizontal="center" vertical="center"/>
    </xf>
    <xf numFmtId="10" fontId="1" fillId="0" borderId="37" xfId="2" applyNumberFormat="1" applyFont="1" applyFill="1" applyBorder="1" applyAlignment="1" applyProtection="1">
      <alignment horizontal="center" vertical="center"/>
    </xf>
    <xf numFmtId="167" fontId="1" fillId="18" borderId="8" xfId="0" applyNumberFormat="1" applyFont="1" applyFill="1" applyBorder="1" applyAlignment="1" applyProtection="1">
      <alignment horizontal="center" vertical="center"/>
      <protection locked="0"/>
    </xf>
    <xf numFmtId="10" fontId="1" fillId="18" borderId="9" xfId="2" applyNumberFormat="1" applyFont="1" applyFill="1" applyBorder="1" applyAlignment="1" applyProtection="1">
      <alignment horizontal="center" vertical="center"/>
    </xf>
    <xf numFmtId="10" fontId="1" fillId="18" borderId="38" xfId="2" applyNumberFormat="1" applyFont="1" applyFill="1" applyBorder="1" applyAlignment="1" applyProtection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13" borderId="12" xfId="0" applyFont="1" applyFill="1" applyBorder="1" applyAlignment="1">
      <alignment vertical="center"/>
    </xf>
    <xf numFmtId="171" fontId="0" fillId="0" borderId="0" xfId="0" applyNumberForma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10" fillId="0" borderId="10" xfId="0" applyFont="1" applyBorder="1" applyAlignment="1">
      <alignment vertical="center"/>
    </xf>
    <xf numFmtId="10" fontId="10" fillId="0" borderId="0" xfId="2" applyNumberFormat="1" applyFont="1" applyBorder="1" applyAlignment="1">
      <alignment vertical="center"/>
    </xf>
    <xf numFmtId="0" fontId="6" fillId="0" borderId="0" xfId="0" applyFont="1" applyAlignment="1">
      <alignment wrapText="1"/>
    </xf>
    <xf numFmtId="10" fontId="6" fillId="0" borderId="0" xfId="2" applyNumberFormat="1" applyFont="1" applyFill="1" applyAlignment="1" applyProtection="1">
      <alignment wrapText="1"/>
    </xf>
    <xf numFmtId="44" fontId="6" fillId="0" borderId="0" xfId="1" applyFont="1" applyFill="1" applyAlignment="1" applyProtection="1">
      <alignment wrapText="1"/>
    </xf>
    <xf numFmtId="0" fontId="36" fillId="19" borderId="1" xfId="0" applyFont="1" applyFill="1" applyBorder="1" applyAlignment="1">
      <alignment horizontal="right" vertical="center" wrapText="1"/>
    </xf>
    <xf numFmtId="0" fontId="36" fillId="19" borderId="8" xfId="0" applyFont="1" applyFill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2" applyNumberFormat="1" applyFont="1" applyFill="1" applyAlignment="1" applyProtection="1">
      <alignment vertical="center" wrapText="1"/>
    </xf>
    <xf numFmtId="44" fontId="1" fillId="0" borderId="0" xfId="1" applyFont="1" applyFill="1" applyAlignment="1" applyProtection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 wrapText="1"/>
    </xf>
    <xf numFmtId="0" fontId="23" fillId="13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165" fontId="23" fillId="19" borderId="1" xfId="0" applyNumberFormat="1" applyFont="1" applyFill="1" applyBorder="1" applyAlignment="1">
      <alignment horizontal="center" vertical="center" wrapText="1"/>
    </xf>
    <xf numFmtId="165" fontId="23" fillId="19" borderId="1" xfId="0" applyNumberFormat="1" applyFont="1" applyFill="1" applyBorder="1" applyAlignment="1" applyProtection="1">
      <alignment horizontal="center" vertical="center" wrapText="1"/>
      <protection locked="0"/>
    </xf>
    <xf numFmtId="165" fontId="23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3" fillId="3" borderId="1" xfId="0" applyNumberFormat="1" applyFont="1" applyFill="1" applyBorder="1" applyAlignment="1" applyProtection="1">
      <alignment horizontal="center" vertical="center" wrapText="1"/>
      <protection locked="0"/>
    </xf>
    <xf numFmtId="10" fontId="23" fillId="19" borderId="1" xfId="2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165" fontId="23" fillId="13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67" fontId="1" fillId="0" borderId="1" xfId="0" applyNumberFormat="1" applyFont="1" applyBorder="1" applyAlignment="1" applyProtection="1">
      <alignment horizontal="center" vertical="center" wrapText="1"/>
      <protection locked="0"/>
    </xf>
    <xf numFmtId="44" fontId="1" fillId="0" borderId="1" xfId="1" applyFont="1" applyFill="1" applyBorder="1" applyAlignment="1" applyProtection="1">
      <alignment horizontal="center" vertical="center" wrapText="1"/>
      <protection locked="0"/>
    </xf>
    <xf numFmtId="10" fontId="1" fillId="0" borderId="1" xfId="2" applyNumberFormat="1" applyFont="1" applyFill="1" applyBorder="1" applyAlignment="1" applyProtection="1">
      <alignment horizontal="center" vertical="center" wrapText="1"/>
      <protection locked="0"/>
    </xf>
    <xf numFmtId="10" fontId="1" fillId="0" borderId="35" xfId="2" applyNumberFormat="1" applyFont="1" applyFill="1" applyBorder="1" applyAlignment="1" applyProtection="1">
      <alignment horizontal="center" vertical="center" wrapText="1"/>
      <protection locked="0"/>
    </xf>
    <xf numFmtId="171" fontId="1" fillId="0" borderId="10" xfId="2" applyNumberFormat="1" applyFont="1" applyFill="1" applyBorder="1" applyAlignment="1" applyProtection="1">
      <alignment horizontal="center" vertical="center" wrapText="1"/>
      <protection locked="0"/>
    </xf>
    <xf numFmtId="167" fontId="4" fillId="0" borderId="1" xfId="0" applyNumberFormat="1" applyFont="1" applyBorder="1" applyAlignment="1" applyProtection="1">
      <alignment horizontal="center" vertical="center" wrapText="1"/>
      <protection locked="0"/>
    </xf>
    <xf numFmtId="171" fontId="4" fillId="0" borderId="1" xfId="0" applyNumberFormat="1" applyFont="1" applyBorder="1" applyAlignment="1">
      <alignment horizontal="center" vertical="center" wrapText="1"/>
    </xf>
    <xf numFmtId="171" fontId="1" fillId="0" borderId="1" xfId="2" applyNumberFormat="1" applyFont="1" applyFill="1" applyBorder="1" applyAlignment="1" applyProtection="1">
      <alignment horizontal="left" vertical="center" wrapText="1"/>
      <protection locked="0"/>
    </xf>
    <xf numFmtId="171" fontId="1" fillId="0" borderId="1" xfId="0" applyNumberFormat="1" applyFont="1" applyBorder="1" applyAlignment="1" applyProtection="1">
      <alignment horizontal="center" vertical="center" wrapText="1"/>
      <protection locked="0"/>
    </xf>
    <xf numFmtId="171" fontId="1" fillId="0" borderId="1" xfId="2" applyNumberFormat="1" applyFont="1" applyFill="1" applyBorder="1" applyAlignment="1" applyProtection="1">
      <alignment horizontal="center" vertical="center" wrapText="1"/>
      <protection locked="0"/>
    </xf>
    <xf numFmtId="171" fontId="1" fillId="0" borderId="1" xfId="1" applyNumberFormat="1" applyFont="1" applyFill="1" applyBorder="1" applyAlignment="1" applyProtection="1">
      <alignment horizontal="center" vertical="center" wrapText="1"/>
      <protection locked="0"/>
    </xf>
    <xf numFmtId="171" fontId="1" fillId="0" borderId="1" xfId="1" applyNumberFormat="1" applyFont="1" applyFill="1" applyBorder="1" applyAlignment="1" applyProtection="1">
      <alignment horizontal="center" vertical="center" wrapText="1"/>
    </xf>
    <xf numFmtId="182" fontId="1" fillId="0" borderId="1" xfId="1" applyNumberFormat="1" applyFont="1" applyFill="1" applyBorder="1" applyAlignment="1" applyProtection="1">
      <alignment horizontal="left" vertical="center" wrapText="1"/>
      <protection locked="0"/>
    </xf>
    <xf numFmtId="165" fontId="26" fillId="0" borderId="1" xfId="1" applyNumberFormat="1" applyFont="1" applyFill="1" applyBorder="1" applyAlignment="1" applyProtection="1">
      <alignment horizontal="center" vertical="center" wrapText="1"/>
      <protection locked="0"/>
    </xf>
    <xf numFmtId="165" fontId="26" fillId="0" borderId="1" xfId="0" applyNumberFormat="1" applyFont="1" applyBorder="1" applyAlignment="1" applyProtection="1">
      <alignment horizontal="left" vertical="center" wrapText="1"/>
      <protection locked="0"/>
    </xf>
    <xf numFmtId="171" fontId="26" fillId="0" borderId="1" xfId="0" applyNumberFormat="1" applyFont="1" applyBorder="1" applyAlignment="1" applyProtection="1">
      <alignment horizontal="left" vertical="center" wrapText="1"/>
      <protection locked="0"/>
    </xf>
    <xf numFmtId="44" fontId="1" fillId="0" borderId="1" xfId="1" applyFont="1" applyFill="1" applyBorder="1" applyAlignment="1" applyProtection="1">
      <alignment horizontal="left" vertical="center" wrapText="1"/>
      <protection locked="0"/>
    </xf>
    <xf numFmtId="171" fontId="1" fillId="0" borderId="1" xfId="0" applyNumberFormat="1" applyFont="1" applyBorder="1" applyAlignment="1" applyProtection="1">
      <alignment horizontal="left" vertical="center" wrapText="1"/>
      <protection locked="0"/>
    </xf>
    <xf numFmtId="171" fontId="1" fillId="0" borderId="1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wrapText="1"/>
    </xf>
    <xf numFmtId="171" fontId="0" fillId="0" borderId="0" xfId="0" applyNumberFormat="1" applyAlignment="1">
      <alignment wrapText="1"/>
    </xf>
    <xf numFmtId="184" fontId="0" fillId="0" borderId="0" xfId="0" applyNumberFormat="1" applyAlignment="1">
      <alignment wrapText="1"/>
    </xf>
    <xf numFmtId="10" fontId="1" fillId="0" borderId="36" xfId="2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left" wrapText="1"/>
      <protection locked="0"/>
    </xf>
    <xf numFmtId="0" fontId="1" fillId="18" borderId="1" xfId="0" applyFont="1" applyFill="1" applyBorder="1" applyAlignment="1" applyProtection="1">
      <alignment horizontal="left" vertical="center" wrapText="1"/>
      <protection locked="0"/>
    </xf>
    <xf numFmtId="164" fontId="1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18" borderId="1" xfId="0" applyFont="1" applyFill="1" applyBorder="1" applyAlignment="1" applyProtection="1">
      <alignment horizontal="center" vertical="center" wrapText="1"/>
      <protection locked="0"/>
    </xf>
    <xf numFmtId="167" fontId="1" fillId="18" borderId="8" xfId="0" applyNumberFormat="1" applyFont="1" applyFill="1" applyBorder="1" applyAlignment="1" applyProtection="1">
      <alignment horizontal="center" vertical="center" wrapText="1"/>
      <protection locked="0"/>
    </xf>
    <xf numFmtId="44" fontId="1" fillId="18" borderId="9" xfId="1" applyFont="1" applyFill="1" applyBorder="1" applyAlignment="1" applyProtection="1">
      <alignment horizontal="center" vertical="center" wrapText="1"/>
      <protection locked="0"/>
    </xf>
    <xf numFmtId="10" fontId="1" fillId="18" borderId="9" xfId="2" applyNumberFormat="1" applyFont="1" applyFill="1" applyBorder="1" applyAlignment="1" applyProtection="1">
      <alignment horizontal="center" vertical="center" wrapText="1"/>
      <protection locked="0"/>
    </xf>
    <xf numFmtId="10" fontId="1" fillId="18" borderId="38" xfId="2" applyNumberFormat="1" applyFont="1" applyFill="1" applyBorder="1" applyAlignment="1" applyProtection="1">
      <alignment horizontal="center" vertical="center" wrapText="1"/>
      <protection locked="0"/>
    </xf>
    <xf numFmtId="10" fontId="1" fillId="18" borderId="36" xfId="2" applyNumberFormat="1" applyFont="1" applyFill="1" applyBorder="1" applyAlignment="1" applyProtection="1">
      <alignment horizontal="center" vertical="center" wrapText="1"/>
      <protection locked="0"/>
    </xf>
    <xf numFmtId="171" fontId="1" fillId="18" borderId="10" xfId="2" applyNumberFormat="1" applyFont="1" applyFill="1" applyBorder="1" applyAlignment="1" applyProtection="1">
      <alignment horizontal="center" vertical="center" wrapText="1"/>
      <protection locked="0"/>
    </xf>
    <xf numFmtId="167" fontId="4" fillId="18" borderId="1" xfId="0" applyNumberFormat="1" applyFont="1" applyFill="1" applyBorder="1" applyAlignment="1" applyProtection="1">
      <alignment horizontal="center" vertical="center" wrapText="1"/>
      <protection locked="0"/>
    </xf>
    <xf numFmtId="171" fontId="4" fillId="18" borderId="1" xfId="0" applyNumberFormat="1" applyFont="1" applyFill="1" applyBorder="1" applyAlignment="1">
      <alignment horizontal="center" vertical="center" wrapText="1"/>
    </xf>
    <xf numFmtId="10" fontId="1" fillId="18" borderId="1" xfId="2" applyNumberFormat="1" applyFont="1" applyFill="1" applyBorder="1" applyAlignment="1" applyProtection="1">
      <alignment horizontal="center" vertical="center" wrapText="1"/>
      <protection locked="0"/>
    </xf>
    <xf numFmtId="171" fontId="1" fillId="18" borderId="1" xfId="2" applyNumberFormat="1" applyFont="1" applyFill="1" applyBorder="1" applyAlignment="1" applyProtection="1">
      <alignment horizontal="left" vertical="center" wrapText="1"/>
      <protection locked="0"/>
    </xf>
    <xf numFmtId="171" fontId="1" fillId="18" borderId="1" xfId="0" applyNumberFormat="1" applyFont="1" applyFill="1" applyBorder="1" applyAlignment="1" applyProtection="1">
      <alignment horizontal="center" vertical="center" wrapText="1"/>
      <protection locked="0"/>
    </xf>
    <xf numFmtId="171" fontId="1" fillId="18" borderId="1" xfId="2" applyNumberFormat="1" applyFont="1" applyFill="1" applyBorder="1" applyAlignment="1" applyProtection="1">
      <alignment horizontal="center" vertical="center" wrapText="1"/>
      <protection locked="0"/>
    </xf>
    <xf numFmtId="44" fontId="1" fillId="18" borderId="1" xfId="1" applyFont="1" applyFill="1" applyBorder="1" applyAlignment="1" applyProtection="1">
      <alignment horizontal="center" vertical="center" wrapText="1"/>
      <protection locked="0"/>
    </xf>
    <xf numFmtId="171" fontId="1" fillId="18" borderId="1" xfId="1" applyNumberFormat="1" applyFont="1" applyFill="1" applyBorder="1" applyAlignment="1" applyProtection="1">
      <alignment horizontal="center" vertical="center" wrapText="1"/>
      <protection locked="0"/>
    </xf>
    <xf numFmtId="182" fontId="1" fillId="18" borderId="1" xfId="1" applyNumberFormat="1" applyFont="1" applyFill="1" applyBorder="1" applyAlignment="1" applyProtection="1">
      <alignment horizontal="left" vertical="center" wrapText="1"/>
      <protection locked="0"/>
    </xf>
    <xf numFmtId="165" fontId="26" fillId="18" borderId="1" xfId="0" applyNumberFormat="1" applyFont="1" applyFill="1" applyBorder="1" applyAlignment="1" applyProtection="1">
      <alignment horizontal="center" vertical="center" wrapText="1"/>
      <protection locked="0"/>
    </xf>
    <xf numFmtId="165" fontId="26" fillId="18" borderId="1" xfId="1" applyNumberFormat="1" applyFont="1" applyFill="1" applyBorder="1" applyAlignment="1" applyProtection="1">
      <alignment horizontal="center" vertical="center" wrapText="1"/>
      <protection locked="0"/>
    </xf>
    <xf numFmtId="165" fontId="26" fillId="18" borderId="1" xfId="0" applyNumberFormat="1" applyFont="1" applyFill="1" applyBorder="1" applyAlignment="1" applyProtection="1">
      <alignment horizontal="left" vertical="center" wrapText="1"/>
      <protection locked="0"/>
    </xf>
    <xf numFmtId="171" fontId="26" fillId="18" borderId="1" xfId="0" applyNumberFormat="1" applyFont="1" applyFill="1" applyBorder="1" applyAlignment="1" applyProtection="1">
      <alignment horizontal="left" vertical="center" wrapText="1"/>
      <protection locked="0"/>
    </xf>
    <xf numFmtId="44" fontId="1" fillId="18" borderId="1" xfId="1" applyFont="1" applyFill="1" applyBorder="1" applyAlignment="1" applyProtection="1">
      <alignment horizontal="left" vertical="center" wrapText="1"/>
      <protection locked="0"/>
    </xf>
    <xf numFmtId="171" fontId="1" fillId="18" borderId="1" xfId="0" applyNumberFormat="1" applyFont="1" applyFill="1" applyBorder="1" applyAlignment="1" applyProtection="1">
      <alignment horizontal="left" vertical="center" wrapText="1"/>
      <protection locked="0"/>
    </xf>
    <xf numFmtId="0" fontId="9" fillId="19" borderId="1" xfId="0" applyFont="1" applyFill="1" applyBorder="1" applyAlignment="1" applyProtection="1">
      <alignment horizontal="left" vertical="center" wrapText="1"/>
      <protection locked="0"/>
    </xf>
    <xf numFmtId="164" fontId="9" fillId="19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9" borderId="1" xfId="0" applyFont="1" applyFill="1" applyBorder="1" applyAlignment="1" applyProtection="1">
      <alignment horizontal="center" vertical="center" wrapText="1"/>
      <protection locked="0"/>
    </xf>
    <xf numFmtId="167" fontId="9" fillId="19" borderId="1" xfId="0" applyNumberFormat="1" applyFont="1" applyFill="1" applyBorder="1" applyAlignment="1" applyProtection="1">
      <alignment horizontal="center" vertical="center" wrapText="1"/>
      <protection locked="0"/>
    </xf>
    <xf numFmtId="44" fontId="9" fillId="19" borderId="1" xfId="1" applyFont="1" applyFill="1" applyBorder="1" applyAlignment="1" applyProtection="1">
      <alignment horizontal="center" vertical="center" wrapText="1"/>
      <protection locked="0"/>
    </xf>
    <xf numFmtId="10" fontId="9" fillId="19" borderId="1" xfId="2" applyNumberFormat="1" applyFont="1" applyFill="1" applyBorder="1" applyAlignment="1" applyProtection="1">
      <alignment horizontal="center" vertical="center" wrapText="1"/>
      <protection locked="0"/>
    </xf>
    <xf numFmtId="10" fontId="9" fillId="19" borderId="36" xfId="2" applyNumberFormat="1" applyFont="1" applyFill="1" applyBorder="1" applyAlignment="1" applyProtection="1">
      <alignment horizontal="center" vertical="center" wrapText="1"/>
    </xf>
    <xf numFmtId="171" fontId="9" fillId="0" borderId="10" xfId="2" applyNumberFormat="1" applyFont="1" applyFill="1" applyBorder="1" applyAlignment="1" applyProtection="1">
      <alignment horizontal="center" vertical="center" wrapText="1"/>
      <protection locked="0"/>
    </xf>
    <xf numFmtId="167" fontId="23" fillId="0" borderId="1" xfId="0" applyNumberFormat="1" applyFont="1" applyBorder="1" applyAlignment="1" applyProtection="1">
      <alignment horizontal="center" vertical="center" wrapText="1"/>
      <protection locked="0"/>
    </xf>
    <xf numFmtId="171" fontId="23" fillId="0" borderId="1" xfId="0" applyNumberFormat="1" applyFont="1" applyBorder="1" applyAlignment="1">
      <alignment horizontal="center" vertical="center" wrapText="1"/>
    </xf>
    <xf numFmtId="10" fontId="9" fillId="0" borderId="1" xfId="2" applyNumberFormat="1" applyFont="1" applyFill="1" applyBorder="1" applyAlignment="1" applyProtection="1">
      <alignment horizontal="center" vertical="center" wrapText="1"/>
      <protection locked="0"/>
    </xf>
    <xf numFmtId="171" fontId="9" fillId="0" borderId="1" xfId="2" applyNumberFormat="1" applyFont="1" applyFill="1" applyBorder="1" applyAlignment="1" applyProtection="1">
      <alignment horizontal="left" vertical="center" wrapText="1"/>
      <protection locked="0"/>
    </xf>
    <xf numFmtId="171" fontId="9" fillId="0" borderId="1" xfId="0" applyNumberFormat="1" applyFont="1" applyBorder="1" applyAlignment="1" applyProtection="1">
      <alignment horizontal="center" vertical="center" wrapText="1"/>
      <protection locked="0"/>
    </xf>
    <xf numFmtId="171" fontId="9" fillId="0" borderId="1" xfId="2" applyNumberFormat="1" applyFont="1" applyFill="1" applyBorder="1" applyAlignment="1" applyProtection="1">
      <alignment horizontal="center" vertical="center" wrapText="1"/>
      <protection locked="0"/>
    </xf>
    <xf numFmtId="44" fontId="9" fillId="0" borderId="1" xfId="1" applyFont="1" applyFill="1" applyBorder="1" applyAlignment="1" applyProtection="1">
      <alignment horizontal="center" vertical="center" wrapText="1"/>
      <protection locked="0"/>
    </xf>
    <xf numFmtId="171" fontId="9" fillId="0" borderId="1" xfId="1" applyNumberFormat="1" applyFont="1" applyFill="1" applyBorder="1" applyAlignment="1" applyProtection="1">
      <alignment horizontal="center" vertical="center" wrapText="1"/>
      <protection locked="0"/>
    </xf>
    <xf numFmtId="182" fontId="9" fillId="0" borderId="1" xfId="1" applyNumberFormat="1" applyFont="1" applyFill="1" applyBorder="1" applyAlignment="1" applyProtection="1">
      <alignment horizontal="left" vertical="center" wrapText="1"/>
      <protection locked="0"/>
    </xf>
    <xf numFmtId="165" fontId="37" fillId="0" borderId="1" xfId="0" applyNumberFormat="1" applyFont="1" applyBorder="1" applyAlignment="1" applyProtection="1">
      <alignment horizontal="center" vertical="center" wrapText="1"/>
      <protection locked="0"/>
    </xf>
    <xf numFmtId="165" fontId="37" fillId="0" borderId="1" xfId="1" applyNumberFormat="1" applyFont="1" applyFill="1" applyBorder="1" applyAlignment="1" applyProtection="1">
      <alignment horizontal="center" vertical="center" wrapText="1"/>
      <protection locked="0"/>
    </xf>
    <xf numFmtId="165" fontId="37" fillId="0" borderId="1" xfId="0" applyNumberFormat="1" applyFont="1" applyBorder="1" applyAlignment="1" applyProtection="1">
      <alignment horizontal="left" vertical="center" wrapText="1"/>
      <protection locked="0"/>
    </xf>
    <xf numFmtId="171" fontId="37" fillId="0" borderId="1" xfId="0" applyNumberFormat="1" applyFont="1" applyBorder="1" applyAlignment="1" applyProtection="1">
      <alignment horizontal="left" vertical="center" wrapText="1"/>
      <protection locked="0"/>
    </xf>
    <xf numFmtId="44" fontId="9" fillId="0" borderId="1" xfId="1" applyFont="1" applyFill="1" applyBorder="1" applyAlignment="1" applyProtection="1">
      <alignment horizontal="left" vertical="center" wrapText="1"/>
      <protection locked="0"/>
    </xf>
    <xf numFmtId="171" fontId="9" fillId="0" borderId="1" xfId="0" applyNumberFormat="1" applyFont="1" applyBorder="1" applyAlignment="1" applyProtection="1">
      <alignment horizontal="left" vertical="center" wrapText="1"/>
      <protection locked="0"/>
    </xf>
    <xf numFmtId="171" fontId="9" fillId="0" borderId="11" xfId="0" applyNumberFormat="1" applyFont="1" applyBorder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horizontal="left" wrapText="1"/>
      <protection locked="0"/>
    </xf>
    <xf numFmtId="0" fontId="37" fillId="0" borderId="0" xfId="0" applyFont="1" applyAlignment="1">
      <alignment wrapText="1"/>
    </xf>
    <xf numFmtId="165" fontId="26" fillId="0" borderId="1" xfId="0" applyNumberFormat="1" applyFont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0" fontId="1" fillId="0" borderId="37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 applyProtection="1">
      <alignment wrapText="1"/>
      <protection locked="0"/>
    </xf>
    <xf numFmtId="171" fontId="1" fillId="0" borderId="2" xfId="0" applyNumberFormat="1" applyFont="1" applyBorder="1" applyAlignment="1" applyProtection="1">
      <alignment horizontal="left" vertical="center" wrapText="1"/>
      <protection locked="0"/>
    </xf>
    <xf numFmtId="10" fontId="1" fillId="0" borderId="1" xfId="0" applyNumberFormat="1" applyFont="1" applyBorder="1" applyAlignment="1" applyProtection="1">
      <alignment horizontal="center" vertical="center" wrapText="1"/>
      <protection locked="0"/>
    </xf>
    <xf numFmtId="171" fontId="0" fillId="0" borderId="11" xfId="0" applyNumberForma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10" fontId="6" fillId="0" borderId="0" xfId="2" applyNumberFormat="1" applyFont="1" applyFill="1" applyAlignment="1" applyProtection="1">
      <alignment wrapText="1"/>
      <protection locked="0"/>
    </xf>
    <xf numFmtId="44" fontId="6" fillId="0" borderId="0" xfId="1" applyFont="1" applyFill="1" applyAlignment="1" applyProtection="1">
      <alignment wrapText="1"/>
      <protection locked="0"/>
    </xf>
    <xf numFmtId="10" fontId="9" fillId="0" borderId="36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wrapText="1"/>
      <protection locked="0"/>
    </xf>
    <xf numFmtId="0" fontId="38" fillId="20" borderId="39" xfId="0" applyFont="1" applyFill="1" applyBorder="1" applyAlignment="1">
      <alignment horizontal="left" vertical="center" wrapText="1"/>
    </xf>
    <xf numFmtId="0" fontId="38" fillId="20" borderId="40" xfId="0" applyFont="1" applyFill="1" applyBorder="1" applyAlignment="1">
      <alignment horizontal="center" vertical="center" wrapText="1"/>
    </xf>
    <xf numFmtId="0" fontId="21" fillId="0" borderId="41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left" vertical="center" wrapText="1"/>
    </xf>
    <xf numFmtId="0" fontId="38" fillId="21" borderId="40" xfId="0" applyFont="1" applyFill="1" applyBorder="1" applyAlignment="1">
      <alignment horizontal="center" vertical="center" wrapText="1"/>
    </xf>
    <xf numFmtId="0" fontId="36" fillId="19" borderId="7" xfId="0" applyFont="1" applyFill="1" applyBorder="1" applyAlignment="1">
      <alignment horizontal="right" vertical="center" wrapText="1"/>
    </xf>
    <xf numFmtId="0" fontId="36" fillId="19" borderId="11" xfId="0" applyFont="1" applyFill="1" applyBorder="1" applyAlignment="1">
      <alignment horizontal="right" vertical="center" wrapText="1"/>
    </xf>
    <xf numFmtId="0" fontId="36" fillId="0" borderId="11" xfId="0" applyFont="1" applyBorder="1" applyAlignment="1">
      <alignment vertical="center" wrapText="1"/>
    </xf>
    <xf numFmtId="0" fontId="36" fillId="0" borderId="6" xfId="0" applyFont="1" applyBorder="1" applyAlignment="1">
      <alignment vertical="center" wrapText="1"/>
    </xf>
    <xf numFmtId="44" fontId="10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36" fillId="19" borderId="12" xfId="0" applyFont="1" applyFill="1" applyBorder="1" applyAlignment="1">
      <alignment horizontal="right" vertical="center" wrapText="1"/>
    </xf>
    <xf numFmtId="0" fontId="36" fillId="19" borderId="0" xfId="0" applyFont="1" applyFill="1" applyAlignment="1">
      <alignment horizontal="right" vertical="center" wrapText="1"/>
    </xf>
    <xf numFmtId="0" fontId="36" fillId="0" borderId="0" xfId="0" applyFont="1" applyAlignment="1">
      <alignment vertical="center" wrapText="1"/>
    </xf>
    <xf numFmtId="0" fontId="36" fillId="0" borderId="34" xfId="0" applyFont="1" applyBorder="1" applyAlignment="1">
      <alignment vertical="center" wrapText="1"/>
    </xf>
    <xf numFmtId="0" fontId="36" fillId="19" borderId="5" xfId="0" applyFont="1" applyFill="1" applyBorder="1" applyAlignment="1">
      <alignment horizontal="right" vertical="center" wrapText="1"/>
    </xf>
    <xf numFmtId="0" fontId="36" fillId="19" borderId="13" xfId="0" applyFont="1" applyFill="1" applyBorder="1" applyAlignment="1">
      <alignment horizontal="right" vertical="center" wrapText="1"/>
    </xf>
    <xf numFmtId="0" fontId="36" fillId="0" borderId="13" xfId="0" applyFont="1" applyBorder="1" applyAlignment="1">
      <alignment vertical="center" wrapText="1"/>
    </xf>
    <xf numFmtId="0" fontId="36" fillId="0" borderId="4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3" fillId="19" borderId="4" xfId="0" applyFont="1" applyFill="1" applyBorder="1" applyAlignment="1">
      <alignment horizontal="center" vertical="center" wrapText="1"/>
    </xf>
    <xf numFmtId="0" fontId="23" fillId="19" borderId="2" xfId="0" applyFont="1" applyFill="1" applyBorder="1" applyAlignment="1">
      <alignment horizontal="center" vertical="center" wrapText="1"/>
    </xf>
    <xf numFmtId="164" fontId="23" fillId="19" borderId="2" xfId="0" applyNumberFormat="1" applyFont="1" applyFill="1" applyBorder="1" applyAlignment="1">
      <alignment horizontal="center" vertical="center" wrapText="1"/>
    </xf>
    <xf numFmtId="164" fontId="23" fillId="3" borderId="23" xfId="0" applyNumberFormat="1" applyFont="1" applyFill="1" applyBorder="1" applyAlignment="1">
      <alignment horizontal="center" vertical="center" wrapText="1"/>
    </xf>
    <xf numFmtId="44" fontId="23" fillId="3" borderId="2" xfId="1" applyFont="1" applyFill="1" applyBorder="1" applyAlignment="1" applyProtection="1">
      <alignment horizontal="center" vertical="center" wrapText="1"/>
    </xf>
    <xf numFmtId="165" fontId="23" fillId="19" borderId="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9" fontId="1" fillId="0" borderId="35" xfId="2" applyFont="1" applyFill="1" applyBorder="1" applyAlignment="1" applyProtection="1">
      <alignment horizontal="center" vertical="center" wrapText="1"/>
    </xf>
    <xf numFmtId="44" fontId="1" fillId="0" borderId="10" xfId="1" applyFont="1" applyFill="1" applyBorder="1" applyAlignment="1" applyProtection="1">
      <alignment vertical="center" wrapText="1"/>
    </xf>
    <xf numFmtId="171" fontId="1" fillId="0" borderId="1" xfId="0" applyNumberFormat="1" applyFont="1" applyBorder="1" applyAlignment="1">
      <alignment vertical="center" wrapText="1"/>
    </xf>
    <xf numFmtId="9" fontId="1" fillId="0" borderId="36" xfId="2" applyFont="1" applyFill="1" applyBorder="1" applyAlignment="1" applyProtection="1">
      <alignment horizontal="center" vertical="center" wrapText="1"/>
    </xf>
    <xf numFmtId="9" fontId="1" fillId="0" borderId="37" xfId="2" applyFont="1" applyBorder="1" applyAlignment="1">
      <alignment horizontal="center" vertical="center" wrapText="1"/>
    </xf>
    <xf numFmtId="44" fontId="6" fillId="0" borderId="10" xfId="1" applyFont="1" applyFill="1" applyBorder="1" applyAlignment="1" applyProtection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vertical="center" wrapText="1"/>
      <protection locked="0"/>
    </xf>
    <xf numFmtId="171" fontId="1" fillId="0" borderId="7" xfId="0" applyNumberFormat="1" applyFont="1" applyBorder="1" applyAlignment="1">
      <alignment vertical="center" wrapText="1"/>
    </xf>
    <xf numFmtId="44" fontId="6" fillId="0" borderId="0" xfId="1" applyFont="1" applyAlignment="1">
      <alignment wrapText="1"/>
    </xf>
    <xf numFmtId="44" fontId="36" fillId="0" borderId="11" xfId="1" applyFont="1" applyBorder="1" applyAlignment="1">
      <alignment vertical="center" wrapText="1"/>
    </xf>
    <xf numFmtId="44" fontId="36" fillId="0" borderId="0" xfId="1" applyFont="1" applyAlignment="1">
      <alignment vertical="center" wrapText="1"/>
    </xf>
    <xf numFmtId="44" fontId="36" fillId="0" borderId="13" xfId="1" applyFont="1" applyBorder="1" applyAlignment="1">
      <alignment vertical="center" wrapText="1"/>
    </xf>
    <xf numFmtId="44" fontId="1" fillId="0" borderId="0" xfId="1" applyFont="1" applyAlignment="1">
      <alignment vertical="center" wrapText="1"/>
    </xf>
    <xf numFmtId="44" fontId="4" fillId="0" borderId="9" xfId="1" applyFont="1" applyBorder="1" applyAlignment="1">
      <alignment vertical="center" wrapText="1"/>
    </xf>
    <xf numFmtId="44" fontId="23" fillId="19" borderId="2" xfId="1" applyFont="1" applyFill="1" applyBorder="1" applyAlignment="1">
      <alignment horizontal="center" vertical="center" wrapText="1"/>
    </xf>
    <xf numFmtId="44" fontId="1" fillId="0" borderId="8" xfId="1" applyFont="1" applyBorder="1" applyAlignment="1">
      <alignment horizontal="center" vertical="center" wrapText="1"/>
    </xf>
    <xf numFmtId="44" fontId="1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36" fillId="19" borderId="11" xfId="0" applyFont="1" applyFill="1" applyBorder="1" applyAlignment="1">
      <alignment horizontal="center" vertical="center" wrapText="1"/>
    </xf>
    <xf numFmtId="0" fontId="36" fillId="19" borderId="0" xfId="0" applyFont="1" applyFill="1" applyAlignment="1">
      <alignment horizontal="center" vertical="center" wrapText="1"/>
    </xf>
    <xf numFmtId="0" fontId="36" fillId="19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40" fillId="0" borderId="42" xfId="0" applyFont="1" applyBorder="1" applyAlignment="1">
      <alignment horizontal="center" vertical="center" wrapText="1"/>
    </xf>
    <xf numFmtId="0" fontId="6" fillId="22" borderId="1" xfId="34" applyFont="1" applyFill="1" applyBorder="1" applyAlignment="1">
      <alignment vertical="center" wrapText="1"/>
    </xf>
    <xf numFmtId="0" fontId="6" fillId="23" borderId="1" xfId="34" applyFont="1" applyFill="1" applyBorder="1" applyAlignment="1">
      <alignment vertical="center" wrapText="1"/>
    </xf>
    <xf numFmtId="0" fontId="40" fillId="0" borderId="43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38" fillId="20" borderId="44" xfId="0" applyFont="1" applyFill="1" applyBorder="1" applyAlignment="1">
      <alignment horizontal="left" vertical="center" wrapText="1"/>
    </xf>
    <xf numFmtId="0" fontId="38" fillId="20" borderId="39" xfId="0" applyFont="1" applyFill="1" applyBorder="1" applyAlignment="1">
      <alignment horizontal="center" vertical="center" wrapText="1"/>
    </xf>
    <xf numFmtId="0" fontId="42" fillId="20" borderId="39" xfId="0" applyFont="1" applyFill="1" applyBorder="1" applyAlignment="1">
      <alignment horizontal="left" vertical="center" wrapText="1"/>
    </xf>
    <xf numFmtId="0" fontId="42" fillId="20" borderId="39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 applyProtection="1">
      <alignment horizontal="left" vertical="center"/>
      <protection locked="0"/>
    </xf>
    <xf numFmtId="43" fontId="6" fillId="0" borderId="0" xfId="3" applyFont="1" applyBorder="1" applyAlignment="1" applyProtection="1">
      <alignment horizontal="right" vertical="center"/>
      <protection locked="0"/>
    </xf>
    <xf numFmtId="43" fontId="6" fillId="0" borderId="0" xfId="3" applyFont="1" applyFill="1" applyBorder="1" applyAlignment="1" applyProtection="1">
      <alignment horizontal="right" vertical="center"/>
      <protection locked="0"/>
    </xf>
    <xf numFmtId="0" fontId="45" fillId="20" borderId="39" xfId="0" applyFont="1" applyFill="1" applyBorder="1" applyAlignment="1">
      <alignment horizontal="left" vertical="center" wrapText="1"/>
    </xf>
    <xf numFmtId="0" fontId="45" fillId="20" borderId="39" xfId="0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0" fontId="41" fillId="0" borderId="42" xfId="2" applyNumberFormat="1" applyFont="1" applyBorder="1" applyAlignment="1">
      <alignment horizontal="center" vertical="center" wrapText="1"/>
    </xf>
    <xf numFmtId="44" fontId="41" fillId="0" borderId="42" xfId="1" applyFont="1" applyBorder="1" applyAlignment="1">
      <alignment horizontal="center" vertical="center" wrapText="1"/>
    </xf>
    <xf numFmtId="10" fontId="46" fillId="0" borderId="42" xfId="2" applyNumberFormat="1" applyFont="1" applyBorder="1" applyAlignment="1">
      <alignment horizontal="center" vertical="center" wrapText="1"/>
    </xf>
    <xf numFmtId="44" fontId="45" fillId="20" borderId="39" xfId="1" applyFont="1" applyFill="1" applyBorder="1" applyAlignment="1">
      <alignment horizontal="left" vertical="center" wrapText="1"/>
    </xf>
    <xf numFmtId="0" fontId="41" fillId="0" borderId="43" xfId="0" applyFont="1" applyBorder="1" applyAlignment="1">
      <alignment horizontal="center" vertical="center" wrapText="1"/>
    </xf>
    <xf numFmtId="0" fontId="44" fillId="20" borderId="39" xfId="0" applyFont="1" applyFill="1" applyBorder="1" applyAlignment="1">
      <alignment horizontal="center" vertical="center" wrapText="1"/>
    </xf>
    <xf numFmtId="43" fontId="46" fillId="0" borderId="42" xfId="2" applyNumberFormat="1" applyFont="1" applyBorder="1" applyAlignment="1">
      <alignment horizontal="center" vertical="center" wrapText="1"/>
    </xf>
    <xf numFmtId="44" fontId="44" fillId="20" borderId="39" xfId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16" borderId="0" xfId="0" applyFont="1" applyFill="1" applyAlignment="1">
      <alignment vertical="center"/>
    </xf>
    <xf numFmtId="0" fontId="43" fillId="16" borderId="0" xfId="0" applyFont="1" applyFill="1" applyAlignment="1">
      <alignment horizontal="center" vertical="center"/>
    </xf>
    <xf numFmtId="43" fontId="0" fillId="0" borderId="0" xfId="0" applyNumberFormat="1" applyAlignment="1">
      <alignment vertical="center"/>
    </xf>
    <xf numFmtId="44" fontId="45" fillId="20" borderId="39" xfId="0" applyNumberFormat="1" applyFont="1" applyFill="1" applyBorder="1" applyAlignment="1">
      <alignment horizontal="center" vertical="center" wrapText="1"/>
    </xf>
    <xf numFmtId="0" fontId="44" fillId="20" borderId="40" xfId="0" applyFont="1" applyFill="1" applyBorder="1" applyAlignment="1">
      <alignment horizontal="center" vertical="center" wrapText="1"/>
    </xf>
    <xf numFmtId="0" fontId="43" fillId="0" borderId="39" xfId="0" applyFont="1" applyBorder="1" applyAlignment="1">
      <alignment horizontal="center" vertical="center"/>
    </xf>
    <xf numFmtId="44" fontId="43" fillId="0" borderId="39" xfId="1" applyFont="1" applyBorder="1" applyAlignment="1">
      <alignment vertical="center"/>
    </xf>
    <xf numFmtId="0" fontId="45" fillId="20" borderId="39" xfId="0" applyFont="1" applyFill="1" applyBorder="1" applyAlignment="1">
      <alignment horizontal="right" vertical="center" wrapText="1"/>
    </xf>
    <xf numFmtId="44" fontId="47" fillId="20" borderId="42" xfId="0" applyNumberFormat="1" applyFont="1" applyFill="1" applyBorder="1" applyAlignment="1">
      <alignment vertical="center" wrapText="1"/>
    </xf>
    <xf numFmtId="44" fontId="47" fillId="20" borderId="42" xfId="1" applyFont="1" applyFill="1" applyBorder="1" applyAlignment="1">
      <alignment vertical="center" wrapText="1"/>
    </xf>
    <xf numFmtId="8" fontId="6" fillId="0" borderId="0" xfId="3" applyNumberFormat="1" applyFont="1" applyFill="1" applyBorder="1" applyAlignment="1" applyProtection="1">
      <alignment horizontal="center" vertical="center"/>
      <protection locked="0"/>
    </xf>
    <xf numFmtId="8" fontId="41" fillId="0" borderId="42" xfId="3" applyNumberFormat="1" applyFont="1" applyFill="1" applyBorder="1" applyAlignment="1" applyProtection="1">
      <alignment horizontal="center" vertical="center" wrapText="1"/>
      <protection locked="0"/>
    </xf>
    <xf numFmtId="43" fontId="10" fillId="2" borderId="0" xfId="0" applyNumberFormat="1" applyFont="1" applyFill="1" applyAlignment="1" applyProtection="1">
      <alignment vertical="center"/>
      <protection locked="0"/>
    </xf>
    <xf numFmtId="166" fontId="1" fillId="15" borderId="22" xfId="0" applyNumberFormat="1" applyFont="1" applyFill="1" applyBorder="1" applyAlignment="1">
      <alignment horizontal="left" vertical="center"/>
    </xf>
    <xf numFmtId="167" fontId="1" fillId="15" borderId="22" xfId="0" applyNumberFormat="1" applyFont="1" applyFill="1" applyBorder="1" applyAlignment="1">
      <alignment horizontal="left" vertical="center"/>
    </xf>
    <xf numFmtId="166" fontId="1" fillId="0" borderId="22" xfId="0" applyNumberFormat="1" applyFont="1" applyBorder="1" applyAlignment="1">
      <alignment horizontal="left" vertical="center"/>
    </xf>
    <xf numFmtId="167" fontId="1" fillId="0" borderId="22" xfId="0" applyNumberFormat="1" applyFont="1" applyBorder="1" applyAlignment="1">
      <alignment horizontal="left" vertical="center"/>
    </xf>
    <xf numFmtId="44" fontId="1" fillId="0" borderId="1" xfId="1" applyFont="1" applyFill="1" applyBorder="1" applyAlignment="1" applyProtection="1">
      <alignment horizontal="center" vertical="center" wrapText="1"/>
    </xf>
    <xf numFmtId="44" fontId="1" fillId="0" borderId="1" xfId="1" applyFont="1" applyFill="1" applyBorder="1" applyAlignment="1" applyProtection="1">
      <alignment vertical="center" wrapText="1"/>
    </xf>
    <xf numFmtId="184" fontId="1" fillId="0" borderId="1" xfId="0" applyNumberFormat="1" applyFont="1" applyBorder="1" applyAlignment="1">
      <alignment vertical="center" wrapText="1"/>
    </xf>
    <xf numFmtId="8" fontId="0" fillId="0" borderId="0" xfId="0" applyNumberFormat="1"/>
    <xf numFmtId="8" fontId="41" fillId="0" borderId="42" xfId="0" applyNumberFormat="1" applyFont="1" applyBorder="1" applyAlignment="1">
      <alignment horizontal="center" vertical="center" wrapText="1"/>
    </xf>
    <xf numFmtId="8" fontId="48" fillId="0" borderId="42" xfId="0" applyNumberFormat="1" applyFont="1" applyBorder="1" applyAlignment="1">
      <alignment horizontal="right" vertical="center" wrapText="1"/>
    </xf>
    <xf numFmtId="44" fontId="0" fillId="0" borderId="0" xfId="0" applyNumberFormat="1"/>
    <xf numFmtId="167" fontId="8" fillId="0" borderId="1" xfId="0" applyNumberFormat="1" applyFont="1" applyBorder="1" applyAlignment="1" applyProtection="1">
      <alignment horizontal="center" vertical="center" wrapText="1"/>
      <protection locked="0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44" fontId="45" fillId="0" borderId="0" xfId="3" applyNumberFormat="1" applyFont="1" applyFill="1" applyBorder="1" applyAlignment="1" applyProtection="1">
      <alignment horizontal="center" vertical="center"/>
      <protection locked="0"/>
    </xf>
    <xf numFmtId="44" fontId="8" fillId="0" borderId="8" xfId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8" fillId="0" borderId="13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 wrapText="1"/>
    </xf>
    <xf numFmtId="0" fontId="18" fillId="0" borderId="9" xfId="0" applyFont="1" applyBorder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10" fillId="5" borderId="1" xfId="0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 textRotation="255"/>
    </xf>
    <xf numFmtId="164" fontId="2" fillId="0" borderId="10" xfId="0" applyNumberFormat="1" applyFont="1" applyBorder="1" applyAlignment="1">
      <alignment horizontal="center" vertical="center"/>
    </xf>
    <xf numFmtId="0" fontId="23" fillId="2" borderId="1" xfId="0" applyFont="1" applyFill="1" applyBorder="1" applyAlignment="1" applyProtection="1">
      <alignment horizontal="center" vertical="center" textRotation="255"/>
      <protection locked="0"/>
    </xf>
    <xf numFmtId="0" fontId="14" fillId="0" borderId="1" xfId="0" applyFont="1" applyBorder="1" applyAlignment="1">
      <alignment horizontal="center" vertical="center" textRotation="90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7" fillId="4" borderId="0" xfId="2" applyNumberFormat="1" applyFont="1" applyFill="1" applyBorder="1" applyAlignment="1" applyProtection="1">
      <alignment horizontal="center" vertical="center"/>
      <protection locked="0"/>
    </xf>
    <xf numFmtId="0" fontId="27" fillId="4" borderId="13" xfId="2" applyNumberFormat="1" applyFont="1" applyFill="1" applyBorder="1" applyAlignment="1" applyProtection="1">
      <alignment horizontal="center" vertical="center"/>
      <protection locked="0"/>
    </xf>
    <xf numFmtId="0" fontId="29" fillId="5" borderId="1" xfId="0" applyFont="1" applyFill="1" applyBorder="1" applyAlignment="1">
      <alignment horizontal="center" vertical="center" textRotation="255"/>
    </xf>
    <xf numFmtId="0" fontId="28" fillId="5" borderId="1" xfId="0" applyFont="1" applyFill="1" applyBorder="1" applyAlignment="1">
      <alignment horizontal="center" vertical="center" textRotation="255"/>
    </xf>
    <xf numFmtId="0" fontId="18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14" fillId="0" borderId="10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right"/>
    </xf>
    <xf numFmtId="0" fontId="10" fillId="9" borderId="1" xfId="0" applyFont="1" applyFill="1" applyBorder="1" applyAlignment="1">
      <alignment horizontal="right"/>
    </xf>
    <xf numFmtId="0" fontId="10" fillId="9" borderId="10" xfId="0" applyFont="1" applyFill="1" applyBorder="1" applyAlignment="1">
      <alignment horizontal="right"/>
    </xf>
    <xf numFmtId="0" fontId="7" fillId="17" borderId="29" xfId="0" applyFont="1" applyFill="1" applyBorder="1" applyAlignment="1">
      <alignment horizontal="right"/>
    </xf>
    <xf numFmtId="0" fontId="7" fillId="17" borderId="30" xfId="0" applyFont="1" applyFill="1" applyBorder="1" applyAlignment="1">
      <alignment horizontal="right"/>
    </xf>
    <xf numFmtId="0" fontId="28" fillId="4" borderId="8" xfId="0" applyFont="1" applyFill="1" applyBorder="1" applyAlignment="1">
      <alignment horizontal="center" vertical="center" textRotation="255" wrapText="1"/>
    </xf>
    <xf numFmtId="0" fontId="14" fillId="0" borderId="3" xfId="0" applyFont="1" applyBorder="1" applyAlignment="1">
      <alignment horizontal="center" vertical="center" textRotation="90"/>
    </xf>
    <xf numFmtId="0" fontId="14" fillId="0" borderId="23" xfId="0" applyFont="1" applyBorder="1" applyAlignment="1">
      <alignment horizontal="center" vertical="center" textRotation="90"/>
    </xf>
    <xf numFmtId="0" fontId="14" fillId="0" borderId="2" xfId="0" applyFont="1" applyBorder="1" applyAlignment="1">
      <alignment horizontal="center" vertical="center" textRotation="90"/>
    </xf>
    <xf numFmtId="0" fontId="6" fillId="0" borderId="8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170" fontId="16" fillId="0" borderId="8" xfId="0" applyNumberFormat="1" applyFont="1" applyBorder="1" applyAlignment="1">
      <alignment horizontal="left" vertical="center"/>
    </xf>
    <xf numFmtId="170" fontId="16" fillId="0" borderId="9" xfId="0" applyNumberFormat="1" applyFont="1" applyBorder="1" applyAlignment="1">
      <alignment horizontal="left" vertical="center"/>
    </xf>
    <xf numFmtId="170" fontId="16" fillId="0" borderId="10" xfId="0" applyNumberFormat="1" applyFont="1" applyBorder="1" applyAlignment="1">
      <alignment horizontal="left" vertical="center"/>
    </xf>
    <xf numFmtId="170" fontId="4" fillId="7" borderId="8" xfId="0" applyNumberFormat="1" applyFont="1" applyFill="1" applyBorder="1" applyAlignment="1">
      <alignment horizontal="right" vertical="center"/>
    </xf>
    <xf numFmtId="170" fontId="4" fillId="7" borderId="9" xfId="0" applyNumberFormat="1" applyFont="1" applyFill="1" applyBorder="1" applyAlignment="1">
      <alignment horizontal="right" vertical="center"/>
    </xf>
    <xf numFmtId="170" fontId="4" fillId="7" borderId="10" xfId="0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10" fillId="0" borderId="8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8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2" borderId="25" xfId="0" applyFont="1" applyFill="1" applyBorder="1" applyAlignment="1" applyProtection="1">
      <alignment horizontal="center" vertical="center"/>
      <protection locked="0"/>
    </xf>
    <xf numFmtId="0" fontId="10" fillId="2" borderId="26" xfId="0" applyFont="1" applyFill="1" applyBorder="1" applyAlignment="1" applyProtection="1">
      <alignment horizontal="center" vertical="center"/>
      <protection locked="0"/>
    </xf>
    <xf numFmtId="0" fontId="10" fillId="2" borderId="30" xfId="0" applyFont="1" applyFill="1" applyBorder="1" applyAlignment="1" applyProtection="1">
      <alignment horizontal="center" vertical="center"/>
      <protection locked="0"/>
    </xf>
    <xf numFmtId="0" fontId="10" fillId="2" borderId="31" xfId="0" applyFont="1" applyFill="1" applyBorder="1" applyAlignment="1" applyProtection="1">
      <alignment horizontal="center" vertical="center"/>
      <protection locked="0"/>
    </xf>
    <xf numFmtId="0" fontId="4" fillId="0" borderId="27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3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44" fontId="1" fillId="0" borderId="3" xfId="1" applyFont="1" applyFill="1" applyBorder="1" applyAlignment="1" applyProtection="1">
      <alignment horizontal="center"/>
    </xf>
    <xf numFmtId="44" fontId="1" fillId="0" borderId="33" xfId="1" applyFont="1" applyFill="1" applyBorder="1" applyAlignment="1" applyProtection="1">
      <alignment horizontal="center"/>
    </xf>
    <xf numFmtId="0" fontId="10" fillId="6" borderId="1" xfId="0" applyFont="1" applyFill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/>
    </xf>
    <xf numFmtId="170" fontId="16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170" fontId="4" fillId="7" borderId="1" xfId="0" applyNumberFormat="1" applyFont="1" applyFill="1" applyBorder="1" applyAlignment="1">
      <alignment horizontal="right" vertical="center"/>
    </xf>
    <xf numFmtId="0" fontId="23" fillId="3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9" fillId="0" borderId="0" xfId="0" applyFont="1" applyAlignment="1" applyProtection="1">
      <alignment horizontal="center"/>
      <protection locked="0"/>
    </xf>
    <xf numFmtId="171" fontId="4" fillId="0" borderId="1" xfId="2" applyNumberFormat="1" applyFont="1" applyFill="1" applyBorder="1" applyAlignment="1" applyProtection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44" fontId="1" fillId="0" borderId="1" xfId="0" applyNumberFormat="1" applyFont="1" applyBorder="1" applyAlignment="1" applyProtection="1">
      <alignment horizontal="center" vertical="center"/>
      <protection locked="0"/>
    </xf>
    <xf numFmtId="0" fontId="4" fillId="10" borderId="3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164" fontId="23" fillId="11" borderId="0" xfId="0" applyNumberFormat="1" applyFont="1" applyFill="1" applyAlignment="1">
      <alignment horizontal="center" vertical="center"/>
    </xf>
    <xf numFmtId="165" fontId="23" fillId="11" borderId="0" xfId="0" applyNumberFormat="1" applyFont="1" applyFill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right" vertical="center" wrapText="1"/>
      <protection locked="0"/>
    </xf>
    <xf numFmtId="17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2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6" fillId="19" borderId="1" xfId="0" applyFont="1" applyFill="1" applyBorder="1" applyAlignment="1">
      <alignment horizontal="right" vertical="center"/>
    </xf>
    <xf numFmtId="0" fontId="36" fillId="19" borderId="8" xfId="0" applyFont="1" applyFill="1" applyBorder="1" applyAlignment="1">
      <alignment horizontal="right" vertical="center"/>
    </xf>
    <xf numFmtId="0" fontId="43" fillId="0" borderId="39" xfId="0" applyFont="1" applyBorder="1" applyAlignment="1">
      <alignment horizontal="justify" vertical="center" wrapText="1"/>
    </xf>
    <xf numFmtId="0" fontId="45" fillId="20" borderId="47" xfId="0" applyFont="1" applyFill="1" applyBorder="1" applyAlignment="1">
      <alignment horizontal="right" vertical="center" wrapText="1"/>
    </xf>
    <xf numFmtId="0" fontId="45" fillId="20" borderId="48" xfId="0" applyFont="1" applyFill="1" applyBorder="1" applyAlignment="1">
      <alignment horizontal="right" vertical="center" wrapText="1"/>
    </xf>
    <xf numFmtId="0" fontId="45" fillId="20" borderId="40" xfId="0" applyFont="1" applyFill="1" applyBorder="1" applyAlignment="1">
      <alignment horizontal="right" vertical="center" wrapText="1"/>
    </xf>
    <xf numFmtId="0" fontId="45" fillId="20" borderId="47" xfId="0" applyFont="1" applyFill="1" applyBorder="1" applyAlignment="1">
      <alignment horizontal="left" vertical="center" wrapText="1"/>
    </xf>
    <xf numFmtId="0" fontId="45" fillId="20" borderId="48" xfId="0" applyFont="1" applyFill="1" applyBorder="1" applyAlignment="1">
      <alignment horizontal="left" vertical="center" wrapText="1"/>
    </xf>
    <xf numFmtId="0" fontId="45" fillId="20" borderId="40" xfId="0" applyFont="1" applyFill="1" applyBorder="1" applyAlignment="1">
      <alignment horizontal="left" vertical="center" wrapText="1"/>
    </xf>
    <xf numFmtId="0" fontId="44" fillId="20" borderId="47" xfId="0" applyFont="1" applyFill="1" applyBorder="1" applyAlignment="1">
      <alignment horizontal="right" vertical="center" wrapText="1"/>
    </xf>
    <xf numFmtId="0" fontId="44" fillId="20" borderId="48" xfId="0" applyFont="1" applyFill="1" applyBorder="1" applyAlignment="1">
      <alignment horizontal="right" vertical="center" wrapText="1"/>
    </xf>
    <xf numFmtId="0" fontId="44" fillId="20" borderId="40" xfId="0" applyFont="1" applyFill="1" applyBorder="1" applyAlignment="1">
      <alignment horizontal="right" vertical="center" wrapText="1"/>
    </xf>
    <xf numFmtId="0" fontId="44" fillId="20" borderId="47" xfId="0" applyFont="1" applyFill="1" applyBorder="1" applyAlignment="1">
      <alignment horizontal="left" vertical="center" wrapText="1"/>
    </xf>
    <xf numFmtId="0" fontId="44" fillId="20" borderId="48" xfId="0" applyFont="1" applyFill="1" applyBorder="1" applyAlignment="1">
      <alignment horizontal="left" vertical="center" wrapText="1"/>
    </xf>
    <xf numFmtId="0" fontId="45" fillId="20" borderId="39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 textRotation="255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</cellXfs>
  <cellStyles count="49">
    <cellStyle name="Moeda" xfId="1" builtinId="4"/>
    <cellStyle name="Moeda 2" xfId="35" xr:uid="{4964A41A-AE05-4998-BEB7-77937FB9ADE3}"/>
    <cellStyle name="Moeda 3" xfId="38" xr:uid="{0D6F47B9-B834-4B6A-BB43-400A3C143C20}"/>
    <cellStyle name="Normal" xfId="0" builtinId="0"/>
    <cellStyle name="Normal 11 4" xfId="8" xr:uid="{0AE15D5D-B5E7-43F2-8BF3-6D5625F4702E}"/>
    <cellStyle name="Normal 17 2" xfId="13" xr:uid="{7F45FE3B-2BBD-4B96-A315-433342F5C643}"/>
    <cellStyle name="Normal 17 3 2" xfId="6" xr:uid="{487248AA-C56A-4562-8962-398C11CB904B}"/>
    <cellStyle name="Normal 19" xfId="18" xr:uid="{383CB614-EE37-4925-A526-5A51DCF62C99}"/>
    <cellStyle name="Normal 2" xfId="4" xr:uid="{58DD7792-E015-4AD7-BBE5-79A28EB5D8DE}"/>
    <cellStyle name="Normal 2 2 2" xfId="19" xr:uid="{F9B49858-1F3C-4D9C-9FFA-40CD66C8DB50}"/>
    <cellStyle name="Normal 2 3" xfId="21" xr:uid="{4A59D02C-CB72-41BA-BD5F-4DCA713EF1B2}"/>
    <cellStyle name="Normal 3" xfId="37" xr:uid="{0FCC4D11-B927-4ED9-85A1-18F36996546C}"/>
    <cellStyle name="Normal 4" xfId="5" xr:uid="{37C7133A-C98B-4468-8339-CA9217CD3B47}"/>
    <cellStyle name="Normal 5" xfId="34" xr:uid="{7FCAEDED-EBD7-4C77-B70E-2137E4666B2F}"/>
    <cellStyle name="Porcentagem" xfId="2" builtinId="5"/>
    <cellStyle name="Porcentagem 2" xfId="36" xr:uid="{35741A44-8456-417B-B58F-63A015600923}"/>
    <cellStyle name="Separador de milhares 10" xfId="28" xr:uid="{1F66E72C-D413-4C80-9D81-3A9EC876A44B}"/>
    <cellStyle name="Separador de milhares 10 2" xfId="44" xr:uid="{68BD376F-41FD-40E8-976E-0C2722F974C0}"/>
    <cellStyle name="Separador de milhares 10 5 2" xfId="24" xr:uid="{D14F0B9A-EDCE-4BC1-872A-0C61E0E1AEBD}"/>
    <cellStyle name="Separador de milhares 18 10 2" xfId="9" xr:uid="{4C20A8C3-E6C9-4B09-A9F9-781A53116E1C}"/>
    <cellStyle name="Separador de milhares 18 10 2 2" xfId="11" xr:uid="{78587D9E-9745-40CD-97D3-DBD5A4321B86}"/>
    <cellStyle name="Separador de milhares 18 9" xfId="14" xr:uid="{58945575-DE0F-4BFA-8FFE-88F98688ACF8}"/>
    <cellStyle name="Separador de milhares 2 10" xfId="17" xr:uid="{3CDB73B1-A828-4033-9059-EB7755DEB0F3}"/>
    <cellStyle name="Separador de milhares 2 10 2" xfId="43" xr:uid="{6736798F-EB6D-4DEA-A600-ED09C2674E19}"/>
    <cellStyle name="Separador de milhares 2 10 3 2" xfId="12" xr:uid="{8E0AEFF8-D217-4E10-ACA9-BACAD011F7B1}"/>
    <cellStyle name="Separador de milhares 2 10_21574_Planilha Comercial R0 2" xfId="20" xr:uid="{BB6FD6B8-45A3-4851-A836-FCDEC0F1EE36}"/>
    <cellStyle name="Separador de milhares 2 11 2 2" xfId="27" xr:uid="{CCE3B366-2DFE-46D6-A971-85F0687D6CAA}"/>
    <cellStyle name="Separador de milhares 21 2" xfId="16" xr:uid="{2D80986B-CB3B-44E1-BF62-C67847E7DCFF}"/>
    <cellStyle name="Separador de milhares 21 2 2" xfId="31" xr:uid="{D5781C2B-F5AF-48BF-83A4-807D4873E27B}"/>
    <cellStyle name="Separador de milhares 21 2 2 2" xfId="46" xr:uid="{475E3C41-16D3-4EF3-BEFB-F831240C4BC6}"/>
    <cellStyle name="Separador de milhares 21 2 3" xfId="33" xr:uid="{739205C6-997C-4992-B8AC-FDDEDBF0450B}"/>
    <cellStyle name="Separador de milhares 21 2 3 2" xfId="48" xr:uid="{FAB9225B-C5E8-4A40-8975-7EB0735AD663}"/>
    <cellStyle name="Separador de milhares 21 2 4" xfId="42" xr:uid="{E76FCFD1-A2EF-4356-8D65-F701D4F1DFD2}"/>
    <cellStyle name="Separador de milhares 24 10" xfId="29" xr:uid="{7E24D101-1445-4135-96E5-051CA20E7B0D}"/>
    <cellStyle name="Separador de milhares 4" xfId="7" xr:uid="{92BF31A1-EBCB-43EC-B46E-1A0D1D99376D}"/>
    <cellStyle name="Separador de milhares 4 2" xfId="30" xr:uid="{B5105B44-C1DC-454E-A00D-F2CB1D35FE31}"/>
    <cellStyle name="Separador de milhares 4 2 2" xfId="45" xr:uid="{AC963BC3-360E-4226-B283-FBFD5026507E}"/>
    <cellStyle name="Separador de milhares 4 3" xfId="32" xr:uid="{8B40E8FC-1B69-4C13-BDBA-FC300C3B1FE5}"/>
    <cellStyle name="Separador de milhares 4 3 2" xfId="47" xr:uid="{DAA5C965-A735-4FD9-AADC-BE0BCAC6FFE9}"/>
    <cellStyle name="Separador de milhares 4 4" xfId="40" xr:uid="{AB048CCA-AED8-47D9-9BFC-AC0276F64EE8}"/>
    <cellStyle name="Separador de milhares 4 5 2" xfId="15" xr:uid="{A0B0113A-EB16-47C7-A8CB-667702671AD7}"/>
    <cellStyle name="Separador de milhares 4 5 2 2" xfId="41" xr:uid="{FA8943B9-7403-4F7A-9592-FA19D5EBC04B}"/>
    <cellStyle name="Separador de milhares 4 5 3" xfId="26" xr:uid="{CA53C86E-4D56-4193-BE76-F9779B3874D1}"/>
    <cellStyle name="Separador de milhares 5 3 2" xfId="10" xr:uid="{D8F14DA1-A2DF-4109-8161-C47152F469E1}"/>
    <cellStyle name="Separador de milhares 5 4 10 2" xfId="22" xr:uid="{CEEF9461-98EC-4D64-85FF-2B8DD7BB3EF9}"/>
    <cellStyle name="Separador de milhares 5 4 10 2 2" xfId="25" xr:uid="{8AF89738-8D01-4199-BB3C-F6A5EE2CC79D}"/>
    <cellStyle name="Separador de milhares 5 4 9" xfId="23" xr:uid="{262ABC3B-17E4-4FBC-B622-B57B03E87A47}"/>
    <cellStyle name="Vírgula" xfId="3" builtinId="3"/>
    <cellStyle name="Vírgula 2" xfId="39" xr:uid="{B935BB67-5C74-44A3-B762-EA970F54D15F}"/>
  </cellStyles>
  <dxfs count="44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C000"/>
      </font>
      <fill>
        <patternFill>
          <bgColor rgb="FFFF0000"/>
        </patternFill>
      </fill>
    </dxf>
    <dxf>
      <font>
        <color rgb="FFFFC00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1" formatCode="_-[$R$-416]\ * #,##0.00_-;\-[$R$-416]\ * #,##0.00_-;_-[$R$-416]\ * &quot;-&quot;??_-;_-@_-"/>
      <fill>
        <patternFill patternType="solid">
          <fgColor indexed="64"/>
          <bgColor theme="7" tint="0.59999389629810485"/>
        </patternFill>
      </fill>
      <border diagonalUp="0" diagonalDown="0" outline="0">
        <left/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82" formatCode="#,##0.00000;[Red]\-#,##0.00000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top style="thin">
          <color indexed="64"/>
        </top>
      </border>
    </dxf>
    <dxf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71" formatCode="_-[$R$-416]\ * #,##0.00_-;\-[$R$-416]\ * #,##0.00_-;_-[$R$-416]\ * &quot;-&quot;??_-;_-@_-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theme="7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theme="7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82" formatCode="#,##0.00000;[Red]\-#,##0.00000;&quot;&quot;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top style="thin">
          <color rgb="FF000000"/>
        </top>
      </border>
    </dxf>
    <dxf>
      <numFmt numFmtId="0" formatCode="General"/>
      <alignment textRotation="0" wrapText="1" indent="0" justifyLastLine="0" shrinkToFit="0" readingOrder="0"/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numFmt numFmtId="171" formatCode="_-[$R$-416]\ * #,##0.00_-;\-[$R$-416]\ * #,##0.00_-;_-[$R$-416]\ * &quot;-&quot;??_-;_-@_-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1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1" hidden="0"/>
    </dxf>
    <dxf>
      <numFmt numFmtId="171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0.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0.0;&quot;&quot;;&quot;&quot;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0.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71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0.0;&quot;&quot;;&quot;&quot;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0.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71" formatCode="_-[$R$-416]\ * #,##0.00_-;\-[$R$-416]\ * #,##0.00_-;_-[$R$-416]\ * &quot;-&quot;??_-;_-@_-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5" formatCode="_-* #,##0.00_-;\-* #,##0.00_-;_-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0.0;&quot;&quot;;&quot;&quot;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3" formatCode="00.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\ ;&quot; -&quot;#,##0.00\ 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#,##0.00;[Red]\-#,##0.00;&quot;&quot;"/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66FF"/>
      <color rgb="FFCC6600"/>
      <color rgb="FF993300"/>
      <color rgb="FFF07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229076</xdr:colOff>
      <xdr:row>2</xdr:row>
      <xdr:rowOff>4288</xdr:rowOff>
    </xdr:from>
    <xdr:to>
      <xdr:col>3</xdr:col>
      <xdr:colOff>498095</xdr:colOff>
      <xdr:row>5</xdr:row>
      <xdr:rowOff>133322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9EC594B5-E98B-4826-A672-B1F8B55EC4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67226" y="337663"/>
          <a:ext cx="2602644" cy="704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229076</xdr:colOff>
      <xdr:row>95</xdr:row>
      <xdr:rowOff>4288</xdr:rowOff>
    </xdr:from>
    <xdr:ext cx="2608186" cy="703784"/>
    <xdr:pic>
      <xdr:nvPicPr>
        <xdr:cNvPr id="3" name="Imagem 5">
          <a:extLst>
            <a:ext uri="{FF2B5EF4-FFF2-40B4-BE49-F238E27FC236}">
              <a16:creationId xmlns:a16="http://schemas.microsoft.com/office/drawing/2014/main" id="{5F019FD6-4389-44E7-AFB8-29C242C2C7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67226" y="15472888"/>
          <a:ext cx="2608186" cy="703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76200</xdr:rowOff>
    </xdr:from>
    <xdr:to>
      <xdr:col>3</xdr:col>
      <xdr:colOff>873401</xdr:colOff>
      <xdr:row>4</xdr:row>
      <xdr:rowOff>57150</xdr:rowOff>
    </xdr:to>
    <xdr:pic>
      <xdr:nvPicPr>
        <xdr:cNvPr id="2064" name="Imagem 2">
          <a:extLst>
            <a:ext uri="{FF2B5EF4-FFF2-40B4-BE49-F238E27FC236}">
              <a16:creationId xmlns:a16="http://schemas.microsoft.com/office/drawing/2014/main" id="{308FBD96-C2BB-4BB7-97C6-48BFCC66A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6200"/>
          <a:ext cx="303276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76200</xdr:rowOff>
    </xdr:from>
    <xdr:to>
      <xdr:col>3</xdr:col>
      <xdr:colOff>874375</xdr:colOff>
      <xdr:row>3</xdr:row>
      <xdr:rowOff>208317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5086FCE-C6D4-45B4-B4F7-8F29CD737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6200"/>
          <a:ext cx="296799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129540</xdr:rowOff>
    </xdr:from>
    <xdr:to>
      <xdr:col>2</xdr:col>
      <xdr:colOff>2045335</xdr:colOff>
      <xdr:row>4</xdr:row>
      <xdr:rowOff>1397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42661860-224A-4C4A-987D-C58139047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"/>
          <a:ext cx="2689860" cy="788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</xdr:rowOff>
    </xdr:from>
    <xdr:to>
      <xdr:col>1</xdr:col>
      <xdr:colOff>1274445</xdr:colOff>
      <xdr:row>4</xdr:row>
      <xdr:rowOff>12192</xdr:rowOff>
    </xdr:to>
    <xdr:pic>
      <xdr:nvPicPr>
        <xdr:cNvPr id="4" name="Imagem 4">
          <a:extLst>
            <a:ext uri="{FF2B5EF4-FFF2-40B4-BE49-F238E27FC236}">
              <a16:creationId xmlns:a16="http://schemas.microsoft.com/office/drawing/2014/main" id="{512E98F5-884D-4902-BC06-F12CFEE8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"/>
          <a:ext cx="2689860" cy="788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129540</xdr:rowOff>
    </xdr:from>
    <xdr:to>
      <xdr:col>1</xdr:col>
      <xdr:colOff>1158240</xdr:colOff>
      <xdr:row>3</xdr:row>
      <xdr:rowOff>249682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8A552EAF-7E05-4791-9195-D13A53C29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"/>
          <a:ext cx="2689860" cy="788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206188</xdr:colOff>
      <xdr:row>1</xdr:row>
      <xdr:rowOff>12999</xdr:rowOff>
    </xdr:from>
    <xdr:to>
      <xdr:col>2</xdr:col>
      <xdr:colOff>2093706</xdr:colOff>
      <xdr:row>4</xdr:row>
      <xdr:rowOff>28664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83ADAFFC-957A-4251-B989-9FE6EC00E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188" y="156434"/>
          <a:ext cx="2694342" cy="789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4.476914004626" createdVersion="8" refreshedVersion="8" minRefreshableVersion="3" recordCount="291" xr:uid="{C340E680-5F37-48A6-A76A-E3B10B302EC5}">
  <cacheSource type="worksheet">
    <worksheetSource name="MateriaisCampo"/>
  </cacheSource>
  <cacheFields count="38">
    <cacheField name="AREA / SETOR" numFmtId="0">
      <sharedItems containsBlank="1" count="10">
        <m/>
        <s v="ALIMENTADORES"/>
        <s v="CABOS INSTRUMENTAÇÃO"/>
        <s v="ATERRAMENTO"/>
        <s v="SPDA"/>
        <s v="ELETROMECANICO EIA"/>
        <s v="INSTRUMENTAÇÃO"/>
        <s v="ILUMINAÇÃO"/>
        <s v="FIBRA ÓPTICA"/>
        <s v="DISTRIBUIÇÃO EIA"/>
      </sharedItems>
    </cacheField>
    <cacheField name="DESENHO / SEGMENTO" numFmtId="0">
      <sharedItems containsBlank="1" count="13">
        <m/>
        <s v="MÉDIA TENSÃO"/>
        <s v="BAIXA TENSÃO"/>
        <s v="CABO DE CONTROLE / I&amp;A"/>
        <s v="ATERRAMENTO"/>
        <s v="SPDA"/>
        <s v="ELETROMECANICO EIA"/>
        <s v="INSTRUMENTAÇÃO"/>
        <s v="ILUMINAÇÃO"/>
        <s v="FIBRA ÓPTICA"/>
        <s v="DISTRIBUIÇÃO EIA"/>
        <s v="IXIII" u="1"/>
        <s v="OI" u="1"/>
      </sharedItems>
    </cacheField>
    <cacheField name="DESCRIÇÃO" numFmtId="0">
      <sharedItems containsBlank="1" longText="1"/>
    </cacheField>
    <cacheField name="CATEGORIA" numFmtId="0">
      <sharedItems containsBlank="1" count="37">
        <m/>
        <s v="CABO MT 8,5/15KV 105º"/>
        <s v="CABO MULTIPOLAR BT 0,6/1KV 105º"/>
        <s v="CABO SINGELO BT 0,6/1KV 105º"/>
        <s v="CABO SINGELO BT 0,6/1KV 90º"/>
        <s v="CABO COMANDO SEM BLINDAGEM"/>
        <s v="CABO INSTRUMENTAÇÃO E SINAL"/>
        <s v="CABO COBRE NÚ"/>
        <s v="HASTE DE ATERRAMENTO"/>
        <s v="CONECTOR DE COMPRESSÃO ATM"/>
        <s v="BEP"/>
        <s v="EQUIPOTENCIALIZAÇÕES"/>
        <s v="BARRA CHATA DE ALUMÍNIO"/>
        <s v="TERMINAL AÉREO"/>
        <s v="FIXADOR COLAVEL"/>
        <s v="ADESIVO PU"/>
        <s v="CAIXA DE INSPEÇÃO"/>
        <s v="LEITO 200"/>
        <s v="LEITO 400"/>
        <s v="ACESS. LEITOS"/>
        <s v="ELETROCALHA"/>
        <s v="ACESS. ELETROCALHA"/>
        <s v="PERFILADO"/>
        <s v="ELETRODUTO"/>
        <s v="ACESS. ELETRODUTO"/>
        <s v="CONDULETES"/>
        <s v="TUBING"/>
        <s v="ANILHAS"/>
        <s v="POTE DE SELAGEM"/>
        <s v="VÁLVULAS"/>
        <s v="MISCELÂNEAS"/>
        <s v="PROJETOR"/>
        <s v="BLOCO AUTÔNOMO"/>
        <s v="FIBRA ÓPTICA"/>
        <s v="FUSÕES"/>
        <s v="CORDÃO OPTICO"/>
        <s v="FIRE-STOP"/>
      </sharedItems>
    </cacheField>
    <cacheField name="FORNECEDOR" numFmtId="164">
      <sharedItems containsBlank="1"/>
    </cacheField>
    <cacheField name="PRAZO PAGAMENTO" numFmtId="164">
      <sharedItems containsSemiMixedTypes="0" containsString="0" containsNumber="1" containsInteger="1" minValue="0" maxValue="0"/>
    </cacheField>
    <cacheField name="CÓDIGO" numFmtId="0">
      <sharedItems containsNonDate="0" containsString="0" containsBlank="1"/>
    </cacheField>
    <cacheField name="NCM" numFmtId="0">
      <sharedItems containsBlank="1"/>
    </cacheField>
    <cacheField name="QUANTIDADE" numFmtId="167">
      <sharedItems containsString="0" containsBlank="1" containsNumber="1" minValue="0" maxValue="1896"/>
    </cacheField>
    <cacheField name="UNIT S/IPI S/DESC" numFmtId="44">
      <sharedItems containsString="0" containsBlank="1" containsNumber="1" minValue="0.06" maxValue="7500"/>
    </cacheField>
    <cacheField name="ICMS %" numFmtId="10">
      <sharedItems containsString="0" containsBlank="1" containsNumber="1" minValue="0" maxValue="0.18"/>
    </cacheField>
    <cacheField name="IPI %" numFmtId="10">
      <sharedItems containsString="0" containsBlank="1" containsNumber="1" minValue="0" maxValue="9.7500000000000003E-2"/>
    </cacheField>
    <cacheField name="% DESC" numFmtId="10">
      <sharedItems containsNonDate="0" containsString="0" containsBlank="1"/>
    </cacheField>
    <cacheField name="UNIT S/ IPI C/DESC" numFmtId="171">
      <sharedItems containsSemiMixedTypes="0" containsString="0" containsNumber="1" minValue="0" maxValue="7500"/>
    </cacheField>
    <cacheField name="ORIGEM" numFmtId="167">
      <sharedItems/>
    </cacheField>
    <cacheField name="FATURAMENTO" numFmtId="171">
      <sharedItems/>
    </cacheField>
    <cacheField name="PIS" numFmtId="10">
      <sharedItems containsSemiMixedTypes="0" containsString="0" containsNumber="1" minValue="1.6500000000000001E-2" maxValue="1.6500000000000001E-2"/>
    </cacheField>
    <cacheField name="COFINS" numFmtId="10">
      <sharedItems containsSemiMixedTypes="0" containsString="0" containsNumber="1" minValue="7.5999999999999998E-2" maxValue="7.5999999999999998E-2"/>
    </cacheField>
    <cacheField name="TOTAL S/ IPI" numFmtId="171">
      <sharedItems containsSemiMixedTypes="0" containsString="0" containsNumber="1" minValue="0" maxValue="14300"/>
    </cacheField>
    <cacheField name="TOTAL C/ IPI" numFmtId="171">
      <sharedItems containsSemiMixedTypes="0" containsString="0" containsNumber="1" minValue="0" maxValue="15694.25"/>
    </cacheField>
    <cacheField name="DIFERENCIAL ICMS" numFmtId="171">
      <sharedItems containsSemiMixedTypes="0" containsString="0" containsNumber="1" containsInteger="1" minValue="0" maxValue="0"/>
    </cacheField>
    <cacheField name="ICMS $" numFmtId="44">
      <sharedItems containsSemiMixedTypes="0" containsString="0" containsNumber="1" minValue="0" maxValue="900"/>
    </cacheField>
    <cacheField name="TOTAL ICMS $" numFmtId="44">
      <sharedItems containsSemiMixedTypes="0" containsString="0" containsNumber="1" minValue="0" maxValue="2574"/>
    </cacheField>
    <cacheField name="UNIT S/ IP + DIF ICMS" numFmtId="171">
      <sharedItems containsSemiMixedTypes="0" containsString="0" containsNumber="1" minValue="0" maxValue="7500"/>
    </cacheField>
    <cacheField name="PIS R$" numFmtId="171">
      <sharedItems containsSemiMixedTypes="0" containsString="0" containsNumber="1" minValue="0" maxValue="61.875"/>
    </cacheField>
    <cacheField name="COFINS R$" numFmtId="171">
      <sharedItems containsSemiMixedTypes="0" containsString="0" containsNumber="1" minValue="0" maxValue="285"/>
    </cacheField>
    <cacheField name="UNIT C/ IPI" numFmtId="171">
      <sharedItems containsSemiMixedTypes="0" containsString="0" containsNumber="1" minValue="0" maxValue="7500"/>
    </cacheField>
    <cacheField name="MARK-UP" numFmtId="182">
      <sharedItems containsSemiMixedTypes="0" containsString="0" containsNumber="1" minValue="0.76144617974809237" maxValue="0.76144617974809237"/>
    </cacheField>
    <cacheField name="CRED ICMS" numFmtId="165">
      <sharedItems/>
    </cacheField>
    <cacheField name="CREDITO IPI" numFmtId="165">
      <sharedItems/>
    </cacheField>
    <cacheField name="UNIT CRED" numFmtId="165">
      <sharedItems containsSemiMixedTypes="0" containsString="0" containsNumber="1" minValue="0" maxValue="6253.125"/>
    </cacheField>
    <cacheField name="TOT CRED" numFmtId="165">
      <sharedItems containsSemiMixedTypes="0" containsString="0" containsNumber="1" minValue="0" maxValue="11064.625000000004"/>
    </cacheField>
    <cacheField name="TOT CUSTO" numFmtId="171">
      <sharedItems containsSemiMixedTypes="0" containsString="0" containsNumber="1" minValue="0" maxValue="11064.625000000004"/>
    </cacheField>
    <cacheField name="UNIT VENDA" numFmtId="44">
      <sharedItems containsSemiMixedTypes="0" containsString="0" containsNumber="1" minValue="0" maxValue="8212.169377576638"/>
    </cacheField>
    <cacheField name="VENDA" numFmtId="171">
      <sharedItems containsSemiMixedTypes="0" containsString="0" containsNumber="1" minValue="0" maxValue="14531.066402697679"/>
    </cacheField>
    <cacheField name="S/ IPI" numFmtId="171">
      <sharedItems containsSemiMixedTypes="0" containsString="0" containsNumber="1" minValue="0" maxValue="18452.147812949435"/>
    </cacheField>
    <cacheField name="C/ IPI" numFmtId="171">
      <sharedItems containsSemiMixedTypes="0" containsString="0" containsNumber="1" minValue="0" maxValue="18452.147812949435"/>
    </cacheField>
    <cacheField name="CUSTO FIXO" numFmtId="171">
      <sharedItems containsSemiMixedTypes="0" containsString="0" containsNumber="1" minValue="0" maxValue="14531.0664026976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66.586103240741" createdVersion="6" refreshedVersion="8" minRefreshableVersion="3" recordCount="73" xr:uid="{E0C56586-927F-4F97-BFD0-84A7B6C22766}">
  <cacheSource type="worksheet">
    <worksheetSource name="MateriaisPainel"/>
  </cacheSource>
  <cacheFields count="38">
    <cacheField name="AREA / SETOR" numFmtId="0">
      <sharedItems containsBlank="1" count="3">
        <m/>
        <s v="QDT"/>
        <s v="PMI"/>
      </sharedItems>
    </cacheField>
    <cacheField name="PAINEL" numFmtId="0">
      <sharedItems containsBlank="1" count="5">
        <m/>
        <s v="QDT"/>
        <s v="PMI"/>
        <s v="CCM 01" u="1"/>
        <s v="PN. ACION." u="1"/>
      </sharedItems>
    </cacheField>
    <cacheField name="DESCRIÇÃO" numFmtId="164">
      <sharedItems containsBlank="1" longText="1"/>
    </cacheField>
    <cacheField name="CATEGORIA" numFmtId="0">
      <sharedItems containsBlank="1"/>
    </cacheField>
    <cacheField name="FORNECEDOR" numFmtId="164">
      <sharedItems containsBlank="1"/>
    </cacheField>
    <cacheField name="PRAZO PAGAMENTO" numFmtId="164">
      <sharedItems containsSemiMixedTypes="0" containsString="0" containsNumber="1" containsInteger="1" minValue="0" maxValue="0"/>
    </cacheField>
    <cacheField name="CÓDIGO" numFmtId="0">
      <sharedItems containsNonDate="0" containsString="0" containsBlank="1"/>
    </cacheField>
    <cacheField name="UNID." numFmtId="0">
      <sharedItems containsBlank="1"/>
    </cacheField>
    <cacheField name="QUANTIDADE" numFmtId="167">
      <sharedItems containsString="0" containsBlank="1" containsNumber="1" containsInteger="1" minValue="1" maxValue="1"/>
    </cacheField>
    <cacheField name="UNIT S/IPI S/DESC" numFmtId="44">
      <sharedItems containsString="0" containsBlank="1" containsNumber="1" containsInteger="1" minValue="1500" maxValue="5600"/>
    </cacheField>
    <cacheField name="ICMS %" numFmtId="10">
      <sharedItems containsString="0" containsBlank="1" containsNumber="1" minValue="0.12" maxValue="0.12"/>
    </cacheField>
    <cacheField name="IPI %" numFmtId="10">
      <sharedItems containsString="0" containsBlank="1" containsNumber="1" minValue="6.5000000000000002E-2" maxValue="6.5000000000000002E-2"/>
    </cacheField>
    <cacheField name="DESC%" numFmtId="10">
      <sharedItems containsNonDate="0" containsString="0" containsBlank="1"/>
    </cacheField>
    <cacheField name="UNIT S/ IPI C/DESC" numFmtId="171">
      <sharedItems containsSemiMixedTypes="0" containsString="0" containsNumber="1" containsInteger="1" minValue="0" maxValue="5600"/>
    </cacheField>
    <cacheField name="ORIGEM" numFmtId="167">
      <sharedItems/>
    </cacheField>
    <cacheField name="FATURAMENTO" numFmtId="171">
      <sharedItems/>
    </cacheField>
    <cacheField name="PIS" numFmtId="10">
      <sharedItems containsSemiMixedTypes="0" containsString="0" containsNumber="1" minValue="1.6500000000000001E-2" maxValue="1.6500000000000001E-2"/>
    </cacheField>
    <cacheField name="COFINS" numFmtId="10">
      <sharedItems containsSemiMixedTypes="0" containsString="0" containsNumber="1" minValue="7.5999999999999998E-2" maxValue="7.5999999999999998E-2"/>
    </cacheField>
    <cacheField name="TOTAL S/ IPI" numFmtId="171">
      <sharedItems containsSemiMixedTypes="0" containsString="0" containsNumber="1" containsInteger="1" minValue="0" maxValue="5600"/>
    </cacheField>
    <cacheField name="TOTAL C/ IPI" numFmtId="171">
      <sharedItems containsSemiMixedTypes="0" containsString="0" containsNumber="1" minValue="0" maxValue="5964"/>
    </cacheField>
    <cacheField name="DIFERENCIAL ICMS" numFmtId="171">
      <sharedItems containsSemiMixedTypes="0" containsString="0" containsNumber="1" containsInteger="1" minValue="0" maxValue="0"/>
    </cacheField>
    <cacheField name="ICMS $" numFmtId="44">
      <sharedItems containsSemiMixedTypes="0" containsString="0" containsNumber="1" containsInteger="1" minValue="0" maxValue="672"/>
    </cacheField>
    <cacheField name="PIS R$" numFmtId="44">
      <sharedItems containsSemiMixedTypes="0" containsString="0" containsNumber="1" minValue="0" maxValue="46.2"/>
    </cacheField>
    <cacheField name="COFINS R$" numFmtId="44">
      <sharedItems containsSemiMixedTypes="0" containsString="0" containsNumber="1" minValue="0" maxValue="212.79999999999998"/>
    </cacheField>
    <cacheField name="TOTAL ICMS $" numFmtId="44">
      <sharedItems containsSemiMixedTypes="0" containsString="0" containsNumber="1" containsInteger="1" minValue="0" maxValue="672"/>
    </cacheField>
    <cacheField name="UNIT S/ IP + DIF ICMS" numFmtId="171">
      <sharedItems containsSemiMixedTypes="0" containsString="0" containsNumber="1" containsInteger="1" minValue="0" maxValue="5600"/>
    </cacheField>
    <cacheField name="UNIT C/ IPI" numFmtId="171">
      <sharedItems containsSemiMixedTypes="0" containsString="0" containsNumber="1" minValue="0" maxValue="5964"/>
    </cacheField>
    <cacheField name="MARK-UP" numFmtId="182">
      <sharedItems containsSemiMixedTypes="0" containsString="0" containsNumber="1" minValue="0.79629599331834122" maxValue="0.79629599331834122"/>
    </cacheField>
    <cacheField name="CRED ICMS" numFmtId="165">
      <sharedItems/>
    </cacheField>
    <cacheField name="CREDITO IPI" numFmtId="165">
      <sharedItems/>
    </cacheField>
    <cacheField name="UNIT CRED" numFmtId="165">
      <sharedItems containsSemiMixedTypes="0" containsString="0" containsNumber="1" minValue="0" maxValue="4669"/>
    </cacheField>
    <cacheField name="TOT CRED" numFmtId="165">
      <sharedItems containsSemiMixedTypes="0" containsString="0" containsNumber="1" minValue="0" maxValue="4669"/>
    </cacheField>
    <cacheField name="TOT CUSTO" numFmtId="171">
      <sharedItems containsSemiMixedTypes="0" containsString="0" containsNumber="1" minValue="0" maxValue="4669"/>
    </cacheField>
    <cacheField name="UNIT VENDA" numFmtId="44">
      <sharedItems containsSemiMixedTypes="0" containsString="0" containsNumber="1" minValue="0" maxValue="5863.3975797658431"/>
    </cacheField>
    <cacheField name="VENDA" numFmtId="171">
      <sharedItems containsSemiMixedTypes="0" containsString="0" containsNumber="1" minValue="0" maxValue="5863.3975797658431"/>
    </cacheField>
    <cacheField name="S/ IPI" numFmtId="171">
      <sharedItems containsSemiMixedTypes="0" containsString="0" containsNumber="1" minValue="0" maxValue="7445.5842282740878"/>
    </cacheField>
    <cacheField name="C/ IPI" numFmtId="171">
      <sharedItems containsSemiMixedTypes="0" containsString="0" containsNumber="1" minValue="0" maxValue="7445.5842282740878"/>
    </cacheField>
    <cacheField name="CUSTO FIXO" numFmtId="171">
      <sharedItems containsSemiMixedTypes="0" containsString="0" containsNumber="1" minValue="0" maxValue="5863.39757976584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1"/>
    <s v="MATERIAIS DE MÉDIA TENSÃO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1"/>
    <s v="1 X 185MM² 8,5/15KV EPR 105, CABO SINGELO DE COBRE NÚ, TÊMPERA MOLE, ENCORDOAMENTO CLASSE 2, CAMADA SEMICONDUTORA APLICADA POR EXTRUSÃO, ISOLAÇÃO COMPOSTO TERMOFIXO DE EPR 105ºC, BLINDAGEM DE ISOLAÇÃO NÃO METÁLICA E PARTE METÁLICA FIOS DE COBRE NÚ, TÊMPERA MOLE, SEÇÃO 6MM², COBERTURA EM PVC NA COR PRETA."/>
    <x v="1"/>
    <s v="NAMBEI"/>
    <n v="0"/>
    <m/>
    <s v="MTS"/>
    <n v="57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1"/>
    <s v="1 X 185MM² 8,5/15KV EPR 105, CABO SINGELO DE COBRE NÚ, TÊMPERA MOLE, ENCORDOAMENTO CLASSE 2, CAMADA SEMICONDUTORA APLICADA POR EXTRUSÃO, ISOLAÇÃO COMPOSTO TERMOFIXO DE EPR 105ºC, BLINDAGEM DE ISOLAÇÃO NÃO METÁLICA E PARTE METÁLICA FIOS DE COBRE NÚ, TÊMPERA MOLE, SEÇÃO 6MM², COBERTURA EM PVC NA COR PRETA."/>
    <x v="1"/>
    <s v="NAMBEI"/>
    <n v="0"/>
    <m/>
    <s v="MTS"/>
    <n v="165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MATERIAIS  DE BAIXA TENSÃO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3 X 2,5MM² 0,6/1KV HEPR 105, CABO MULTIPOLAR DE COBRE NÚ, TÊMPERA MOLE, ENCORDOAMENTO CLASSE 5, ISOLAÇÃO HEPR 90ºC, COBERTURA PVC NA COR PRETA"/>
    <x v="2"/>
    <m/>
    <n v="0"/>
    <m/>
    <s v="MTS"/>
    <n v="60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4 X 2,5MM² 0,6/1KV HEPR 105, CABO MULTIPOLAR DE COBRE NÚ, TÊMPERA MOLE, ENCORDOAMENTO CLASSE 5, ISOLAÇÃO HEPR 90ºC, COBERTURA PVC NA COR PRETA"/>
    <x v="2"/>
    <m/>
    <n v="0"/>
    <m/>
    <s v="MTS"/>
    <n v="136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4 X 4,0MM² 0,6/1KV HEPR 105, CABO MULTIPOLAR DE COBRE NÚ, TÊMPERA MOLE, ENCORDOAMENTO CLASSE 5, ISOLAÇÃO HEPR 90ºC, COBERTURA PVC NA COR PRETA"/>
    <x v="2"/>
    <m/>
    <n v="0"/>
    <m/>
    <s v="MTS"/>
    <n v="7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4 X 6,0MM² 0,6/1KV HEPR 105, CABO MULTIPOLAR DE COBRE NÚ, TÊMPERA MOLE, ENCORDOAMENTO CLASSE 5, ISOLAÇÃO HEPR 90ºC, COBERTURA PVC NA COR PRETA"/>
    <x v="2"/>
    <m/>
    <n v="0"/>
    <m/>
    <s v="MTS"/>
    <n v="14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4 X 16,0MM² 0,6/1KV HEPR 105, CABO MULTIPOLAR DE COBRE NÚ, TÊMPERA MOLE, ENCORDOAMENTO CLASSE 5, ISOLAÇÃO HEPR 90ºC, COBERTURA PVC NA COR PRETA"/>
    <x v="2"/>
    <m/>
    <n v="0"/>
    <m/>
    <s v="MTS"/>
    <n v="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4 X 25,0MM² 0,6/1KV HEPR 105, CABO MULTIPOLAR DE COBRE NÚ, TÊMPERA MOLE, ENCORDOAMENTO CLASSE 5, ISOLAÇÃO HEPR 90ºC, COBERTURA PVC NA COR PRETA"/>
    <x v="2"/>
    <m/>
    <n v="0"/>
    <m/>
    <s v="MTS"/>
    <n v="25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240MM² 0,6/1KV HEPR 105, CABO SINGELO DE COBRE NÚ, TÊMPERA MOLE, ENCORDOAMENTO CLASSE 5, ISOLAÇÃO HEPR 90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85MM² 0,6/1KV HEPR 105 CABO SINGELO DE COBRE NÚ, TÊMPERA MOLE, ENCORDOAMENTO CLASSE 5, ISOLAÇÃO HEPR 90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50MM² 0,6/1KV HEPR 105, CABO SINGELO DE COBRE NÚ, TÊMPERA MOLE, ENCORDOAMENTO CLASSE 5, ISOLAÇÃO HEPR 90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20MM² 0,6/1KV HEPR 105, CABO SINGELO DE COBRE NÚ, TÊMPERA MOLE, ENCORDOAMENTO CLASSE 5, ISOLAÇÃO HEPR 90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95MM² 0,6/1KV HEPR 105, CABO SINGELO DE COBRE NÚ, TÊMPERA MOLE, ENCORDOAMENTO CLASSE 5, ISOLAÇÃO HEPR 90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70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50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35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25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6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0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6,0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4,0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2,5MM² 0,6/1KV HEPR 105, CABO SINGELO DE COBRE NÚ, TÊMPERA MOLE, ENCORDOAMENTO CLASSE 5, ISOLAÇÃO HEPR 105ºC, COBERTURA PVC NA COR PRETA"/>
    <x v="3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240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85MM² 0,6/1KV HEPR 90, CABO SINGELO DE COBRE NÚ, TÊMPERA MOLE, ENCORDOAMENTO CLASSE 5, ISOLAÇÃO HEPR 90ºC, COBERTURA PVC NA COR VERDE"/>
    <x v="4"/>
    <m/>
    <n v="0"/>
    <m/>
    <s v="MTS"/>
    <n v="255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50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20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95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70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50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35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25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1"/>
    <x v="2"/>
    <s v="1 X 16MM² 0,6/1KV HEPR 90, CABO SINGELO DE COBRE NÚ, TÊMPERA MOLE, ENCORDOAMENTO CLASSE 5, ISOLAÇÃO HEPR 90ºC, COBERTURA PVC NA COR VERDE"/>
    <x v="4"/>
    <m/>
    <n v="0"/>
    <m/>
    <s v="MTS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2"/>
    <x v="3"/>
    <s v="MATERIAIS DE INSTRUMENTAÇÃO E CONTROLE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2"/>
    <x v="3"/>
    <s v="12 X 1,50MM² 500V SB, CABO DE COMANDO/CONTROLE VEIAS NUMERADAS, SEM BLINDAGEM, 500V, CLASSE 5, ISOLAÇÃO E COBERTURA PVC 70ºC PRETO"/>
    <x v="5"/>
    <s v="CONDUSCAMP"/>
    <n v="0"/>
    <m/>
    <s v="MTS"/>
    <n v="20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2"/>
    <x v="3"/>
    <s v="1 X 2 X 1,00MM² 300V, CABO DE INSTRUMENTAÇÃO/SINAL , COM BLINDAGEM TOTAL + DRENO, CLASSE 5, ISOLAÇÃO E COBERTURA PVC ST2"/>
    <x v="6"/>
    <s v="CONDUSCAMP"/>
    <n v="0"/>
    <m/>
    <s v="MTS"/>
    <n v="70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3"/>
    <x v="4"/>
    <s v="MATERIAIS ATERRAMENTO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3"/>
    <x v="4"/>
    <s v="CABO DE COBRE NÚ, MEIO DURO, 50MM², NORMA DE FABRICAÇÃO ABNT NBR 6524, FORMAÇÃO 7 FIOS, DIÂMETRO DO FIO 3,0MM, DIÂMETRO EXTERNO 9,0MM"/>
    <x v="7"/>
    <s v="SANTA LUZIA"/>
    <n v="0"/>
    <m/>
    <s v="MTS"/>
    <n v="27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3"/>
    <x v="4"/>
    <s v="CABO DE COBRE NÚ, MEIO DURO, 95MM², NORMA DE FABRICAÇÃO ABNT NBR 6524, FORMAÇÃO 7 FIOS, DIÂMETRO DO FIO 4,12MM"/>
    <x v="7"/>
    <s v="SANTA LUZIA"/>
    <n v="0"/>
    <m/>
    <s v="MTS"/>
    <n v="20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3"/>
    <x v="4"/>
    <s v="HASTE DE ATERRAMENTO, 5/8&quot; X 3000MM, NÚCLEO DE AÇO, REVESTIDO EM COBRE, CAMADA MÍNIMA DE 254 MICRA, CONFORME ABNT NBR 13571, SEM ROSCA NA EXTREMIDADE"/>
    <x v="8"/>
    <s v="INTELLI"/>
    <n v="0"/>
    <m/>
    <s v="PÇ"/>
    <n v="20"/>
    <n v="92"/>
    <n v="0.18"/>
    <n v="3.2500000000000001E-2"/>
    <m/>
    <n v="92"/>
    <s v="SÃO PAULO"/>
    <s v="NORMAL"/>
    <n v="1.6500000000000001E-2"/>
    <n v="7.5999999999999998E-2"/>
    <n v="1840"/>
    <n v="1899.8"/>
    <n v="0"/>
    <n v="16.559999999999999"/>
    <n v="331.2"/>
    <n v="92"/>
    <n v="0.75900000000000001"/>
    <n v="3.496"/>
    <n v="94.99"/>
    <n v="0.76144617974809237"/>
    <s v="SIM"/>
    <s v="SIM"/>
    <n v="71.185000000000002"/>
    <n v="1423.7"/>
    <n v="1423.7"/>
    <n v="93.486581052320716"/>
    <n v="1869.7316210464144"/>
    <n v="2374.2623759319549"/>
    <n v="2374.2623759319549"/>
    <n v="1869.7316210464144"/>
  </r>
  <r>
    <x v="3"/>
    <x v="4"/>
    <s v="CONECTOR DE ATERRAMENTO CABO-CABO À COMPRESSÃO EM  LIGA DE COBRE COM COMPOSTO ANTIÓXIDO, #35-70MM / #16-70MM (SACC)"/>
    <x v="9"/>
    <s v="INTELLI"/>
    <n v="0"/>
    <m/>
    <s v="PÇ"/>
    <n v="20"/>
    <n v="29"/>
    <n v="0"/>
    <n v="0"/>
    <m/>
    <n v="29"/>
    <s v="SÃO PAULO"/>
    <s v="NORMAL"/>
    <n v="1.6500000000000001E-2"/>
    <n v="7.5999999999999998E-2"/>
    <n v="580"/>
    <n v="580"/>
    <n v="0"/>
    <n v="0"/>
    <n v="0"/>
    <n v="29"/>
    <n v="0.23925000000000002"/>
    <n v="1.1019999999999999"/>
    <n v="29"/>
    <n v="0.76144617974809237"/>
    <s v="SIM"/>
    <s v="SIM"/>
    <n v="27.658750000000001"/>
    <n v="553.17500000000007"/>
    <n v="553.17500000000007"/>
    <n v="36.32397237733899"/>
    <n v="726.47944754677974"/>
    <n v="922.51358418638711"/>
    <n v="922.51358418638711"/>
    <n v="726.47944754677974"/>
  </r>
  <r>
    <x v="3"/>
    <x v="4"/>
    <s v="CONECTOR DE ATERRAMENTO CABO-HASTE À COMPRESSÃO EM  LIGA DE COBRE COM COMPOSTO ANTIÓXIDO, HASTE 5/8&quot;-3/4&quot;, CABO #50-70"/>
    <x v="9"/>
    <s v="INTELLI"/>
    <n v="0"/>
    <m/>
    <s v="PÇ"/>
    <n v="12"/>
    <n v="79"/>
    <n v="0"/>
    <n v="0"/>
    <m/>
    <n v="79"/>
    <s v="SÃO PAULO"/>
    <s v="NORMAL"/>
    <n v="1.6500000000000001E-2"/>
    <n v="7.5999999999999998E-2"/>
    <n v="948"/>
    <n v="948"/>
    <n v="0"/>
    <n v="0"/>
    <n v="0"/>
    <n v="79"/>
    <n v="0.65175000000000005"/>
    <n v="3.0019999999999998"/>
    <n v="79"/>
    <n v="0.76144617974809237"/>
    <s v="SIM"/>
    <s v="SIM"/>
    <n v="75.346249999999998"/>
    <n v="904.15499999999997"/>
    <n v="904.15499999999997"/>
    <n v="98.951510958957911"/>
    <n v="1187.418131507495"/>
    <n v="1507.8325479460257"/>
    <n v="1507.8325479460257"/>
    <n v="1187.418131507495"/>
  </r>
  <r>
    <x v="3"/>
    <x v="4"/>
    <s v="CONECTOR DE ATERRAMENTO CABO-CABO À COMPRESSÃO EM  LIGA DE COBRE COM COMPOSTO ANTIÓXIDO, #95MM / #95MM (SACC)"/>
    <x v="9"/>
    <s v="INTELLI"/>
    <n v="0"/>
    <m/>
    <s v="PÇ"/>
    <n v="8"/>
    <n v="39.357142857142861"/>
    <n v="0"/>
    <n v="0"/>
    <m/>
    <n v="39.357142857142861"/>
    <s v="SÃO PAULO"/>
    <s v="NORMAL"/>
    <n v="1.6500000000000001E-2"/>
    <n v="7.5999999999999998E-2"/>
    <n v="314.85714285714289"/>
    <n v="314.85714285714289"/>
    <n v="0"/>
    <n v="0"/>
    <n v="0"/>
    <n v="39.357142857142861"/>
    <n v="0.32469642857142861"/>
    <n v="1.4955714285714288"/>
    <n v="39.357142857142861"/>
    <n v="0.76144617974809237"/>
    <s v="SIM"/>
    <s v="SIM"/>
    <n v="37.536875000000002"/>
    <n v="300.29500000000002"/>
    <n v="300.29500000000002"/>
    <n v="49.296819654960046"/>
    <n v="394.37455723968037"/>
    <n v="500.79308855832431"/>
    <n v="500.79308855832431"/>
    <n v="394.37455723968037"/>
  </r>
  <r>
    <x v="3"/>
    <x v="4"/>
    <s v="CONECTOR DE ATERRAMENTO CABO-HASTE À COMPRESSÃO EM  LIGA DE COBRE COM COMPOSTO ANTIÓXIDO, HASTE 5/8&quot;-3/4&quot;, CABO #95"/>
    <x v="9"/>
    <s v="INTELLI"/>
    <n v="0"/>
    <m/>
    <s v="PÇ"/>
    <n v="8"/>
    <n v="107.21428571428572"/>
    <n v="0"/>
    <n v="0"/>
    <m/>
    <n v="107.21428571428572"/>
    <s v="SÃO PAULO"/>
    <s v="NORMAL"/>
    <n v="1.6500000000000001E-2"/>
    <n v="7.5999999999999998E-2"/>
    <n v="857.71428571428578"/>
    <n v="857.71428571428578"/>
    <n v="0"/>
    <n v="0"/>
    <n v="0"/>
    <n v="107.21428571428572"/>
    <n v="0.88451785714285724"/>
    <n v="4.0741428571428573"/>
    <n v="107.21428571428572"/>
    <n v="0.76144617974809237"/>
    <s v="SIM"/>
    <s v="SIM"/>
    <n v="102.25562500000001"/>
    <n v="818.04500000000007"/>
    <n v="818.04500000000007"/>
    <n v="134.2913363014429"/>
    <n v="1074.3306904115432"/>
    <n v="1364.2294481416423"/>
    <n v="1364.2294481416423"/>
    <n v="1074.3306904115432"/>
  </r>
  <r>
    <x v="3"/>
    <x v="4"/>
    <s v="CONJUNTO BEP"/>
    <x v="10"/>
    <s v="AUTPRO"/>
    <n v="0"/>
    <m/>
    <s v="PÇ"/>
    <n v="7"/>
    <n v="400"/>
    <n v="0.12"/>
    <n v="3.2500000000000001E-2"/>
    <m/>
    <n v="400"/>
    <s v="SÃO PAULO"/>
    <s v="NORMAL"/>
    <n v="1.6500000000000001E-2"/>
    <n v="7.5999999999999998E-2"/>
    <n v="2800"/>
    <n v="2891"/>
    <n v="0"/>
    <n v="48"/>
    <n v="336"/>
    <n v="400"/>
    <n v="3.3000000000000003"/>
    <n v="15.2"/>
    <n v="413"/>
    <n v="0.76144617974809237"/>
    <s v="SIM"/>
    <s v="SIM"/>
    <n v="333.5"/>
    <n v="2334.5"/>
    <n v="2334.5"/>
    <n v="437.98236680408735"/>
    <n v="3065.8765676286116"/>
    <n v="3893.1765938141102"/>
    <n v="3893.1765938141102"/>
    <n v="3065.8765676286116"/>
  </r>
  <r>
    <x v="3"/>
    <x v="4"/>
    <s v="CONEXÕES E EQUIPOTENCIALIZAÇÃO DE EQUIPAMENTOS"/>
    <x v="11"/>
    <s v="INTELLI"/>
    <n v="0"/>
    <m/>
    <s v="PÇ"/>
    <n v="20"/>
    <n v="15"/>
    <n v="0.12"/>
    <n v="3.2500000000000001E-2"/>
    <m/>
    <n v="15"/>
    <s v="SÃO PAULO"/>
    <s v="NORMAL"/>
    <n v="1.6500000000000001E-2"/>
    <n v="7.5999999999999998E-2"/>
    <n v="300"/>
    <n v="309.75"/>
    <n v="0"/>
    <n v="1.7999999999999998"/>
    <n v="36"/>
    <n v="15"/>
    <n v="0.12375"/>
    <n v="0.56999999999999995"/>
    <n v="15.487500000000001"/>
    <n v="0.76144617974809237"/>
    <s v="SIM"/>
    <s v="SIM"/>
    <n v="12.50625"/>
    <n v="250.125"/>
    <n v="250.125"/>
    <n v="16.424338755153276"/>
    <n v="328.4867751030655"/>
    <n v="417.12606362294036"/>
    <n v="417.12606362294036"/>
    <n v="328.4867751030655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4"/>
    <x v="5"/>
    <s v="MATERIAIS ATERRAMENTO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4"/>
    <x v="5"/>
    <s v="BARRA CHATA DE ALUMÍNIO, 3MTS, 7/8&quot; X 1/8&quot;"/>
    <x v="12"/>
    <s v="PARAGAM"/>
    <n v="0"/>
    <m/>
    <s v="PÇ"/>
    <n v="29"/>
    <n v="21"/>
    <n v="0"/>
    <n v="0"/>
    <m/>
    <n v="21"/>
    <s v="SÃO PAULO"/>
    <s v="NORMAL"/>
    <n v="1.6500000000000001E-2"/>
    <n v="7.5999999999999998E-2"/>
    <n v="609"/>
    <n v="609"/>
    <n v="0"/>
    <n v="0"/>
    <n v="0"/>
    <n v="21"/>
    <n v="0.17325000000000002"/>
    <n v="0.79799999999999993"/>
    <n v="21"/>
    <n v="0.76144617974809237"/>
    <s v="SIM"/>
    <s v="SIM"/>
    <n v="20.028750000000002"/>
    <n v="580.83375000000001"/>
    <n v="580.83375000000001"/>
    <n v="26.303566204279949"/>
    <n v="762.80341992411854"/>
    <n v="968.63926339570617"/>
    <n v="968.63926339570617"/>
    <n v="762.80341992411854"/>
  </r>
  <r>
    <x v="4"/>
    <x v="5"/>
    <s v="TERMINAL AÉREO, H=600MM, 7/8 X 1/8, ALUMINIO"/>
    <x v="13"/>
    <s v="PARAGAM"/>
    <n v="0"/>
    <m/>
    <s v="PÇ"/>
    <n v="20"/>
    <n v="5.6"/>
    <n v="0"/>
    <n v="0"/>
    <m/>
    <n v="5.6"/>
    <s v="SÃO PAULO"/>
    <s v="NORMAL"/>
    <n v="1.6500000000000001E-2"/>
    <n v="7.5999999999999998E-2"/>
    <n v="112"/>
    <n v="112"/>
    <n v="0"/>
    <n v="0"/>
    <n v="0"/>
    <n v="5.6"/>
    <n v="4.6199999999999998E-2"/>
    <n v="0.21279999999999999"/>
    <n v="5.6"/>
    <n v="0.76144617974809237"/>
    <s v="SIM"/>
    <s v="SIM"/>
    <n v="5.3410000000000002"/>
    <n v="106.82000000000001"/>
    <n v="106.82000000000001"/>
    <n v="7.0142843211413206"/>
    <n v="140.28568642282642"/>
    <n v="178.14055418771611"/>
    <n v="178.14055418771611"/>
    <n v="140.28568642282642"/>
  </r>
  <r>
    <x v="4"/>
    <x v="5"/>
    <s v="ADERIFIX - SUPORTE FIXADOR COLÁVEL"/>
    <x v="14"/>
    <s v="PARAGAM"/>
    <n v="0"/>
    <m/>
    <s v="PÇ"/>
    <n v="90"/>
    <n v="4.01"/>
    <n v="0"/>
    <n v="0"/>
    <m/>
    <n v="4.01"/>
    <s v="SÃO PAULO"/>
    <s v="NORMAL"/>
    <n v="1.6500000000000001E-2"/>
    <n v="7.5999999999999998E-2"/>
    <n v="360.9"/>
    <n v="360.9"/>
    <n v="0"/>
    <n v="0"/>
    <n v="0"/>
    <n v="4.01"/>
    <n v="3.3082500000000001E-2"/>
    <n v="0.15237999999999999"/>
    <n v="4.01"/>
    <n v="0.76144617974809237"/>
    <s v="SIM"/>
    <s v="SIM"/>
    <n v="3.8245374999999999"/>
    <n v="344.20837499999999"/>
    <n v="344.20837499999999"/>
    <n v="5.0227285942458382"/>
    <n v="452.04557348212546"/>
    <n v="574.0261250566673"/>
    <n v="574.0261250566673"/>
    <n v="452.04557348212546"/>
  </r>
  <r>
    <x v="4"/>
    <x v="5"/>
    <s v="ADESIVO PU"/>
    <x v="15"/>
    <s v="PARAGAM"/>
    <n v="0"/>
    <m/>
    <s v="PÇ"/>
    <n v="5"/>
    <n v="40"/>
    <n v="0"/>
    <n v="0"/>
    <m/>
    <n v="40"/>
    <s v="SÃO PAULO"/>
    <s v="NORMAL"/>
    <n v="1.6500000000000001E-2"/>
    <n v="7.5999999999999998E-2"/>
    <n v="200"/>
    <n v="200"/>
    <n v="0"/>
    <n v="0"/>
    <n v="0"/>
    <n v="40"/>
    <n v="0.33"/>
    <n v="1.52"/>
    <n v="40"/>
    <n v="0.76144617974809237"/>
    <s v="SIM"/>
    <s v="SIM"/>
    <n v="38.15"/>
    <n v="190.75"/>
    <n v="190.75"/>
    <n v="50.102030865295141"/>
    <n v="250.51015432647571"/>
    <n v="318.10813247806442"/>
    <n v="318.10813247806442"/>
    <n v="250.51015432647571"/>
  </r>
  <r>
    <x v="4"/>
    <x v="5"/>
    <s v="CAIXA SUSPENSA 1-1.1/2 - 2, PP"/>
    <x v="16"/>
    <s v="PARAGAM"/>
    <n v="0"/>
    <m/>
    <s v="PÇ"/>
    <n v="8"/>
    <n v="12.21"/>
    <n v="0"/>
    <n v="0"/>
    <m/>
    <n v="12.21"/>
    <s v="SÃO PAULO"/>
    <s v="NORMAL"/>
    <n v="1.6500000000000001E-2"/>
    <n v="7.5999999999999998E-2"/>
    <n v="97.68"/>
    <n v="97.68"/>
    <n v="0"/>
    <n v="0"/>
    <n v="0"/>
    <n v="12.21"/>
    <n v="0.10073250000000002"/>
    <n v="0.46398"/>
    <n v="12.21"/>
    <n v="0.76144617974809237"/>
    <s v="SIM"/>
    <s v="SIM"/>
    <n v="11.645287500000002"/>
    <n v="93.162300000000016"/>
    <n v="93.162300000000016"/>
    <n v="15.293644921631346"/>
    <n v="122.34915937305077"/>
    <n v="155.36401190228671"/>
    <n v="155.36401190228671"/>
    <n v="122.34915937305077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LEITOS E ACESSÓRIOS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LEITO SEMI-PESADO 100X200X3000MM, ABAS EXTERNAS, GF, #12/14, LONGARINA &quot;U&quot; ALTURA 100MM CHAPA #12, TRAVESSAS DE PERFILADOS 38X19MM CHAPA #14 SOLDADAS À LONGARINA, DISTÂNCIA ENTRE TRAVESSAS 250MM."/>
    <x v="17"/>
    <s v="INECEL"/>
    <n v="0"/>
    <m/>
    <s v="PÇ"/>
    <n v="10"/>
    <n v="259.67"/>
    <n v="0.18"/>
    <n v="0"/>
    <m/>
    <n v="259.67"/>
    <s v="SÃO PAULO"/>
    <s v="NORMAL"/>
    <n v="1.6500000000000001E-2"/>
    <n v="7.5999999999999998E-2"/>
    <n v="2596.7000000000003"/>
    <n v="2596.7000000000003"/>
    <n v="0"/>
    <n v="46.740600000000001"/>
    <n v="467.40600000000001"/>
    <n v="259.67"/>
    <n v="2.1422775000000001"/>
    <n v="9.8674600000000012"/>
    <n v="259.67"/>
    <n v="0.76144617974809237"/>
    <s v="SIM"/>
    <s v="SIM"/>
    <n v="200.91966250000002"/>
    <n v="2009.196625"/>
    <n v="2009.196625"/>
    <n v="263.86587502017522"/>
    <n v="2638.6587502017524"/>
    <n v="3350.6777780339717"/>
    <n v="3350.6777780339717"/>
    <n v="2638.6587502017524"/>
  </r>
  <r>
    <x v="5"/>
    <x v="6"/>
    <s v="TAMPA DE ENCAIXE LEITO RETA 200X3000MM, GF, CHAPA #16"/>
    <x v="17"/>
    <s v="INECEL"/>
    <n v="0"/>
    <m/>
    <s v="PÇ"/>
    <n v="10"/>
    <n v="148.36000000000001"/>
    <n v="0.18"/>
    <n v="0"/>
    <m/>
    <n v="148.36000000000001"/>
    <s v="SÃO PAULO"/>
    <s v="NORMAL"/>
    <n v="1.6500000000000001E-2"/>
    <n v="7.5999999999999998E-2"/>
    <n v="1483.6000000000001"/>
    <n v="1483.6000000000001"/>
    <n v="0"/>
    <n v="26.704800000000002"/>
    <n v="267.048"/>
    <n v="148.36000000000001"/>
    <n v="1.2239700000000002"/>
    <n v="5.6376800000000005"/>
    <n v="148.36000000000001"/>
    <n v="0.76144617974809237"/>
    <s v="SIM"/>
    <s v="SIM"/>
    <n v="114.79355000000001"/>
    <n v="1147.9355"/>
    <n v="1147.9355"/>
    <n v="150.75727353176416"/>
    <n v="1507.5727353176417"/>
    <n v="1914.3780765938309"/>
    <n v="1914.3780765938309"/>
    <n v="1507.5727353176417"/>
  </r>
  <r>
    <x v="5"/>
    <x v="6"/>
    <s v="LEITO SEMI-PESADO 100X400X3000MM, ABAS EXTERNAS, GF, #12/14, LONGARINA &quot;U&quot; ALTURA 100MM CHAPA #12, TRAVESSAS DE PERFILADOS 38X19MM CHAPA #14 SOLDADAS À LONGARINA, DISTÂNCIA ENTRE TRAVESSAS 250MM."/>
    <x v="18"/>
    <s v="INECEL"/>
    <n v="0"/>
    <m/>
    <s v="PÇ"/>
    <n v="6"/>
    <n v="296.07"/>
    <n v="0.18"/>
    <n v="0"/>
    <m/>
    <n v="296.07"/>
    <s v="SÃO PAULO"/>
    <s v="NORMAL"/>
    <n v="1.6500000000000001E-2"/>
    <n v="7.5999999999999998E-2"/>
    <n v="1776.42"/>
    <n v="1776.42"/>
    <n v="0"/>
    <n v="53.2926"/>
    <n v="319.75560000000002"/>
    <n v="296.07"/>
    <n v="2.4425775000000001"/>
    <n v="11.25066"/>
    <n v="296.07"/>
    <n v="0.76144617974809237"/>
    <s v="SIM"/>
    <s v="SIM"/>
    <n v="229.08416249999999"/>
    <n v="1374.5049749999998"/>
    <n v="1374.5049749999998"/>
    <n v="300.85404404522376"/>
    <n v="1805.1242642713426"/>
    <n v="2292.2212879636099"/>
    <n v="2292.2212879636099"/>
    <n v="1805.1242642713426"/>
  </r>
  <r>
    <x v="5"/>
    <x v="6"/>
    <s v="TAMPA DE ENCAIXE LEITO RETA 400X3000MM, GF, CHAPA #16"/>
    <x v="18"/>
    <s v="INECEL"/>
    <n v="0"/>
    <m/>
    <s v="PÇ"/>
    <n v="6"/>
    <n v="261.32"/>
    <n v="0.18"/>
    <n v="0"/>
    <m/>
    <n v="261.32"/>
    <s v="SÃO PAULO"/>
    <s v="NORMAL"/>
    <n v="1.6500000000000001E-2"/>
    <n v="7.5999999999999998E-2"/>
    <n v="1567.92"/>
    <n v="1567.92"/>
    <n v="0"/>
    <n v="47.037599999999998"/>
    <n v="282.22559999999999"/>
    <n v="261.32"/>
    <n v="2.1558899999999999"/>
    <n v="9.930159999999999"/>
    <n v="261.32"/>
    <n v="0.76144617974809237"/>
    <s v="SIM"/>
    <s v="SIM"/>
    <n v="202.19635"/>
    <n v="1213.1781000000001"/>
    <n v="1213.1781000000001"/>
    <n v="265.5425365281788"/>
    <n v="1593.2552191690729"/>
    <n v="2023.1812306908864"/>
    <n v="2023.1812306908864"/>
    <n v="1593.2552191690729"/>
  </r>
  <r>
    <x v="5"/>
    <x v="6"/>
    <s v="CURVA HORIZONTAL 90º SEMI-PESADO 100X200MM, ABAS EXTERNAS, GF, #12/14, LONGARINA &quot;U&quot; ALTURA 100MM CHAPA #12, TRAVESSAS DE PERFILADOS 38X19MM CHAPA #14 SOLDADAS À LONGARINA, DISTÂNCIA ENTRE TRAVESSAS 250MM."/>
    <x v="17"/>
    <s v="INECEL"/>
    <n v="0"/>
    <m/>
    <s v="PÇ"/>
    <n v="4"/>
    <n v="68.31"/>
    <n v="0.18"/>
    <n v="0"/>
    <m/>
    <n v="68.31"/>
    <s v="SÃO PAULO"/>
    <s v="NORMAL"/>
    <n v="1.6500000000000001E-2"/>
    <n v="7.5999999999999998E-2"/>
    <n v="273.24"/>
    <n v="273.24"/>
    <n v="0"/>
    <n v="12.2958"/>
    <n v="49.183199999999999"/>
    <n v="68.31"/>
    <n v="0.56355750000000004"/>
    <n v="2.59578"/>
    <n v="68.31"/>
    <n v="0.76144617974809237"/>
    <s v="SIM"/>
    <s v="SIM"/>
    <n v="52.854862500000003"/>
    <n v="211.41945000000001"/>
    <n v="211.41945000000001"/>
    <n v="69.413786431348129"/>
    <n v="277.65514572539252"/>
    <n v="352.57796282589533"/>
    <n v="352.57796282589533"/>
    <n v="277.65514572539252"/>
  </r>
  <r>
    <x v="5"/>
    <x v="6"/>
    <s v="TAMPA DE ENCAIXE CURVA HORIZONTAL 90º RETA 200MM, GF, CHAPA #16"/>
    <x v="17"/>
    <s v="INECEL"/>
    <n v="0"/>
    <m/>
    <s v="PÇ"/>
    <n v="4"/>
    <n v="51.85"/>
    <n v="0.18"/>
    <n v="0"/>
    <m/>
    <n v="51.85"/>
    <s v="SÃO PAULO"/>
    <s v="NORMAL"/>
    <n v="1.6500000000000001E-2"/>
    <n v="7.5999999999999998E-2"/>
    <n v="207.4"/>
    <n v="207.4"/>
    <n v="0"/>
    <n v="9.3330000000000002"/>
    <n v="37.332000000000001"/>
    <n v="51.85"/>
    <n v="0.42776250000000005"/>
    <n v="1.9702999999999999"/>
    <n v="51.85"/>
    <n v="0.76144617974809237"/>
    <s v="SIM"/>
    <s v="SIM"/>
    <n v="40.118937500000001"/>
    <n v="160.47575000000001"/>
    <n v="160.47575000000001"/>
    <n v="52.687817690900317"/>
    <n v="210.75127076360127"/>
    <n v="267.62066128711274"/>
    <n v="267.62066128711274"/>
    <n v="210.75127076360127"/>
  </r>
  <r>
    <x v="5"/>
    <x v="6"/>
    <s v="CURVA HORIZONTAL 90º SEMI-PESADO 100X4000MM, ABAS EXTERNAS, GF, #12/14, LONGARINA &quot;U&quot; ALTURA 100MM CHAPA #12, TRAVESSAS DE PERFILADOS 38X19MM CHAPA #14 SOLDADAS À LONGARINA, DISTÂNCIA ENTRE TRAVESSAS 250MM."/>
    <x v="18"/>
    <s v="INECEL"/>
    <n v="0"/>
    <m/>
    <s v="PÇ"/>
    <n v="0"/>
    <n v="170.46"/>
    <n v="0.18"/>
    <n v="0"/>
    <m/>
    <n v="170.46"/>
    <s v="SÃO PAULO"/>
    <s v="NORMAL"/>
    <n v="1.6500000000000001E-2"/>
    <n v="7.5999999999999998E-2"/>
    <n v="0"/>
    <n v="0"/>
    <n v="0"/>
    <n v="30.6828"/>
    <n v="0"/>
    <n v="170.46"/>
    <n v="1.4062950000000001"/>
    <n v="6.4774799999999999"/>
    <n v="170.46"/>
    <n v="0.76144617974809237"/>
    <s v="SIM"/>
    <s v="SIM"/>
    <n v="131.89342499999998"/>
    <n v="0"/>
    <n v="0"/>
    <n v="0"/>
    <n v="0"/>
    <n v="0"/>
    <n v="0"/>
    <n v="0"/>
  </r>
  <r>
    <x v="5"/>
    <x v="6"/>
    <s v="TAMPA DE ENCAIXE CURVA HORIZONTAL 90º RETA 400MM, GF, CHAPA #16"/>
    <x v="18"/>
    <s v="INECEL"/>
    <n v="0"/>
    <m/>
    <s v="PÇ"/>
    <n v="0"/>
    <n v="207.16"/>
    <n v="0.18"/>
    <n v="0"/>
    <m/>
    <n v="207.16"/>
    <s v="SÃO PAULO"/>
    <s v="NORMAL"/>
    <n v="1.6500000000000001E-2"/>
    <n v="7.5999999999999998E-2"/>
    <n v="0"/>
    <n v="0"/>
    <n v="0"/>
    <n v="37.288799999999995"/>
    <n v="0"/>
    <n v="207.16"/>
    <n v="1.7090700000000001"/>
    <n v="7.8720799999999995"/>
    <n v="207.16"/>
    <n v="0.76144617974809237"/>
    <s v="SIM"/>
    <s v="SIM"/>
    <n v="160.29004999999998"/>
    <n v="0"/>
    <n v="0"/>
    <n v="0"/>
    <n v="0"/>
    <n v="0"/>
    <n v="0"/>
    <n v="0"/>
  </r>
  <r>
    <x v="5"/>
    <x v="6"/>
    <s v="CURVA VERTICAL EXTERNA 90º SEMI-PESADO 100X200MM, ABAS EXTERNAS, GF, #12/14, LONGARINA &quot;U&quot; ALTURA 100MM CHAPA #12, TRAVESSAS DE PERFILADOS 38X19MM CHAPA #14 SOLDADAS À LONGARINA, DISTÂNCIA ENTRE TRAVESSAS 250MM."/>
    <x v="17"/>
    <s v="INECEL"/>
    <n v="0"/>
    <m/>
    <s v="PÇ"/>
    <n v="1"/>
    <n v="68.31"/>
    <n v="0.18"/>
    <n v="0"/>
    <m/>
    <n v="68.31"/>
    <s v="SÃO PAULO"/>
    <s v="NORMAL"/>
    <n v="1.6500000000000001E-2"/>
    <n v="7.5999999999999998E-2"/>
    <n v="68.31"/>
    <n v="68.31"/>
    <n v="0"/>
    <n v="12.2958"/>
    <n v="12.2958"/>
    <n v="68.31"/>
    <n v="0.56355750000000004"/>
    <n v="2.59578"/>
    <n v="68.31"/>
    <n v="0.76144617974809237"/>
    <s v="SIM"/>
    <s v="SIM"/>
    <n v="52.854862500000003"/>
    <n v="52.854862500000003"/>
    <n v="52.854862500000003"/>
    <n v="69.413786431348129"/>
    <n v="69.413786431348129"/>
    <n v="88.144490706473832"/>
    <n v="88.144490706473832"/>
    <n v="69.413786431348129"/>
  </r>
  <r>
    <x v="5"/>
    <x v="6"/>
    <s v="TAMPA DE ENCAIXE CURVA VERTICAL EXTERNA 90º RETA 200MM, GF, CHAPA #16"/>
    <x v="17"/>
    <s v="INECEL"/>
    <n v="0"/>
    <m/>
    <s v="PÇ"/>
    <n v="1"/>
    <n v="51.85"/>
    <n v="0.18"/>
    <n v="0"/>
    <m/>
    <n v="51.85"/>
    <s v="SÃO PAULO"/>
    <s v="NORMAL"/>
    <n v="1.6500000000000001E-2"/>
    <n v="7.5999999999999998E-2"/>
    <n v="51.85"/>
    <n v="51.85"/>
    <n v="0"/>
    <n v="9.3330000000000002"/>
    <n v="9.3330000000000002"/>
    <n v="51.85"/>
    <n v="0.42776250000000005"/>
    <n v="1.9702999999999999"/>
    <n v="51.85"/>
    <n v="0.76144617974809237"/>
    <s v="SIM"/>
    <s v="SIM"/>
    <n v="40.118937500000001"/>
    <n v="40.118937500000001"/>
    <n v="40.118937500000001"/>
    <n v="52.687817690900317"/>
    <n v="52.687817690900317"/>
    <n v="66.905165321778185"/>
    <n v="66.905165321778185"/>
    <n v="52.687817690900317"/>
  </r>
  <r>
    <x v="5"/>
    <x v="6"/>
    <s v="CURVA VERTICAL EXTERNA 90º SEMI-PESADO 100X400MM, ABAS EXTERNAS, GF, #12/14, LONGARINA &quot;U&quot; ALTURA 100MM CHAPA #12, TRAVESSAS DE PERFILADOS 38X19MM CHAPA #14 SOLDADAS À LONGARINA, DISTÂNCIA ENTRE TRAVESSAS 250MM."/>
    <x v="18"/>
    <s v="INECEL"/>
    <n v="0"/>
    <m/>
    <s v="PÇ"/>
    <n v="2"/>
    <n v="85.47"/>
    <n v="0.18"/>
    <n v="0"/>
    <m/>
    <n v="85.47"/>
    <s v="SÃO PAULO"/>
    <s v="NORMAL"/>
    <n v="1.6500000000000001E-2"/>
    <n v="7.5999999999999998E-2"/>
    <n v="170.94"/>
    <n v="170.94"/>
    <n v="0"/>
    <n v="15.384599999999999"/>
    <n v="30.769199999999998"/>
    <n v="85.47"/>
    <n v="0.70512750000000002"/>
    <n v="3.2478599999999997"/>
    <n v="85.47"/>
    <n v="0.76144617974809237"/>
    <s v="SIM"/>
    <s v="SIM"/>
    <n v="66.132412499999987"/>
    <n v="132.26482499999997"/>
    <n v="132.26482499999997"/>
    <n v="86.851066114585322"/>
    <n v="173.70213222917064"/>
    <n v="220.57413616402624"/>
    <n v="220.57413616402624"/>
    <n v="173.70213222917064"/>
  </r>
  <r>
    <x v="5"/>
    <x v="6"/>
    <s v="TAMPA DE ENCAIXE CURVA VERTICAL EXTERNA 90º RETA 400MM, GF, CHAPA #16"/>
    <x v="18"/>
    <s v="INECEL"/>
    <n v="0"/>
    <m/>
    <s v="PÇ"/>
    <n v="2"/>
    <n v="91.22"/>
    <n v="0.18"/>
    <n v="0"/>
    <m/>
    <n v="91.22"/>
    <s v="SÃO PAULO"/>
    <s v="NORMAL"/>
    <n v="1.6500000000000001E-2"/>
    <n v="7.5999999999999998E-2"/>
    <n v="182.44"/>
    <n v="182.44"/>
    <n v="0"/>
    <n v="16.419599999999999"/>
    <n v="32.839199999999998"/>
    <n v="91.22"/>
    <n v="0.75256500000000004"/>
    <n v="3.4663599999999999"/>
    <n v="91.22"/>
    <n v="0.76144617974809237"/>
    <s v="SIM"/>
    <s v="SIM"/>
    <n v="70.581474999999998"/>
    <n v="141.16295"/>
    <n v="141.16295"/>
    <n v="92.693977430355375"/>
    <n v="185.38795486071075"/>
    <n v="235.41327601360098"/>
    <n v="235.41327601360098"/>
    <n v="185.38795486071075"/>
  </r>
  <r>
    <x v="5"/>
    <x v="6"/>
    <s v="CURVA VERTICAL INTERNA 90º SEMI-PESADO 100X200MM, ABAS EXTERNAS, GF, #12/14, LONGARINA &quot;U&quot; ALTURA 100MM CHAPA #12, TRAVESSAS DE PERFILADOS 38X19MM CHAPA #14 SOLDADAS À LONGARINA, DISTÂNCIA ENTRE TRAVESSAS 250MM."/>
    <x v="17"/>
    <s v="INECEL"/>
    <n v="0"/>
    <m/>
    <s v="PÇ"/>
    <n v="1"/>
    <n v="68.31"/>
    <n v="0.18"/>
    <n v="0"/>
    <m/>
    <n v="68.31"/>
    <s v="SÃO PAULO"/>
    <s v="NORMAL"/>
    <n v="1.6500000000000001E-2"/>
    <n v="7.5999999999999998E-2"/>
    <n v="68.31"/>
    <n v="68.31"/>
    <n v="0"/>
    <n v="12.2958"/>
    <n v="12.2958"/>
    <n v="68.31"/>
    <n v="0.56355750000000004"/>
    <n v="2.59578"/>
    <n v="68.31"/>
    <n v="0.76144617974809237"/>
    <s v="SIM"/>
    <s v="SIM"/>
    <n v="52.854862500000003"/>
    <n v="52.854862500000003"/>
    <n v="52.854862500000003"/>
    <n v="69.413786431348129"/>
    <n v="69.413786431348129"/>
    <n v="88.144490706473832"/>
    <n v="88.144490706473832"/>
    <n v="69.413786431348129"/>
  </r>
  <r>
    <x v="5"/>
    <x v="6"/>
    <s v="TAMPA DE ENCAIXE CURVA VERTICAL INTERNA 90º RETA 200MM, GF, CHAPA #16"/>
    <x v="17"/>
    <s v="INECEL"/>
    <n v="0"/>
    <m/>
    <s v="PÇ"/>
    <n v="1"/>
    <n v="51.85"/>
    <n v="0.18"/>
    <n v="0"/>
    <m/>
    <n v="51.85"/>
    <s v="SÃO PAULO"/>
    <s v="NORMAL"/>
    <n v="1.6500000000000001E-2"/>
    <n v="7.5999999999999998E-2"/>
    <n v="51.85"/>
    <n v="51.85"/>
    <n v="0"/>
    <n v="9.3330000000000002"/>
    <n v="9.3330000000000002"/>
    <n v="51.85"/>
    <n v="0.42776250000000005"/>
    <n v="1.9702999999999999"/>
    <n v="51.85"/>
    <n v="0.76144617974809237"/>
    <s v="SIM"/>
    <s v="SIM"/>
    <n v="40.118937500000001"/>
    <n v="40.118937500000001"/>
    <n v="40.118937500000001"/>
    <n v="52.687817690900317"/>
    <n v="52.687817690900317"/>
    <n v="66.905165321778185"/>
    <n v="66.905165321778185"/>
    <n v="52.687817690900317"/>
  </r>
  <r>
    <x v="5"/>
    <x v="6"/>
    <s v="CURVA VERTICAL INTERNA 90º SEMI-PESADO 100X400MM, ABAS EXTERNAS, GF, #12/14, LONGARINA &quot;U&quot; ALTURA 100MM CHAPA #12, TRAVESSAS DE PERFILADOS 38X19MM CHAPA #14 SOLDADAS À LONGARINA, DISTÂNCIA ENTRE TRAVESSAS 250MM."/>
    <x v="18"/>
    <s v="INECEL"/>
    <n v="0"/>
    <m/>
    <s v="PÇ"/>
    <n v="2"/>
    <n v="85.47"/>
    <n v="0.18"/>
    <n v="0"/>
    <m/>
    <n v="85.47"/>
    <s v="SÃO PAULO"/>
    <s v="NORMAL"/>
    <n v="1.6500000000000001E-2"/>
    <n v="7.5999999999999998E-2"/>
    <n v="170.94"/>
    <n v="170.94"/>
    <n v="0"/>
    <n v="15.384599999999999"/>
    <n v="30.769199999999998"/>
    <n v="85.47"/>
    <n v="0.70512750000000002"/>
    <n v="3.2478599999999997"/>
    <n v="85.47"/>
    <n v="0.76144617974809237"/>
    <s v="SIM"/>
    <s v="SIM"/>
    <n v="66.132412499999987"/>
    <n v="132.26482499999997"/>
    <n v="132.26482499999997"/>
    <n v="86.851066114585322"/>
    <n v="173.70213222917064"/>
    <n v="220.57413616402624"/>
    <n v="220.57413616402624"/>
    <n v="173.70213222917064"/>
  </r>
  <r>
    <x v="5"/>
    <x v="6"/>
    <s v="TAMPA DE ENCAIXE CURVA VERTICAL INTERNA 90º RETA 400MM, GF, CHAPA #16"/>
    <x v="18"/>
    <s v="INECEL"/>
    <n v="0"/>
    <m/>
    <s v="PÇ"/>
    <n v="2"/>
    <n v="91.22"/>
    <n v="0.18"/>
    <n v="0"/>
    <m/>
    <n v="91.22"/>
    <s v="SÃO PAULO"/>
    <s v="NORMAL"/>
    <n v="1.6500000000000001E-2"/>
    <n v="7.5999999999999998E-2"/>
    <n v="182.44"/>
    <n v="182.44"/>
    <n v="0"/>
    <n v="16.419599999999999"/>
    <n v="32.839199999999998"/>
    <n v="91.22"/>
    <n v="0.75256500000000004"/>
    <n v="3.4663599999999999"/>
    <n v="91.22"/>
    <n v="0.76144617974809237"/>
    <s v="SIM"/>
    <s v="SIM"/>
    <n v="70.581474999999998"/>
    <n v="141.16295"/>
    <n v="141.16295"/>
    <n v="92.693977430355375"/>
    <n v="185.38795486071075"/>
    <n v="235.41327601360098"/>
    <n v="235.41327601360098"/>
    <n v="185.38795486071075"/>
  </r>
  <r>
    <x v="5"/>
    <x v="6"/>
    <s v="TÊ HORIZONTAL 90º SEMI-PESADO 100X200X3000MM, ABAS EXTERNAS, GF, #12/14, LONGARINA &quot;U&quot; ALTURA 100MM CHAPA #12, TRAVESSAS DE PERFILADOS 38X19MM CHAPA #14 SOLDADAS À LONGARINA, DISTÂNCIA ENTRE TRAVESSAS 250MM."/>
    <x v="17"/>
    <s v="INECEL"/>
    <n v="0"/>
    <m/>
    <s v="PÇ"/>
    <n v="1"/>
    <n v="178.04238862431185"/>
    <n v="0.18"/>
    <n v="0"/>
    <m/>
    <n v="178.04238862431185"/>
    <s v="SÃO PAULO"/>
    <s v="NORMAL"/>
    <n v="1.6500000000000001E-2"/>
    <n v="7.5999999999999998E-2"/>
    <n v="178.04238862431185"/>
    <n v="178.04238862431185"/>
    <n v="0"/>
    <n v="32.047629952376134"/>
    <n v="32.047629952376134"/>
    <n v="178.04238862431185"/>
    <n v="1.468849706150573"/>
    <n v="6.7656107677238504"/>
    <n v="178.04238862431185"/>
    <n v="0.76144617974809237"/>
    <s v="SIM"/>
    <s v="SIM"/>
    <n v="137.76029819806132"/>
    <n v="137.76029819806132"/>
    <n v="137.76029819806132"/>
    <n v="180.91928472690779"/>
    <n v="180.91928472690779"/>
    <n v="229.73877425639088"/>
    <n v="229.73877425639088"/>
    <n v="180.91928472690779"/>
  </r>
  <r>
    <x v="5"/>
    <x v="6"/>
    <s v="TAMPA DE ENCAIXE TÊ HORIZONTAL 90º RETA 200MM, GF, CHAPA #16"/>
    <x v="17"/>
    <s v="INECEL"/>
    <n v="0"/>
    <m/>
    <s v="PÇ"/>
    <n v="1"/>
    <n v="192.95234235147097"/>
    <n v="0.18"/>
    <n v="0"/>
    <m/>
    <n v="192.95234235147097"/>
    <s v="SÃO PAULO"/>
    <s v="NORMAL"/>
    <n v="1.6500000000000001E-2"/>
    <n v="7.5999999999999998E-2"/>
    <n v="192.95234235147097"/>
    <n v="192.95234235147097"/>
    <n v="0"/>
    <n v="34.731421623264772"/>
    <n v="34.731421623264772"/>
    <n v="192.95234235147097"/>
    <n v="1.5918568243996356"/>
    <n v="7.332189009355897"/>
    <n v="192.95234235147097"/>
    <n v="0.76144617974809237"/>
    <s v="SIM"/>
    <s v="SIM"/>
    <n v="149.2968748944507"/>
    <n v="149.2968748944507"/>
    <n v="149.2968748944507"/>
    <n v="196.07016078778184"/>
    <n v="196.07016078778184"/>
    <n v="248.97798195273887"/>
    <n v="248.97798195273887"/>
    <n v="196.07016078778184"/>
  </r>
  <r>
    <x v="5"/>
    <x v="6"/>
    <s v="TÊ HORIZONTAL 90º SEMI-PESADO 100X400MM, ABAS EXTERNAS, GF, #12/14, LONGARINA &quot;U&quot; ALTURA 100MM CHAPA #12, TRAVESSAS DE PERFILADOS 38X19MM CHAPA #14 SOLDADAS À LONGARINA, DISTÂNCIA ENTRE TRAVESSAS 250MM."/>
    <x v="18"/>
    <s v="INECEL"/>
    <n v="0"/>
    <m/>
    <s v="PÇ"/>
    <n v="2"/>
    <n v="203"/>
    <n v="0.18"/>
    <n v="0"/>
    <m/>
    <n v="203"/>
    <s v="SÃO PAULO"/>
    <s v="NORMAL"/>
    <n v="1.6500000000000001E-2"/>
    <n v="7.5999999999999998E-2"/>
    <n v="406"/>
    <n v="406"/>
    <n v="0"/>
    <n v="36.54"/>
    <n v="73.08"/>
    <n v="203"/>
    <n v="1.6747500000000002"/>
    <n v="7.7139999999999995"/>
    <n v="203"/>
    <n v="0.76144617974809237"/>
    <s v="SIM"/>
    <s v="SIM"/>
    <n v="157.07125000000002"/>
    <n v="314.14250000000004"/>
    <n v="314.14250000000004"/>
    <n v="206.28017340892507"/>
    <n v="412.56034681785013"/>
    <n v="523.88615468933358"/>
    <n v="523.88615468933358"/>
    <n v="412.56034681785013"/>
  </r>
  <r>
    <x v="5"/>
    <x v="6"/>
    <s v="TAMPA DE ENCAIXE TÊ HORIZONTAL 90º RETA 400MM, GF, CHAPA #16"/>
    <x v="18"/>
    <s v="INECEL"/>
    <n v="0"/>
    <m/>
    <s v="PÇ"/>
    <n v="2"/>
    <n v="220"/>
    <n v="0.18"/>
    <n v="0"/>
    <m/>
    <n v="220"/>
    <s v="SÃO PAULO"/>
    <s v="NORMAL"/>
    <n v="1.6500000000000001E-2"/>
    <n v="7.5999999999999998E-2"/>
    <n v="440"/>
    <n v="440"/>
    <n v="0"/>
    <n v="39.6"/>
    <n v="79.2"/>
    <n v="220"/>
    <n v="1.8150000000000002"/>
    <n v="8.36"/>
    <n v="220"/>
    <n v="0.76144617974809237"/>
    <s v="SIM"/>
    <s v="SIM"/>
    <n v="170.22500000000002"/>
    <n v="340.45000000000005"/>
    <n v="340.45000000000005"/>
    <n v="223.55486773381043"/>
    <n v="447.10973546762085"/>
    <n v="567.75839424459798"/>
    <n v="567.75839424459798"/>
    <n v="447.10973546762085"/>
  </r>
  <r>
    <x v="5"/>
    <x v="6"/>
    <s v="JUNÇÃO SIMPLES 152X90MM C/ 8 FUROS BILONGADOS, DIMENSÕES 90(ALTURA) X 152(COMPRIMENTO)MM, GF, CHAPA #12"/>
    <x v="19"/>
    <s v="INECEL"/>
    <n v="0"/>
    <m/>
    <s v="PÇ"/>
    <n v="43.5"/>
    <n v="4.21"/>
    <n v="0.18"/>
    <n v="0"/>
    <m/>
    <n v="4.21"/>
    <s v="SÃO PAULO"/>
    <s v="NORMAL"/>
    <n v="1.6500000000000001E-2"/>
    <n v="7.5999999999999998E-2"/>
    <n v="183.13499999999999"/>
    <n v="183.13499999999999"/>
    <n v="0"/>
    <n v="0.75779999999999992"/>
    <n v="32.964299999999994"/>
    <n v="4.21"/>
    <n v="3.4732499999999999E-2"/>
    <n v="0.15997999999999998"/>
    <n v="4.21"/>
    <n v="0.76144617974809237"/>
    <s v="SIM"/>
    <s v="SIM"/>
    <n v="3.2574874999999999"/>
    <n v="141.70070625"/>
    <n v="141.70070625"/>
    <n v="4.2780272416333718"/>
    <n v="186.09418501105168"/>
    <n v="236.3100762045101"/>
    <n v="236.3100762045101"/>
    <n v="186.09418501105168"/>
  </r>
  <r>
    <x v="5"/>
    <x v="6"/>
    <s v="PARAFUSO CABEÇA LENTILHA AUTO-TRAVANTE 3/8&quot;X3/4&quot;, FABRICADO EM AÇO CARBONO ACABAMENTO ZINCADO BRANCO "/>
    <x v="19"/>
    <s v="INECEL"/>
    <n v="0"/>
    <m/>
    <s v="PÇ"/>
    <n v="464"/>
    <n v="0.36409999999999998"/>
    <n v="0.18"/>
    <n v="6.5000000000000002E-2"/>
    <m/>
    <n v="0.36409999999999998"/>
    <s v="SÃO PAULO"/>
    <s v="NORMAL"/>
    <n v="1.6500000000000001E-2"/>
    <n v="7.5999999999999998E-2"/>
    <n v="168.94239999999999"/>
    <n v="179.92365599999999"/>
    <n v="0"/>
    <n v="6.5537999999999999E-2"/>
    <n v="30.409631999999998"/>
    <n v="0.36409999999999998"/>
    <n v="3.0038249999999999E-3"/>
    <n v="1.3835799999999999E-2"/>
    <n v="0.38776649999999996"/>
    <n v="0.76144617974809237"/>
    <s v="SIM"/>
    <s v="SIM"/>
    <n v="0.28172237499999997"/>
    <n v="130.71918199999999"/>
    <n v="130.71918199999999"/>
    <n v="0.36998330609945618"/>
    <n v="171.67225403014766"/>
    <n v="217.99651305415577"/>
    <n v="217.99651305415577"/>
    <n v="171.67225403014766"/>
  </r>
  <r>
    <x v="5"/>
    <x v="6"/>
    <s v="PORCA SEXTAVADA 3/8&quot;, FABRICADA EM AÇO CARBONO ACABAMENTO ZINCADO BRANCO"/>
    <x v="19"/>
    <s v="INECEL"/>
    <n v="0"/>
    <m/>
    <s v="PÇ"/>
    <n v="464"/>
    <n v="0.16219999999999998"/>
    <n v="0.18"/>
    <n v="6.5000000000000002E-2"/>
    <m/>
    <n v="0.16219999999999998"/>
    <s v="SÃO PAULO"/>
    <s v="NORMAL"/>
    <n v="1.6500000000000001E-2"/>
    <n v="7.5999999999999998E-2"/>
    <n v="75.260799999999989"/>
    <n v="80.152751999999992"/>
    <n v="0"/>
    <n v="2.9195999999999996E-2"/>
    <n v="13.546943999999998"/>
    <n v="0.16219999999999998"/>
    <n v="1.33815E-3"/>
    <n v="6.1635999999999991E-3"/>
    <n v="0.17274299999999998"/>
    <n v="0.76144617974809237"/>
    <s v="SIM"/>
    <s v="SIM"/>
    <n v="0.12550224999999998"/>
    <n v="58.233043999999992"/>
    <n v="58.233043999999992"/>
    <n v="0.16482090702920019"/>
    <n v="76.476900861548884"/>
    <n v="97.113524903554151"/>
    <n v="97.113524903554151"/>
    <n v="76.476900861548884"/>
  </r>
  <r>
    <x v="5"/>
    <x v="6"/>
    <s v="ARRUELA LISA 3/8&quot;, FABRICADA EM AÇO CARBONO ACABAMENTO ZINCADO BRANCO"/>
    <x v="19"/>
    <s v="INECEL"/>
    <n v="0"/>
    <m/>
    <s v="PÇ"/>
    <n v="464"/>
    <n v="0.1215"/>
    <n v="0.18"/>
    <n v="6.5000000000000002E-2"/>
    <m/>
    <n v="0.1215"/>
    <s v="SÃO PAULO"/>
    <s v="NORMAL"/>
    <n v="1.6500000000000001E-2"/>
    <n v="7.5999999999999998E-2"/>
    <n v="56.375999999999998"/>
    <n v="60.040439999999997"/>
    <n v="0"/>
    <n v="2.1869999999999997E-2"/>
    <n v="10.147679999999999"/>
    <n v="0.1215"/>
    <n v="1.002375E-3"/>
    <n v="4.6169999999999996E-3"/>
    <n v="0.1293975"/>
    <n v="0.76144617974809237"/>
    <s v="SIM"/>
    <s v="SIM"/>
    <n v="9.4010625E-2"/>
    <n v="43.620930000000001"/>
    <n v="43.620930000000001"/>
    <n v="0.12346325649844528"/>
    <n v="57.286951015278611"/>
    <n v="72.745334622576024"/>
    <n v="72.745334622576024"/>
    <n v="57.286951015278611"/>
  </r>
  <r>
    <x v="5"/>
    <x v="6"/>
    <s v="PRESILHA PARA TAMPA DE ENCAIXE LEITO, LONGARINA 100MM X ABA 19MM, AÇO CARBONO, GF"/>
    <x v="19"/>
    <s v="INECEL"/>
    <n v="0"/>
    <m/>
    <s v="PÇ"/>
    <n v="116"/>
    <n v="1.1100000000000001"/>
    <n v="0.18"/>
    <m/>
    <m/>
    <n v="1.1100000000000001"/>
    <s v="SÃO PAULO"/>
    <s v="NORMAL"/>
    <n v="1.6500000000000001E-2"/>
    <n v="7.5999999999999998E-2"/>
    <n v="128.76000000000002"/>
    <n v="128.76000000000002"/>
    <n v="0"/>
    <n v="0.19980000000000001"/>
    <n v="23.1768"/>
    <n v="1.1100000000000001"/>
    <n v="9.1575000000000007E-3"/>
    <n v="4.2180000000000002E-2"/>
    <n v="1.1100000000000001"/>
    <n v="0.76144617974809237"/>
    <s v="SIM"/>
    <s v="SIM"/>
    <n v="0.85886250000000008"/>
    <n v="99.628050000000016"/>
    <n v="99.628050000000016"/>
    <n v="1.1279359235660433"/>
    <n v="130.84056713366104"/>
    <n v="166.14675191576006"/>
    <n v="166.14675191576006"/>
    <n v="130.84056713366104"/>
  </r>
  <r>
    <x v="5"/>
    <x v="6"/>
    <s v="PARAFUSO CABEÇA REDONDA/LENTILHA FENDA 1/4&quot;X1/2&quot;, FABRICADO EM AÇO CARBONO ACABAMENTO ZINCADO BRANCO"/>
    <x v="19"/>
    <s v="INECEL"/>
    <n v="0"/>
    <m/>
    <s v="PÇ"/>
    <n v="116"/>
    <n v="0.36409999999999998"/>
    <n v="0.18"/>
    <n v="6.5000000000000002E-2"/>
    <m/>
    <n v="0.36409999999999998"/>
    <s v="SÃO PAULO"/>
    <s v="NORMAL"/>
    <n v="1.6500000000000001E-2"/>
    <n v="7.5999999999999998E-2"/>
    <n v="42.235599999999998"/>
    <n v="44.980913999999999"/>
    <n v="0"/>
    <n v="6.5537999999999999E-2"/>
    <n v="7.6024079999999996"/>
    <n v="0.36409999999999998"/>
    <n v="3.0038249999999999E-3"/>
    <n v="1.3835799999999999E-2"/>
    <n v="0.38776649999999996"/>
    <n v="0.76144617974809237"/>
    <s v="SIM"/>
    <s v="SIM"/>
    <n v="0.28172237499999997"/>
    <n v="32.679795499999997"/>
    <n v="32.679795499999997"/>
    <n v="0.36998330609945618"/>
    <n v="42.918063507536914"/>
    <n v="54.499128263538942"/>
    <n v="54.499128263538942"/>
    <n v="42.918063507536914"/>
  </r>
  <r>
    <x v="5"/>
    <x v="6"/>
    <s v="PORCA SEXTAVADA 1/4&quot;, FABRICADA EM AÇO CARBONO ACABAMENTO ZINCADO BRANCO"/>
    <x v="19"/>
    <s v="INECEL"/>
    <n v="0"/>
    <m/>
    <s v="PÇ"/>
    <n v="116"/>
    <n v="0.16219999999999998"/>
    <n v="0.18"/>
    <n v="6.5000000000000002E-2"/>
    <m/>
    <n v="0.16219999999999998"/>
    <s v="SÃO PAULO"/>
    <s v="NORMAL"/>
    <n v="1.6500000000000001E-2"/>
    <n v="7.5999999999999998E-2"/>
    <n v="18.815199999999997"/>
    <n v="20.038187999999998"/>
    <n v="0"/>
    <n v="2.9195999999999996E-2"/>
    <n v="3.3867359999999995"/>
    <n v="0.16219999999999998"/>
    <n v="1.33815E-3"/>
    <n v="6.1635999999999991E-3"/>
    <n v="0.17274299999999998"/>
    <n v="0.76144617974809237"/>
    <s v="SIM"/>
    <s v="SIM"/>
    <n v="0.12550224999999998"/>
    <n v="14.558260999999998"/>
    <n v="14.558260999999998"/>
    <n v="0.16482090702920019"/>
    <n v="19.119225215387221"/>
    <n v="24.278381225888538"/>
    <n v="24.278381225888538"/>
    <n v="19.119225215387221"/>
  </r>
  <r>
    <x v="5"/>
    <x v="6"/>
    <s v="ARRUELA LISA 1/4&quot;, FABRICADA EM AÇO CARBONO ACABAMENTO ZINCADO BRANCO"/>
    <x v="19"/>
    <s v="INECEL"/>
    <n v="0"/>
    <m/>
    <s v="PÇ"/>
    <n v="116"/>
    <n v="0.1215"/>
    <n v="0.18"/>
    <n v="6.5000000000000002E-2"/>
    <m/>
    <n v="0.1215"/>
    <s v="SÃO PAULO"/>
    <s v="NORMAL"/>
    <n v="1.6500000000000001E-2"/>
    <n v="7.5999999999999998E-2"/>
    <n v="14.093999999999999"/>
    <n v="15.010109999999999"/>
    <n v="0"/>
    <n v="2.1869999999999997E-2"/>
    <n v="2.5369199999999998"/>
    <n v="0.1215"/>
    <n v="1.002375E-3"/>
    <n v="4.6169999999999996E-3"/>
    <n v="0.1293975"/>
    <n v="0.76144617974809237"/>
    <s v="SIM"/>
    <s v="SIM"/>
    <n v="9.4010625E-2"/>
    <n v="10.9052325"/>
    <n v="10.9052325"/>
    <n v="0.12346325649844528"/>
    <n v="14.321737753819653"/>
    <n v="18.186333655644006"/>
    <n v="18.186333655644006"/>
    <n v="14.321737753819653"/>
  </r>
  <r>
    <x v="5"/>
    <x v="6"/>
    <s v="ARRUELA DE PRESSÃO 1/4&quot;, FABRICADA EM AÇO CARBONO ACABAMENTO ZINCADO BRANCO"/>
    <x v="19"/>
    <s v="INECEL"/>
    <n v="0"/>
    <m/>
    <s v="PÇ"/>
    <n v="116"/>
    <n v="1.1100000000000001"/>
    <n v="0.18"/>
    <n v="6.5000000000000002E-2"/>
    <m/>
    <n v="1.1100000000000001"/>
    <s v="SÃO PAULO"/>
    <s v="NORMAL"/>
    <n v="1.6500000000000001E-2"/>
    <n v="7.5999999999999998E-2"/>
    <n v="128.76000000000002"/>
    <n v="137.12940000000003"/>
    <n v="0"/>
    <n v="0.19980000000000001"/>
    <n v="23.1768"/>
    <n v="1.1100000000000001"/>
    <n v="9.1575000000000007E-3"/>
    <n v="4.2180000000000002E-2"/>
    <n v="1.18215"/>
    <n v="0.76144617974809237"/>
    <s v="SIM"/>
    <s v="SIM"/>
    <n v="0.85886250000000008"/>
    <n v="99.628050000000016"/>
    <n v="99.628050000000016"/>
    <n v="1.1279359235660433"/>
    <n v="130.84056713366104"/>
    <n v="166.14675191576006"/>
    <n v="166.14675191576006"/>
    <n v="130.84056713366104"/>
  </r>
  <r>
    <x v="5"/>
    <x v="6"/>
    <s v="GRAPA FIXA PARA LEITO, FURO 3/8&quot;"/>
    <x v="19"/>
    <s v="INECEL"/>
    <n v="0"/>
    <m/>
    <s v="PÇ"/>
    <n v="116"/>
    <n v="1.42"/>
    <n v="0.18"/>
    <m/>
    <m/>
    <n v="1.42"/>
    <s v="SÃO PAULO"/>
    <s v="NORMAL"/>
    <n v="1.6500000000000001E-2"/>
    <n v="7.5999999999999998E-2"/>
    <n v="164.72"/>
    <n v="164.72"/>
    <n v="0"/>
    <n v="0.25559999999999999"/>
    <n v="29.6496"/>
    <n v="1.42"/>
    <n v="1.1715E-2"/>
    <n v="5.3959999999999994E-2"/>
    <n v="1.42"/>
    <n v="0.76144617974809237"/>
    <s v="SIM"/>
    <s v="SIM"/>
    <n v="1.098725"/>
    <n v="127.4521"/>
    <n v="127.4521"/>
    <n v="1.4429450553727761"/>
    <n v="167.38162642324201"/>
    <n v="212.5480970453867"/>
    <n v="212.5480970453867"/>
    <n v="167.38162642324201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ELETROCALHAS E ACESSÓRIOS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ELETROCALHA PERFURADA 50X100X3000MM, PERFIL &quot;U&quot;, GF, CHAPA #18"/>
    <x v="20"/>
    <s v="INECEL"/>
    <n v="0"/>
    <m/>
    <s v="PÇ"/>
    <n v="9"/>
    <n v="101.74050179084676"/>
    <n v="0.18"/>
    <m/>
    <m/>
    <n v="101.74050179084676"/>
    <s v="SÃO PAULO"/>
    <s v="NORMAL"/>
    <n v="1.6500000000000001E-2"/>
    <n v="7.5999999999999998E-2"/>
    <n v="915.66451611762091"/>
    <n v="915.66451611762091"/>
    <n v="0"/>
    <n v="18.313290322352415"/>
    <n v="164.81961290117175"/>
    <n v="101.74050179084676"/>
    <n v="0.83935913977448584"/>
    <n v="3.8661390680521768"/>
    <n v="101.74050179084676"/>
    <n v="0.76144617974809237"/>
    <s v="SIM"/>
    <s v="SIM"/>
    <n v="78.721713260667684"/>
    <n v="708.49541934600916"/>
    <n v="708.49541934600916"/>
    <n v="103.38447464101931"/>
    <n v="930.4602717691738"/>
    <n v="1181.5368530402209"/>
    <n v="1181.5368530402209"/>
    <n v="930.4602717691738"/>
  </r>
  <r>
    <x v="5"/>
    <x v="6"/>
    <s v="TAMPA DE ENCAIXE RETA ELETROCALHA 100X3000MM, GF, CHAPA #18"/>
    <x v="20"/>
    <s v="INECEL"/>
    <n v="0"/>
    <m/>
    <s v="PÇ"/>
    <n v="9"/>
    <n v="32.834002935496336"/>
    <n v="0.18"/>
    <m/>
    <m/>
    <n v="32.834002935496336"/>
    <s v="SÃO PAULO"/>
    <s v="NORMAL"/>
    <n v="1.6500000000000001E-2"/>
    <n v="7.5999999999999998E-2"/>
    <n v="295.50602641946705"/>
    <n v="295.50602641946705"/>
    <n v="0"/>
    <n v="5.9101205283893403"/>
    <n v="53.191084755504065"/>
    <n v="32.834002935496336"/>
    <n v="0.27088052421784481"/>
    <n v="1.2476921115488608"/>
    <n v="32.834002935496336"/>
    <n v="0.76144617974809237"/>
    <s v="SIM"/>
    <s v="SIM"/>
    <n v="25.405309771340288"/>
    <n v="228.64778794206259"/>
    <n v="228.64778794206259"/>
    <n v="33.364550833711021"/>
    <n v="300.28095750339918"/>
    <n v="381.30915238526882"/>
    <n v="381.30915238526882"/>
    <n v="300.28095750339918"/>
  </r>
  <r>
    <x v="5"/>
    <x v="6"/>
    <s v="ELETROCALHA PERFURADA 100X100X3000MM, PERFIL &quot;U&quot;, GF, CHAPA #18"/>
    <x v="20"/>
    <s v="INECEL"/>
    <n v="0"/>
    <m/>
    <s v="PÇ"/>
    <n v="19"/>
    <n v="135.672"/>
    <n v="0.18"/>
    <m/>
    <m/>
    <n v="135.672"/>
    <s v="SÃO PAULO"/>
    <s v="NORMAL"/>
    <n v="1.6500000000000001E-2"/>
    <n v="7.5999999999999998E-2"/>
    <n v="2577.768"/>
    <n v="2577.768"/>
    <n v="0"/>
    <n v="24.420959999999997"/>
    <n v="463.99823999999995"/>
    <n v="135.672"/>
    <n v="1.119294"/>
    <n v="5.1555359999999997"/>
    <n v="135.672"/>
    <n v="0.76144617974809237"/>
    <s v="SIM"/>
    <s v="SIM"/>
    <n v="104.97621000000001"/>
    <n v="1994.5479900000003"/>
    <n v="1994.5479900000003"/>
    <n v="137.86425461446149"/>
    <n v="2619.4208376747683"/>
    <n v="3326.2486827616108"/>
    <n v="3326.2486827616108"/>
    <n v="2619.4208376747683"/>
  </r>
  <r>
    <x v="5"/>
    <x v="6"/>
    <s v="TAMPA DE ENCAIXE RETA ELETROCALHA 100X3000MM, GF, CHAPA #18"/>
    <x v="20"/>
    <s v="INECEL"/>
    <n v="0"/>
    <m/>
    <s v="PÇ"/>
    <n v="19"/>
    <n v="58.312000000000005"/>
    <n v="0.18"/>
    <m/>
    <m/>
    <n v="58.312000000000005"/>
    <s v="SÃO PAULO"/>
    <s v="NORMAL"/>
    <n v="1.6500000000000001E-2"/>
    <n v="7.5999999999999998E-2"/>
    <n v="1107.9280000000001"/>
    <n v="1107.9280000000001"/>
    <n v="0"/>
    <n v="10.49616"/>
    <n v="199.42704000000001"/>
    <n v="58.312000000000005"/>
    <n v="0.48107400000000006"/>
    <n v="2.215856"/>
    <n v="58.312000000000005"/>
    <n v="0.76144617974809237"/>
    <s v="SIM"/>
    <s v="SIM"/>
    <n v="45.118910000000007"/>
    <n v="857.25929000000008"/>
    <n v="857.25929000000008"/>
    <n v="59.254233851336153"/>
    <n v="1125.8304431753868"/>
    <n v="1429.625959587793"/>
    <n v="1429.625959587793"/>
    <n v="1125.8304431753868"/>
  </r>
  <r>
    <x v="5"/>
    <x v="6"/>
    <s v="ELETROCALHA PERFURADA 200X100X3000MM, PERFIL &quot;U&quot;, GF, CHAPA #18"/>
    <x v="20"/>
    <s v="INECEL"/>
    <n v="0"/>
    <m/>
    <s v="PÇ"/>
    <n v="25"/>
    <n v="180.92000000000002"/>
    <n v="0.18"/>
    <m/>
    <m/>
    <n v="180.92000000000002"/>
    <s v="SÃO PAULO"/>
    <s v="NORMAL"/>
    <n v="1.6500000000000001E-2"/>
    <n v="7.5999999999999998E-2"/>
    <n v="4523"/>
    <n v="4523"/>
    <n v="0"/>
    <n v="32.565600000000003"/>
    <n v="814.1400000000001"/>
    <n v="180.92000000000002"/>
    <n v="1.4925900000000003"/>
    <n v="6.8749600000000006"/>
    <n v="180.92000000000002"/>
    <n v="0.76144617974809237"/>
    <s v="SIM"/>
    <s v="SIM"/>
    <n v="139.98685"/>
    <n v="3499.6712500000003"/>
    <n v="3499.6712500000003"/>
    <n v="183.84339395636809"/>
    <n v="4596.0848489092023"/>
    <n v="5836.2982208370831"/>
    <n v="5836.2982208370831"/>
    <n v="4596.0848489092023"/>
  </r>
  <r>
    <x v="5"/>
    <x v="6"/>
    <s v="TAMPA DE ENCAIXE RETA ELETROCALHA 200X3000MM, GF, CHAPA #18"/>
    <x v="20"/>
    <s v="INECEL"/>
    <n v="0"/>
    <m/>
    <s v="PÇ"/>
    <n v="25"/>
    <n v="103.56"/>
    <n v="0.18"/>
    <m/>
    <m/>
    <n v="103.56"/>
    <s v="SÃO PAULO"/>
    <s v="NORMAL"/>
    <n v="1.6500000000000001E-2"/>
    <n v="7.5999999999999998E-2"/>
    <n v="2589"/>
    <n v="2589"/>
    <n v="0"/>
    <n v="18.640799999999999"/>
    <n v="466.02"/>
    <n v="103.56"/>
    <n v="0.85437000000000007"/>
    <n v="3.9352800000000001"/>
    <n v="103.56"/>
    <n v="0.76144617974809237"/>
    <s v="SIM"/>
    <s v="SIM"/>
    <n v="80.129549999999995"/>
    <n v="2003.23875"/>
    <n v="2003.23875"/>
    <n v="105.23337319324274"/>
    <n v="2630.8343298310683"/>
    <n v="3340.7420061346902"/>
    <n v="3340.7420061346902"/>
    <n v="2630.8343298310683"/>
  </r>
  <r>
    <x v="5"/>
    <x v="6"/>
    <s v="ELETROCALHA PERFURADA 300X100X3000MM, PERFIL &quot;U&quot;, GF, CHAPA #18"/>
    <x v="20"/>
    <s v="INECEL"/>
    <n v="0"/>
    <m/>
    <s v="PÇ"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TAMPA DE ENCAIXE RETA ELETROCALHA 300X3000MM, GF, CHAPA #18"/>
    <x v="20"/>
    <s v="INECEL"/>
    <n v="0"/>
    <m/>
    <s v="PÇ"/>
    <n v="0"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ELETROCALHA PERFURADA 400X100X3000MM, PERFIL &quot;U&quot;, GF, CHAPA #18"/>
    <x v="20"/>
    <s v="INECEL"/>
    <n v="0"/>
    <m/>
    <s v="PÇ"/>
    <n v="20"/>
    <n v="241.25867091220007"/>
    <n v="0.18"/>
    <m/>
    <m/>
    <n v="241.25867091220007"/>
    <s v="SÃO PAULO"/>
    <s v="NORMAL"/>
    <n v="1.6500000000000001E-2"/>
    <n v="7.5999999999999998E-2"/>
    <n v="4825.1734182440014"/>
    <n v="4825.1734182440014"/>
    <n v="0"/>
    <n v="43.426560764196012"/>
    <n v="868.53121528392023"/>
    <n v="241.25867091220007"/>
    <n v="1.9903840350256508"/>
    <n v="9.1678294946636019"/>
    <n v="241.25867091220007"/>
    <n v="0.76144617974809237"/>
    <s v="SIM"/>
    <s v="SIM"/>
    <n v="186.67389661831481"/>
    <n v="3733.477932366296"/>
    <n v="3733.477932366296"/>
    <n v="245.15704666096264"/>
    <n v="4903.1409332192525"/>
    <n v="6226.2107088498451"/>
    <n v="6226.2107088498451"/>
    <n v="4903.1409332192525"/>
  </r>
  <r>
    <x v="5"/>
    <x v="6"/>
    <s v="TAMPA DE ENCAIXE RETA ELETROCALHA 400X3000MM, GF, CHAPA #18"/>
    <x v="20"/>
    <s v="INECEL"/>
    <n v="0"/>
    <m/>
    <s v="PÇ"/>
    <n v="20"/>
    <n v="183.91880916449443"/>
    <n v="0.18"/>
    <m/>
    <m/>
    <n v="183.91880916449443"/>
    <s v="SÃO PAULO"/>
    <s v="NORMAL"/>
    <n v="1.6500000000000001E-2"/>
    <n v="7.5999999999999998E-2"/>
    <n v="3678.3761832898886"/>
    <n v="3678.3761832898886"/>
    <n v="0"/>
    <n v="33.105385649608998"/>
    <n v="662.10771299217993"/>
    <n v="183.91880916449443"/>
    <n v="1.5173301756070792"/>
    <n v="6.9889147482507887"/>
    <n v="183.91880916449443"/>
    <n v="0.76144617974809237"/>
    <s v="SIM"/>
    <s v="SIM"/>
    <n v="142.30717859102759"/>
    <n v="2846.1435718205521"/>
    <n v="2846.1435718205521"/>
    <n v="186.89065934785671"/>
    <n v="3737.8131869571343"/>
    <n v="4746.4294437550916"/>
    <n v="4746.4294437550916"/>
    <n v="3737.8131869571343"/>
  </r>
  <r>
    <x v="5"/>
    <x v="6"/>
    <s v="CURVA HORIZONTAL 90º ELETROCALHA PERFURADA 50X100MM, GF, CHAPA #18"/>
    <x v="20"/>
    <s v="INECEL"/>
    <n v="0"/>
    <m/>
    <s v="PÇ"/>
    <n v="6"/>
    <n v="86.479426522219754"/>
    <n v="0.18"/>
    <m/>
    <m/>
    <n v="86.479426522219754"/>
    <s v="SÃO PAULO"/>
    <s v="NORMAL"/>
    <n v="1.6500000000000001E-2"/>
    <n v="7.5999999999999998E-2"/>
    <n v="518.87655913331855"/>
    <n v="518.87655913331855"/>
    <n v="0"/>
    <n v="15.566296773999555"/>
    <n v="93.397780643997336"/>
    <n v="86.479426522219754"/>
    <n v="0.713455268808313"/>
    <n v="3.2862182078443505"/>
    <n v="86.479426522219754"/>
    <n v="0.76144617974809237"/>
    <s v="SIM"/>
    <s v="SIM"/>
    <n v="66.913456271567526"/>
    <n v="401.48073762940516"/>
    <n v="401.48073762940516"/>
    <n v="87.876803444866397"/>
    <n v="527.26082066919844"/>
    <n v="669.53755005612504"/>
    <n v="669.53755005612504"/>
    <n v="527.26082066919844"/>
  </r>
  <r>
    <x v="5"/>
    <x v="6"/>
    <s v="TAMPA ENCAIXE CURVA HORIZONTAL 90º ELETROCALHA PERFURADA 50X100MM, GF, CHAPA #18"/>
    <x v="20"/>
    <s v="INECEL"/>
    <n v="0"/>
    <m/>
    <s v="PÇ"/>
    <n v="6"/>
    <n v="27.908902495171883"/>
    <n v="0.18"/>
    <m/>
    <m/>
    <n v="27.908902495171883"/>
    <s v="SÃO PAULO"/>
    <s v="NORMAL"/>
    <n v="1.6500000000000001E-2"/>
    <n v="7.5999999999999998E-2"/>
    <n v="167.45341497103129"/>
    <n v="167.45341497103129"/>
    <n v="0"/>
    <n v="5.023602449130939"/>
    <n v="30.141614694785634"/>
    <n v="27.908902495171883"/>
    <n v="0.23024844558516805"/>
    <n v="1.0605382948165316"/>
    <n v="27.908902495171883"/>
    <n v="0.76144617974809237"/>
    <s v="SIM"/>
    <s v="SIM"/>
    <n v="21.594513305639246"/>
    <n v="129.56707983383546"/>
    <n v="129.56707983383546"/>
    <n v="28.359868208654365"/>
    <n v="170.1592092519262"/>
    <n v="216.07518635165235"/>
    <n v="216.07518635165235"/>
    <n v="170.1592092519262"/>
  </r>
  <r>
    <x v="5"/>
    <x v="6"/>
    <s v="CURVA VERTICAL EXTERNA 90º ELETROCALHA PERFURADA 50X100MM, GF, CHAPA #18"/>
    <x v="20"/>
    <s v="INECEL"/>
    <n v="0"/>
    <m/>
    <s v="PÇ"/>
    <n v="2"/>
    <n v="86.479426522219754"/>
    <n v="0.18"/>
    <m/>
    <m/>
    <n v="86.479426522219754"/>
    <s v="SÃO PAULO"/>
    <s v="NORMAL"/>
    <n v="1.6500000000000001E-2"/>
    <n v="7.5999999999999998E-2"/>
    <n v="172.95885304443951"/>
    <n v="172.95885304443951"/>
    <n v="0"/>
    <n v="15.566296773999555"/>
    <n v="31.132593547999111"/>
    <n v="86.479426522219754"/>
    <n v="0.713455268808313"/>
    <n v="3.2862182078443505"/>
    <n v="86.479426522219754"/>
    <n v="0.76144617974809237"/>
    <s v="SIM"/>
    <s v="SIM"/>
    <n v="66.913456271567526"/>
    <n v="133.82691254313505"/>
    <n v="133.82691254313505"/>
    <n v="87.876803444866397"/>
    <n v="175.75360688973279"/>
    <n v="223.17918335204166"/>
    <n v="223.17918335204166"/>
    <n v="175.75360688973279"/>
  </r>
  <r>
    <x v="5"/>
    <x v="6"/>
    <s v="TAMPA ENCAIXE CURVA VERTICAL EXTERNA 90º  ELETROCALHA PERFURADA 50X100MM, GF, CHAPA #18"/>
    <x v="20"/>
    <s v="INECEL"/>
    <n v="0"/>
    <m/>
    <s v="PÇ"/>
    <n v="2"/>
    <n v="27.908902495171883"/>
    <n v="0.18"/>
    <m/>
    <m/>
    <n v="27.908902495171883"/>
    <s v="SÃO PAULO"/>
    <s v="NORMAL"/>
    <n v="1.6500000000000001E-2"/>
    <n v="7.5999999999999998E-2"/>
    <n v="55.817804990343767"/>
    <n v="55.817804990343767"/>
    <n v="0"/>
    <n v="5.023602449130939"/>
    <n v="10.047204898261878"/>
    <n v="27.908902495171883"/>
    <n v="0.23024844558516805"/>
    <n v="1.0605382948165316"/>
    <n v="27.908902495171883"/>
    <n v="0.76144617974809237"/>
    <s v="SIM"/>
    <s v="SIM"/>
    <n v="21.594513305639246"/>
    <n v="43.189026611278493"/>
    <n v="43.189026611278493"/>
    <n v="28.359868208654373"/>
    <n v="56.719736417308745"/>
    <n v="72.025062117217459"/>
    <n v="72.025062117217459"/>
    <n v="56.719736417308745"/>
  </r>
  <r>
    <x v="5"/>
    <x v="6"/>
    <s v="CURVA VERTICAL INTERNA 90º ELETROCALHA PERFURADA 50X100MM, GF, CHAPA #18"/>
    <x v="20"/>
    <s v="INECEL"/>
    <n v="0"/>
    <m/>
    <s v="PÇ"/>
    <n v="2"/>
    <n v="86.479426522219754"/>
    <n v="0.18"/>
    <m/>
    <m/>
    <n v="86.479426522219754"/>
    <s v="SÃO PAULO"/>
    <s v="NORMAL"/>
    <n v="1.6500000000000001E-2"/>
    <n v="7.5999999999999998E-2"/>
    <n v="172.95885304443951"/>
    <n v="172.95885304443951"/>
    <n v="0"/>
    <n v="15.566296773999555"/>
    <n v="31.132593547999111"/>
    <n v="86.479426522219754"/>
    <n v="0.713455268808313"/>
    <n v="3.2862182078443505"/>
    <n v="86.479426522219754"/>
    <n v="0.76144617974809237"/>
    <s v="SIM"/>
    <s v="SIM"/>
    <n v="66.913456271567526"/>
    <n v="133.82691254313505"/>
    <n v="133.82691254313505"/>
    <n v="87.876803444866397"/>
    <n v="175.75360688973279"/>
    <n v="223.17918335204166"/>
    <n v="223.17918335204166"/>
    <n v="175.75360688973279"/>
  </r>
  <r>
    <x v="5"/>
    <x v="6"/>
    <s v="TAMPA ENCAIXE CURVA INTERNA EXTERNA 90º  ELETROCALHA PERFURADA 50X100MM, GF, CHAPA #18"/>
    <x v="20"/>
    <s v="INECEL"/>
    <n v="0"/>
    <m/>
    <s v="PÇ"/>
    <n v="2"/>
    <n v="27.908902495171883"/>
    <n v="0.18"/>
    <m/>
    <m/>
    <n v="27.908902495171883"/>
    <s v="SÃO PAULO"/>
    <s v="NORMAL"/>
    <n v="1.6500000000000001E-2"/>
    <n v="7.5999999999999998E-2"/>
    <n v="55.817804990343767"/>
    <n v="55.817804990343767"/>
    <n v="0"/>
    <n v="5.023602449130939"/>
    <n v="10.047204898261878"/>
    <n v="27.908902495171883"/>
    <n v="0.23024844558516805"/>
    <n v="1.0605382948165316"/>
    <n v="27.908902495171883"/>
    <n v="0.76144617974809237"/>
    <s v="SIM"/>
    <s v="SIM"/>
    <n v="21.594513305639246"/>
    <n v="43.189026611278493"/>
    <n v="43.189026611278493"/>
    <n v="28.359868208654373"/>
    <n v="56.719736417308745"/>
    <n v="72.025062117217459"/>
    <n v="72.025062117217459"/>
    <n v="56.719736417308745"/>
  </r>
  <r>
    <x v="5"/>
    <x v="6"/>
    <s v="CURVA HORIZONTAL 90º ELETROCALHA PERFURADA 100X100MM, GF, CHAPA #18"/>
    <x v="20"/>
    <s v="INECEL"/>
    <n v="0"/>
    <m/>
    <s v="PÇ"/>
    <n v="13"/>
    <n v="115.32119999999999"/>
    <n v="0.18"/>
    <m/>
    <m/>
    <n v="115.32119999999999"/>
    <s v="SÃO PAULO"/>
    <s v="NORMAL"/>
    <n v="1.6500000000000001E-2"/>
    <n v="7.5999999999999998E-2"/>
    <n v="1499.1755999999998"/>
    <n v="1499.1755999999998"/>
    <n v="0"/>
    <n v="20.757815999999998"/>
    <n v="269.851608"/>
    <n v="115.32119999999999"/>
    <n v="0.95139989999999997"/>
    <n v="4.3822055999999998"/>
    <n v="115.32119999999999"/>
    <n v="0.76144617974809237"/>
    <s v="SIM"/>
    <s v="SIM"/>
    <n v="89.229778499999981"/>
    <n v="1159.9871204999997"/>
    <n v="1159.9871204999997"/>
    <n v="117.18461642229222"/>
    <n v="1523.400013489799"/>
    <n v="1934.4762076060942"/>
    <n v="1934.4762076060942"/>
    <n v="1523.400013489799"/>
  </r>
  <r>
    <x v="5"/>
    <x v="6"/>
    <s v="TAMPA ENCAIXE CURVA HORIZONTAL 90º ELETROCALHA PERFURADA 100X100MM, GF, CHAPA #18"/>
    <x v="20"/>
    <s v="INECEL"/>
    <n v="0"/>
    <m/>
    <s v="PÇ"/>
    <n v="13"/>
    <n v="49.565200000000004"/>
    <n v="0.18"/>
    <m/>
    <m/>
    <n v="49.565200000000004"/>
    <s v="SÃO PAULO"/>
    <s v="NORMAL"/>
    <n v="1.6500000000000001E-2"/>
    <n v="7.5999999999999998E-2"/>
    <n v="644.34760000000006"/>
    <n v="644.34760000000006"/>
    <n v="0"/>
    <n v="8.921736000000001"/>
    <n v="115.98256800000001"/>
    <n v="49.565200000000004"/>
    <n v="0.40891290000000008"/>
    <n v="1.8834776000000002"/>
    <n v="49.565200000000004"/>
    <n v="0.76144617974809237"/>
    <s v="SIM"/>
    <s v="SIM"/>
    <n v="38.351073500000005"/>
    <n v="498.56395550000008"/>
    <n v="498.56395550000008"/>
    <n v="50.366098773635727"/>
    <n v="654.75928405726449"/>
    <n v="831.44036070763752"/>
    <n v="831.44036070763752"/>
    <n v="654.75928405726449"/>
  </r>
  <r>
    <x v="5"/>
    <x v="6"/>
    <s v="CURVA VERTICAL EXTERNA 90º ELETROCALHA PERFURADA 100X100MM, GF, CHAPA #18"/>
    <x v="20"/>
    <s v="INECEL"/>
    <n v="0"/>
    <m/>
    <s v="PÇ"/>
    <n v="8"/>
    <n v="115.32119999999999"/>
    <n v="0.18"/>
    <m/>
    <m/>
    <n v="115.32119999999999"/>
    <s v="SÃO PAULO"/>
    <s v="NORMAL"/>
    <n v="1.6500000000000001E-2"/>
    <n v="7.5999999999999998E-2"/>
    <n v="922.56959999999992"/>
    <n v="922.56959999999992"/>
    <n v="0"/>
    <n v="20.757815999999998"/>
    <n v="166.06252799999999"/>
    <n v="115.32119999999999"/>
    <n v="0.95139989999999997"/>
    <n v="4.3822055999999998"/>
    <n v="115.32119999999999"/>
    <n v="0.76144617974809237"/>
    <s v="SIM"/>
    <s v="SIM"/>
    <n v="89.229778499999981"/>
    <n v="713.83822799999984"/>
    <n v="713.83822799999984"/>
    <n v="117.18461642229222"/>
    <n v="937.47693137833778"/>
    <n v="1190.4468969883656"/>
    <n v="1190.4468969883656"/>
    <n v="937.47693137833778"/>
  </r>
  <r>
    <x v="5"/>
    <x v="6"/>
    <s v="TAMPA ENCAIXE CURVA VERTICAL EXTERNA 90º  ELETROCALHA PERFURADA 100X100MM, GF, CHAPA #18"/>
    <x v="20"/>
    <s v="INECEL"/>
    <n v="0"/>
    <m/>
    <s v="PÇ"/>
    <n v="8"/>
    <n v="49.565200000000004"/>
    <n v="0.18"/>
    <m/>
    <m/>
    <n v="49.565200000000004"/>
    <s v="SÃO PAULO"/>
    <s v="NORMAL"/>
    <n v="1.6500000000000001E-2"/>
    <n v="7.5999999999999998E-2"/>
    <n v="396.52160000000003"/>
    <n v="396.52160000000003"/>
    <n v="0"/>
    <n v="8.921736000000001"/>
    <n v="71.373888000000008"/>
    <n v="49.565200000000004"/>
    <n v="0.40891290000000008"/>
    <n v="1.8834776000000002"/>
    <n v="49.565200000000004"/>
    <n v="0.76144617974809237"/>
    <s v="SIM"/>
    <s v="SIM"/>
    <n v="38.351073500000005"/>
    <n v="306.80858800000004"/>
    <n v="306.80858800000004"/>
    <n v="50.366098773635727"/>
    <n v="402.92879018908582"/>
    <n v="511.65560658931537"/>
    <n v="511.65560658931537"/>
    <n v="402.92879018908582"/>
  </r>
  <r>
    <x v="5"/>
    <x v="6"/>
    <s v="CURVA VERTICAL INTERNA 90º ELETROCALHA PERFURADA 100X100MM, GF, CHAPA #18"/>
    <x v="20"/>
    <s v="INECEL"/>
    <n v="0"/>
    <m/>
    <s v="PÇ"/>
    <n v="12"/>
    <n v="115.32119999999999"/>
    <n v="0.18"/>
    <m/>
    <m/>
    <n v="115.32119999999999"/>
    <s v="SÃO PAULO"/>
    <s v="NORMAL"/>
    <n v="1.6500000000000001E-2"/>
    <n v="7.5999999999999998E-2"/>
    <n v="1383.8543999999999"/>
    <n v="1383.8543999999999"/>
    <n v="0"/>
    <n v="20.757815999999998"/>
    <n v="249.09379199999998"/>
    <n v="115.32119999999999"/>
    <n v="0.95139989999999997"/>
    <n v="4.3822055999999998"/>
    <n v="115.32119999999999"/>
    <n v="0.76144617974809237"/>
    <s v="SIM"/>
    <s v="SIM"/>
    <n v="89.229778499999981"/>
    <n v="1070.7573419999999"/>
    <n v="1070.7573419999999"/>
    <n v="117.18461642229224"/>
    <n v="1406.2153970675067"/>
    <n v="1785.6703454825483"/>
    <n v="1785.6703454825483"/>
    <n v="1406.2153970675067"/>
  </r>
  <r>
    <x v="5"/>
    <x v="6"/>
    <s v="TAMPA ENCAIXE CURVA INTERNA EXTERNA 90º  ELETROCALHA PERFURADA 100X100MM, GF, CHAPA #18"/>
    <x v="20"/>
    <s v="INECEL"/>
    <n v="0"/>
    <m/>
    <s v="PÇ"/>
    <n v="12"/>
    <n v="49.565200000000004"/>
    <n v="0.18"/>
    <m/>
    <m/>
    <n v="49.565200000000004"/>
    <s v="SÃO PAULO"/>
    <s v="NORMAL"/>
    <n v="1.6500000000000001E-2"/>
    <n v="7.5999999999999998E-2"/>
    <n v="594.78240000000005"/>
    <n v="594.78240000000005"/>
    <n v="0"/>
    <n v="8.921736000000001"/>
    <n v="107.060832"/>
    <n v="49.565200000000004"/>
    <n v="0.40891290000000008"/>
    <n v="1.8834776000000002"/>
    <n v="49.565200000000004"/>
    <n v="0.76144617974809237"/>
    <s v="SIM"/>
    <s v="SIM"/>
    <n v="38.351073500000005"/>
    <n v="460.21288200000004"/>
    <n v="460.21288200000004"/>
    <n v="50.366098773635727"/>
    <n v="604.39318528362878"/>
    <n v="767.4834098839732"/>
    <n v="767.4834098839732"/>
    <n v="604.39318528362878"/>
  </r>
  <r>
    <x v="5"/>
    <x v="6"/>
    <s v="CURVA HORIZONTAL 90º ELETROCALHA PERFURADA 200X100MM, GF, CHAPA #18"/>
    <x v="20"/>
    <s v="INECEL"/>
    <n v="0"/>
    <m/>
    <s v="PÇ"/>
    <n v="8"/>
    <n v="153.78200000000001"/>
    <n v="0.18"/>
    <m/>
    <m/>
    <n v="153.78200000000001"/>
    <s v="SÃO PAULO"/>
    <s v="NORMAL"/>
    <n v="1.6500000000000001E-2"/>
    <n v="7.5999999999999998E-2"/>
    <n v="1230.2560000000001"/>
    <n v="1230.2560000000001"/>
    <n v="0"/>
    <n v="27.680759999999999"/>
    <n v="221.44607999999999"/>
    <n v="153.78200000000001"/>
    <n v="1.2687015000000001"/>
    <n v="5.8437160000000006"/>
    <n v="153.78200000000001"/>
    <n v="0.76144617974809237"/>
    <s v="SIM"/>
    <s v="SIM"/>
    <n v="118.98882250000001"/>
    <n v="951.9105800000001"/>
    <n v="951.9105800000001"/>
    <n v="156.26688486291289"/>
    <n v="1250.1350789033031"/>
    <n v="1587.4731160676868"/>
    <n v="1587.4731160676868"/>
    <n v="1250.1350789033031"/>
  </r>
  <r>
    <x v="5"/>
    <x v="6"/>
    <s v="TAMPA ENCAIXE CURVA HORIZONTAL 90º ELETROCALHA PERFURADA 200X100MM, GF, CHAPA #18"/>
    <x v="20"/>
    <s v="INECEL"/>
    <n v="0"/>
    <m/>
    <s v="PÇ"/>
    <n v="8"/>
    <n v="88.025999999999996"/>
    <n v="0.18"/>
    <m/>
    <m/>
    <n v="88.025999999999996"/>
    <s v="SÃO PAULO"/>
    <s v="NORMAL"/>
    <n v="1.6500000000000001E-2"/>
    <n v="7.5999999999999998E-2"/>
    <n v="704.20799999999997"/>
    <n v="704.20799999999997"/>
    <n v="0"/>
    <n v="15.844679999999999"/>
    <n v="126.75743999999999"/>
    <n v="88.025999999999996"/>
    <n v="0.72621449999999999"/>
    <n v="3.3449879999999999"/>
    <n v="88.025999999999996"/>
    <n v="0.76144617974809237"/>
    <s v="SIM"/>
    <s v="SIM"/>
    <n v="68.110117500000001"/>
    <n v="544.88094000000001"/>
    <n v="544.88094000000001"/>
    <n v="89.448367214256336"/>
    <n v="715.58693771405069"/>
    <n v="908.68182566863595"/>
    <n v="908.68182566863595"/>
    <n v="715.58693771405069"/>
  </r>
  <r>
    <x v="5"/>
    <x v="6"/>
    <s v="CURVA VERTICAL EXTERNA 90º ELETROCALHA PERFURADA 200X100MM, GF, CHAPA #18"/>
    <x v="20"/>
    <s v="INECEL"/>
    <n v="0"/>
    <m/>
    <s v="PÇ"/>
    <n v="2"/>
    <n v="153.78200000000001"/>
    <n v="0.18"/>
    <m/>
    <m/>
    <n v="153.78200000000001"/>
    <s v="SÃO PAULO"/>
    <s v="NORMAL"/>
    <n v="1.6500000000000001E-2"/>
    <n v="7.5999999999999998E-2"/>
    <n v="307.56400000000002"/>
    <n v="307.56400000000002"/>
    <n v="0"/>
    <n v="27.680759999999999"/>
    <n v="55.361519999999999"/>
    <n v="153.78200000000001"/>
    <n v="1.2687015000000001"/>
    <n v="5.8437160000000006"/>
    <n v="153.78200000000001"/>
    <n v="0.76144617974809237"/>
    <s v="SIM"/>
    <s v="SIM"/>
    <n v="118.98882250000001"/>
    <n v="237.97764500000002"/>
    <n v="237.97764500000002"/>
    <n v="156.26688486291289"/>
    <n v="312.53376972582578"/>
    <n v="396.86827901692169"/>
    <n v="396.86827901692169"/>
    <n v="312.53376972582578"/>
  </r>
  <r>
    <x v="5"/>
    <x v="6"/>
    <s v="TAMPA ENCAIXE CURVA VERTICAL EXTERNA 90º  ELETROCALHA PERFURADA 200X100MM, GF, CHAPA #18"/>
    <x v="20"/>
    <s v="INECEL"/>
    <n v="0"/>
    <m/>
    <s v="PÇ"/>
    <n v="2"/>
    <n v="88.025999999999996"/>
    <n v="0.18"/>
    <m/>
    <m/>
    <n v="88.025999999999996"/>
    <s v="SÃO PAULO"/>
    <s v="NORMAL"/>
    <n v="1.6500000000000001E-2"/>
    <n v="7.5999999999999998E-2"/>
    <n v="176.05199999999999"/>
    <n v="176.05199999999999"/>
    <n v="0"/>
    <n v="15.844679999999999"/>
    <n v="31.689359999999997"/>
    <n v="88.025999999999996"/>
    <n v="0.72621449999999999"/>
    <n v="3.3449879999999999"/>
    <n v="88.025999999999996"/>
    <n v="0.76144617974809237"/>
    <s v="SIM"/>
    <s v="SIM"/>
    <n v="68.110117500000001"/>
    <n v="136.220235"/>
    <n v="136.220235"/>
    <n v="89.448367214256336"/>
    <n v="178.89673442851267"/>
    <n v="227.17045641715899"/>
    <n v="227.17045641715899"/>
    <n v="178.89673442851267"/>
  </r>
  <r>
    <x v="5"/>
    <x v="6"/>
    <s v="CURVA VERTICAL INTERNA 90º ELETROCALHA PERFURADA 200X100MM, GF, CHAPA #18"/>
    <x v="20"/>
    <s v="INECEL"/>
    <n v="0"/>
    <m/>
    <s v="PÇ"/>
    <n v="18"/>
    <n v="153.78200000000001"/>
    <n v="0.18"/>
    <m/>
    <m/>
    <n v="153.78200000000001"/>
    <s v="SÃO PAULO"/>
    <s v="NORMAL"/>
    <n v="1.6500000000000001E-2"/>
    <n v="7.5999999999999998E-2"/>
    <n v="2768.076"/>
    <n v="2768.076"/>
    <n v="0"/>
    <n v="27.680759999999999"/>
    <n v="498.25367999999997"/>
    <n v="153.78200000000001"/>
    <n v="1.2687015000000001"/>
    <n v="5.8437160000000006"/>
    <n v="153.78200000000001"/>
    <n v="0.76144617974809237"/>
    <s v="SIM"/>
    <s v="SIM"/>
    <n v="118.98882250000001"/>
    <n v="2141.7988050000004"/>
    <n v="2141.7988050000004"/>
    <n v="156.26688486291289"/>
    <n v="2812.8039275324318"/>
    <n v="3571.8145111522949"/>
    <n v="3571.8145111522949"/>
    <n v="2812.8039275324318"/>
  </r>
  <r>
    <x v="5"/>
    <x v="6"/>
    <s v="TAMPA ENCAIXE CURVA INTERNA EXTERNA 90º  ELETROCALHA PERFURADA 200X100MM, GF, CHAPA #18"/>
    <x v="20"/>
    <s v="INECEL"/>
    <n v="0"/>
    <m/>
    <s v="PÇ"/>
    <n v="18"/>
    <n v="88.025999999999996"/>
    <n v="0.18"/>
    <m/>
    <m/>
    <n v="88.025999999999996"/>
    <s v="SÃO PAULO"/>
    <s v="NORMAL"/>
    <n v="1.6500000000000001E-2"/>
    <n v="7.5999999999999998E-2"/>
    <n v="1584.4679999999998"/>
    <n v="1584.4679999999998"/>
    <n v="0"/>
    <n v="15.844679999999999"/>
    <n v="285.20423999999997"/>
    <n v="88.025999999999996"/>
    <n v="0.72621449999999999"/>
    <n v="3.3449879999999999"/>
    <n v="88.025999999999996"/>
    <n v="0.76144617974809237"/>
    <s v="SIM"/>
    <s v="SIM"/>
    <n v="68.110117500000001"/>
    <n v="1225.982115"/>
    <n v="1225.982115"/>
    <n v="89.448367214256336"/>
    <n v="1610.0706098566141"/>
    <n v="2044.5341077544308"/>
    <n v="2044.5341077544308"/>
    <n v="1610.0706098566141"/>
  </r>
  <r>
    <x v="5"/>
    <x v="6"/>
    <s v="CURVA HORIZONTAL 90º ELETROCALHA PERFURADA 400X100MM, GF, CHAPA #18"/>
    <x v="20"/>
    <s v="INECEL"/>
    <n v="0"/>
    <m/>
    <s v="PÇ"/>
    <n v="5"/>
    <n v="205.06987027537005"/>
    <n v="0.18"/>
    <m/>
    <m/>
    <n v="205.06987027537005"/>
    <s v="SÃO PAULO"/>
    <s v="NORMAL"/>
    <n v="1.6500000000000001E-2"/>
    <n v="7.5999999999999998E-2"/>
    <n v="1025.3493513768503"/>
    <n v="1025.3493513768503"/>
    <n v="0"/>
    <n v="36.91257664956661"/>
    <n v="184.56288324783304"/>
    <n v="205.06987027537005"/>
    <n v="1.6918264297718031"/>
    <n v="7.792655070464062"/>
    <n v="205.06987027537005"/>
    <n v="0.76144617974809237"/>
    <s v="SIM"/>
    <s v="SIM"/>
    <n v="158.67281212556759"/>
    <n v="793.36406062783794"/>
    <n v="793.36406062783794"/>
    <n v="208.38348966181823"/>
    <n v="1041.9174483090912"/>
    <n v="1323.0697756305922"/>
    <n v="1323.0697756305922"/>
    <n v="1041.9174483090912"/>
  </r>
  <r>
    <x v="5"/>
    <x v="6"/>
    <s v="TAMPA ENCAIXE CURVA HORIZONTAL 90º ELETROCALHA PERFURADA 400X100MM, GF, CHAPA #18"/>
    <x v="20"/>
    <s v="INECEL"/>
    <n v="0"/>
    <m/>
    <s v="PÇ"/>
    <n v="5"/>
    <n v="156.33098778982026"/>
    <n v="0.18"/>
    <m/>
    <m/>
    <n v="156.33098778982026"/>
    <s v="SÃO PAULO"/>
    <s v="NORMAL"/>
    <n v="1.6500000000000001E-2"/>
    <n v="7.5999999999999998E-2"/>
    <n v="781.65493894910128"/>
    <n v="781.65493894910128"/>
    <n v="0"/>
    <n v="28.139577802167643"/>
    <n v="140.69788901083822"/>
    <n v="156.33098778982026"/>
    <n v="1.2897306492660172"/>
    <n v="5.9405775360131692"/>
    <n v="156.33098778982026"/>
    <n v="0.76144617974809237"/>
    <s v="SIM"/>
    <s v="SIM"/>
    <n v="120.96110180237342"/>
    <n v="604.80550901186712"/>
    <n v="604.80550901186712"/>
    <n v="158.85706044567814"/>
    <n v="794.28530222839072"/>
    <n v="1008.6162567979566"/>
    <n v="1008.6162567979566"/>
    <n v="794.28530222839072"/>
  </r>
  <r>
    <x v="5"/>
    <x v="6"/>
    <s v="CURVA VERTICAL EXTERNA 90º ELETROCALHA PERFURADA 400X100MM, GF, CHAPA #18"/>
    <x v="20"/>
    <s v="INECEL"/>
    <n v="0"/>
    <m/>
    <s v="PÇ"/>
    <n v="1"/>
    <n v="205.06987027537005"/>
    <n v="0.18"/>
    <m/>
    <m/>
    <n v="205.06987027537005"/>
    <s v="SÃO PAULO"/>
    <s v="NORMAL"/>
    <n v="1.6500000000000001E-2"/>
    <n v="7.5999999999999998E-2"/>
    <n v="205.06987027537005"/>
    <n v="205.06987027537005"/>
    <n v="0"/>
    <n v="36.91257664956661"/>
    <n v="36.91257664956661"/>
    <n v="205.06987027537005"/>
    <n v="1.6918264297718031"/>
    <n v="7.792655070464062"/>
    <n v="205.06987027537005"/>
    <n v="0.76144617974809237"/>
    <s v="SIM"/>
    <s v="SIM"/>
    <n v="158.67281212556759"/>
    <n v="158.67281212556759"/>
    <n v="158.67281212556759"/>
    <n v="208.38348966181823"/>
    <n v="208.38348966181823"/>
    <n v="264.61395512611841"/>
    <n v="264.61395512611841"/>
    <n v="208.38348966181823"/>
  </r>
  <r>
    <x v="5"/>
    <x v="6"/>
    <s v="TAMPA ENCAIXE CURVA VERTICAL EXTERNA 90º  ELETROCALHA PERFURADA 400X100MM, GF, CHAPA #18"/>
    <x v="20"/>
    <s v="INECEL"/>
    <n v="0"/>
    <m/>
    <s v="PÇ"/>
    <n v="1"/>
    <n v="156.33098778982026"/>
    <n v="0.18"/>
    <m/>
    <m/>
    <n v="156.33098778982026"/>
    <s v="SÃO PAULO"/>
    <s v="NORMAL"/>
    <n v="1.6500000000000001E-2"/>
    <n v="7.5999999999999998E-2"/>
    <n v="156.33098778982026"/>
    <n v="156.33098778982026"/>
    <n v="0"/>
    <n v="28.139577802167643"/>
    <n v="28.139577802167643"/>
    <n v="156.33098778982026"/>
    <n v="1.2897306492660172"/>
    <n v="5.9405775360131692"/>
    <n v="156.33098778982026"/>
    <n v="0.76144617974809237"/>
    <s v="SIM"/>
    <s v="SIM"/>
    <n v="120.96110180237342"/>
    <n v="120.96110180237342"/>
    <n v="120.96110180237342"/>
    <n v="158.85706044567814"/>
    <n v="158.85706044567814"/>
    <n v="201.72325135959133"/>
    <n v="201.72325135959133"/>
    <n v="158.85706044567814"/>
  </r>
  <r>
    <x v="5"/>
    <x v="6"/>
    <s v="CURVA VERTICAL INTERNA 90º ELETROCALHA PERFURADA 400X100MM, GF, CHAPA #18"/>
    <x v="20"/>
    <s v="INECEL"/>
    <n v="0"/>
    <m/>
    <s v="PÇ"/>
    <n v="8"/>
    <n v="205.06987027537005"/>
    <n v="0.18"/>
    <m/>
    <m/>
    <n v="205.06987027537005"/>
    <s v="SÃO PAULO"/>
    <s v="NORMAL"/>
    <n v="1.6500000000000001E-2"/>
    <n v="7.5999999999999998E-2"/>
    <n v="1640.5589622029604"/>
    <n v="1640.5589622029604"/>
    <n v="0"/>
    <n v="36.91257664956661"/>
    <n v="295.30061319653288"/>
    <n v="205.06987027537005"/>
    <n v="1.6918264297718031"/>
    <n v="7.792655070464062"/>
    <n v="205.06987027537005"/>
    <n v="0.76144617974809237"/>
    <s v="SIM"/>
    <s v="SIM"/>
    <n v="158.67281212556759"/>
    <n v="1269.3824970045407"/>
    <n v="1269.3824970045407"/>
    <n v="208.38348966181823"/>
    <n v="1667.0679172945459"/>
    <n v="2116.9116410089473"/>
    <n v="2116.9116410089473"/>
    <n v="1667.0679172945459"/>
  </r>
  <r>
    <x v="5"/>
    <x v="6"/>
    <s v="TAMPA ENCAIXE CURVA INTERNA EXTERNA 90º  ELETROCALHA PERFURADA 400X100MM, GF, CHAPA #18"/>
    <x v="20"/>
    <s v="INECEL"/>
    <n v="0"/>
    <m/>
    <s v="PÇ"/>
    <n v="8"/>
    <n v="156.33098778982026"/>
    <n v="0.18"/>
    <m/>
    <m/>
    <n v="156.33098778982026"/>
    <s v="SÃO PAULO"/>
    <s v="NORMAL"/>
    <n v="1.6500000000000001E-2"/>
    <n v="7.5999999999999998E-2"/>
    <n v="1250.647902318562"/>
    <n v="1250.647902318562"/>
    <n v="0"/>
    <n v="28.139577802167643"/>
    <n v="225.11662241734115"/>
    <n v="156.33098778982026"/>
    <n v="1.2897306492660172"/>
    <n v="5.9405775360131692"/>
    <n v="156.33098778982026"/>
    <n v="0.76144617974809237"/>
    <s v="SIM"/>
    <s v="SIM"/>
    <n v="120.96110180237342"/>
    <n v="967.68881441898736"/>
    <n v="967.68881441898736"/>
    <n v="158.85706044567814"/>
    <n v="1270.8564835654252"/>
    <n v="1613.7860108767306"/>
    <n v="1613.7860108767306"/>
    <n v="1270.8564835654252"/>
  </r>
  <r>
    <x v="5"/>
    <x v="6"/>
    <s v="TALA PARA ELETROCALHA PERFURADA 100X150MM, GF, CHAPA #16"/>
    <x v="21"/>
    <s v="INECEL"/>
    <n v="0"/>
    <m/>
    <s v="PÇ"/>
    <n v="237"/>
    <n v="3.29"/>
    <n v="0.18"/>
    <m/>
    <m/>
    <n v="3.29"/>
    <s v="SÃO PAULO"/>
    <s v="NORMAL"/>
    <n v="1.6500000000000001E-2"/>
    <n v="7.5999999999999998E-2"/>
    <n v="779.73"/>
    <n v="779.73"/>
    <n v="0"/>
    <n v="0.59219999999999995"/>
    <n v="140.35139999999998"/>
    <n v="3.29"/>
    <n v="2.71425E-2"/>
    <n v="0.12501999999999999"/>
    <n v="3.29"/>
    <n v="0.76144617974809237"/>
    <s v="SIM"/>
    <s v="SIM"/>
    <n v="2.5456374999999998"/>
    <n v="603.31608749999998"/>
    <n v="603.31608749999998"/>
    <n v="3.3431614311101643"/>
    <n v="792.32925917310888"/>
    <n v="1006.1323926007733"/>
    <n v="1006.1323926007733"/>
    <n v="792.32925917310888"/>
  </r>
  <r>
    <x v="5"/>
    <x v="6"/>
    <s v="PARAFUSO CABEÇA LENTILHA AUTO-TRAVANTE 1/4&quot;X3/4&quot;, FABRICADO EM AÇO CARBONO ACABAMENTO ZINCADO BRANCO"/>
    <x v="21"/>
    <s v="INECEL"/>
    <n v="0"/>
    <m/>
    <s v="PÇ"/>
    <n v="1896"/>
    <n v="0.251"/>
    <n v="0.18"/>
    <n v="6.5000000000000002E-2"/>
    <m/>
    <n v="0.251"/>
    <s v="SÃO PAULO"/>
    <s v="NORMAL"/>
    <n v="1.6500000000000001E-2"/>
    <n v="7.5999999999999998E-2"/>
    <n v="475.89600000000002"/>
    <n v="506.82924000000003"/>
    <n v="0"/>
    <n v="4.5179999999999998E-2"/>
    <n v="85.661279999999991"/>
    <n v="0.251"/>
    <n v="2.0707500000000001E-3"/>
    <n v="9.5379999999999996E-3"/>
    <n v="0.26731500000000002"/>
    <n v="0.76144617974809237"/>
    <s v="SIM"/>
    <s v="SIM"/>
    <n v="0.19421125"/>
    <n v="368.22453000000002"/>
    <n v="368.22453000000002"/>
    <n v="0.25505578091448367"/>
    <n v="483.58576061386105"/>
    <n v="614.07715633506177"/>
    <n v="614.07715633506177"/>
    <n v="483.58576061386105"/>
  </r>
  <r>
    <x v="5"/>
    <x v="6"/>
    <s v="PORCA SEXTAVADA 1/4&quot;, FABRICADA EM AÇO CARBONO ACABAMENTO ZINCADO BRANCO"/>
    <x v="21"/>
    <s v="INECEL"/>
    <n v="0"/>
    <m/>
    <s v="PÇ"/>
    <n v="1896"/>
    <n v="0.06"/>
    <n v="0.18"/>
    <n v="6.5000000000000002E-2"/>
    <m/>
    <n v="0.06"/>
    <s v="SÃO PAULO"/>
    <s v="NORMAL"/>
    <n v="1.6500000000000001E-2"/>
    <n v="7.5999999999999998E-2"/>
    <n v="113.75999999999999"/>
    <n v="121.1544"/>
    <n v="0"/>
    <n v="1.0799999999999999E-2"/>
    <n v="20.476799999999997"/>
    <n v="0.06"/>
    <n v="4.95E-4"/>
    <n v="2.2799999999999999E-3"/>
    <n v="6.3899999999999998E-2"/>
    <n v="0.76144617974809237"/>
    <s v="SIM"/>
    <s v="SIM"/>
    <n v="4.6425000000000001E-2"/>
    <n v="88.021799999999999"/>
    <n v="88.021799999999999"/>
    <n v="6.0969509381948291E-2"/>
    <n v="115.59818978817395"/>
    <n v="146.79135211196694"/>
    <n v="146.79135211196694"/>
    <n v="115.59818978817395"/>
  </r>
  <r>
    <x v="5"/>
    <x v="6"/>
    <s v="ARRUELA LISA 1/4&quot;, FABRICADA EM AÇO CARBONO ACABAMENTO ZINCADO BRANCO"/>
    <x v="21"/>
    <s v="INECEL"/>
    <n v="0"/>
    <m/>
    <s v="PÇ"/>
    <n v="1896"/>
    <n v="0.06"/>
    <n v="0.18"/>
    <n v="6.5000000000000002E-2"/>
    <m/>
    <n v="0.06"/>
    <s v="SÃO PAULO"/>
    <s v="NORMAL"/>
    <n v="1.6500000000000001E-2"/>
    <n v="7.5999999999999998E-2"/>
    <n v="113.75999999999999"/>
    <n v="121.1544"/>
    <n v="0"/>
    <n v="1.0799999999999999E-2"/>
    <n v="20.476799999999997"/>
    <n v="0.06"/>
    <n v="4.95E-4"/>
    <n v="2.2799999999999999E-3"/>
    <n v="6.3899999999999998E-2"/>
    <n v="0.76144617974809237"/>
    <s v="SIM"/>
    <s v="SIM"/>
    <n v="4.6425000000000001E-2"/>
    <n v="88.021799999999999"/>
    <n v="88.021799999999999"/>
    <n v="6.0969509381948291E-2"/>
    <n v="115.59818978817395"/>
    <n v="146.79135211196694"/>
    <n v="146.79135211196694"/>
    <n v="115.59818978817395"/>
  </r>
  <r>
    <x v="5"/>
    <x v="6"/>
    <s v="PRESILHA PARA TAMPA DE ENCAIXE LEITO, LONGARINA 100MM X ABA 19MM, AÇO CARBONO, GF"/>
    <x v="21"/>
    <s v="INECEL"/>
    <n v="0"/>
    <m/>
    <s v="PÇ"/>
    <n v="632"/>
    <n v="1.06"/>
    <n v="0.18"/>
    <n v="0"/>
    <m/>
    <n v="1.06"/>
    <s v="SÃO PAULO"/>
    <s v="NORMAL"/>
    <n v="1.6500000000000001E-2"/>
    <n v="7.5999999999999998E-2"/>
    <n v="669.92000000000007"/>
    <n v="669.92000000000007"/>
    <n v="0"/>
    <n v="0.1908"/>
    <n v="120.5856"/>
    <n v="1.06"/>
    <n v="8.745000000000001E-3"/>
    <n v="4.0280000000000003E-2"/>
    <n v="1.06"/>
    <n v="0.76144617974809237"/>
    <s v="SIM"/>
    <s v="SIM"/>
    <n v="0.8201750000000001"/>
    <n v="518.3506000000001"/>
    <n v="518.3506000000001"/>
    <n v="1.0771279990810867"/>
    <n v="680.74489541924675"/>
    <n v="864.43796243713882"/>
    <n v="864.43796243713882"/>
    <n v="680.74489541924675"/>
  </r>
  <r>
    <x v="5"/>
    <x v="6"/>
    <s v="PARAFUSO CABEÇA REDONDA/LENTILHA FENDA 1/4&quot;X1/2&quot;, FABRICADO EM AÇO CARBONO ACABAMENTO ZINCADO BRANCO"/>
    <x v="21"/>
    <s v="INECEL"/>
    <n v="0"/>
    <m/>
    <s v="PÇ"/>
    <n v="632"/>
    <n v="0.25"/>
    <n v="0.18"/>
    <n v="6.5000000000000002E-2"/>
    <m/>
    <n v="0.25"/>
    <s v="SÃO PAULO"/>
    <s v="NORMAL"/>
    <n v="1.6500000000000001E-2"/>
    <n v="7.5999999999999998E-2"/>
    <n v="158"/>
    <n v="168.27"/>
    <n v="0"/>
    <n v="4.4999999999999998E-2"/>
    <n v="28.439999999999998"/>
    <n v="0.25"/>
    <n v="2.0625000000000001E-3"/>
    <n v="9.4999999999999998E-3"/>
    <n v="0.26624999999999999"/>
    <n v="0.76144617974809237"/>
    <s v="SIM"/>
    <s v="SIM"/>
    <n v="0.19343750000000001"/>
    <n v="122.25250000000001"/>
    <n v="122.25250000000001"/>
    <n v="0.25403962242478456"/>
    <n v="160.55304137246384"/>
    <n v="203.87687793328743"/>
    <n v="203.87687793328743"/>
    <n v="160.55304137246384"/>
  </r>
  <r>
    <x v="5"/>
    <x v="6"/>
    <s v="PORCA SEXTAVADA 1/4&quot;, FABRICADA EM AÇO CARBONO ACABAMENTO ZINCADO BRANCO"/>
    <x v="21"/>
    <s v="INECEL"/>
    <n v="0"/>
    <m/>
    <s v="PÇ"/>
    <n v="632"/>
    <n v="0.06"/>
    <n v="0.18"/>
    <n v="6.5000000000000002E-2"/>
    <m/>
    <n v="0.06"/>
    <s v="SÃO PAULO"/>
    <s v="NORMAL"/>
    <n v="1.6500000000000001E-2"/>
    <n v="7.5999999999999998E-2"/>
    <n v="37.92"/>
    <n v="40.384799999999998"/>
    <n v="0"/>
    <n v="1.0799999999999999E-2"/>
    <n v="6.8255999999999997"/>
    <n v="0.06"/>
    <n v="4.95E-4"/>
    <n v="2.2799999999999999E-3"/>
    <n v="6.3899999999999998E-2"/>
    <n v="0.76144617974809237"/>
    <s v="SIM"/>
    <s v="SIM"/>
    <n v="4.6425000000000001E-2"/>
    <n v="29.340600000000002"/>
    <n v="29.340600000000002"/>
    <n v="6.0969509381948291E-2"/>
    <n v="38.532729929391323"/>
    <n v="48.930450703988988"/>
    <n v="48.930450703988988"/>
    <n v="38.532729929391323"/>
  </r>
  <r>
    <x v="5"/>
    <x v="6"/>
    <s v="ARRUELA LISA 1/4&quot;, FABRICADA EM AÇO CARBONO ACABAMENTO ZINCADO BRANCO"/>
    <x v="21"/>
    <s v="INECEL"/>
    <n v="0"/>
    <m/>
    <s v="PÇ"/>
    <n v="632"/>
    <n v="0.06"/>
    <n v="0.18"/>
    <n v="6.5000000000000002E-2"/>
    <m/>
    <n v="0.06"/>
    <s v="SÃO PAULO"/>
    <s v="NORMAL"/>
    <n v="1.6500000000000001E-2"/>
    <n v="7.5999999999999998E-2"/>
    <n v="37.92"/>
    <n v="40.384799999999998"/>
    <n v="0"/>
    <n v="1.0799999999999999E-2"/>
    <n v="6.8255999999999997"/>
    <n v="0.06"/>
    <n v="4.95E-4"/>
    <n v="2.2799999999999999E-3"/>
    <n v="6.3899999999999998E-2"/>
    <n v="0.76144617974809237"/>
    <s v="SIM"/>
    <s v="SIM"/>
    <n v="4.6425000000000001E-2"/>
    <n v="29.340600000000002"/>
    <n v="29.340600000000002"/>
    <n v="6.0969509381948291E-2"/>
    <n v="38.532729929391323"/>
    <n v="48.930450703988988"/>
    <n v="48.930450703988988"/>
    <n v="38.532729929391323"/>
  </r>
  <r>
    <x v="5"/>
    <x v="6"/>
    <s v="ARRUELA DE PRESSÃO 1/4&quot;, FABRICADA EM AÇO CARBONO ACABAMENTO ZINCADO BRANCO"/>
    <x v="21"/>
    <s v="INECEL"/>
    <n v="0"/>
    <m/>
    <s v="PÇ"/>
    <n v="632"/>
    <n v="0.06"/>
    <n v="0.18"/>
    <n v="6.5000000000000002E-2"/>
    <m/>
    <n v="0.06"/>
    <s v="SÃO PAULO"/>
    <s v="NORMAL"/>
    <n v="1.6500000000000001E-2"/>
    <n v="7.5999999999999998E-2"/>
    <n v="37.92"/>
    <n v="40.384799999999998"/>
    <n v="0"/>
    <n v="1.0799999999999999E-2"/>
    <n v="6.8255999999999997"/>
    <n v="0.06"/>
    <n v="4.95E-4"/>
    <n v="2.2799999999999999E-3"/>
    <n v="6.3899999999999998E-2"/>
    <n v="0.76144617974809237"/>
    <s v="SIM"/>
    <s v="SIM"/>
    <n v="4.6425000000000001E-2"/>
    <n v="29.340600000000002"/>
    <n v="29.340600000000002"/>
    <n v="6.0969509381948291E-2"/>
    <n v="38.532729929391323"/>
    <n v="48.930450703988988"/>
    <n v="48.930450703988988"/>
    <n v="38.532729929391323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PERFILADOS E ACESSÓRIOS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PERFILADO PERFURADO 38 X 38 X 3000MM, CHAPA #20, GF"/>
    <x v="22"/>
    <s v="INECEL"/>
    <n v="0"/>
    <m/>
    <s v="PÇ"/>
    <n v="22"/>
    <n v="58.65"/>
    <n v="0.18"/>
    <n v="0"/>
    <m/>
    <n v="58.65"/>
    <s v="SÃO PAULO"/>
    <s v="NORMAL"/>
    <n v="1.6500000000000001E-2"/>
    <n v="7.5999999999999998E-2"/>
    <n v="1290.3"/>
    <n v="1290.3"/>
    <n v="0"/>
    <n v="10.556999999999999"/>
    <n v="232.25399999999996"/>
    <n v="58.65"/>
    <n v="0.48386250000000003"/>
    <n v="2.2286999999999999"/>
    <n v="58.65"/>
    <n v="0.76144617974809237"/>
    <s v="SIM"/>
    <s v="SIM"/>
    <n v="45.380437499999999"/>
    <n v="998.36962500000004"/>
    <n v="998.36962500000004"/>
    <n v="59.59769542085445"/>
    <n v="1311.1492992587978"/>
    <n v="1664.9514911222832"/>
    <n v="1664.9514911222832"/>
    <n v="1311.1492992587978"/>
  </r>
  <r>
    <x v="5"/>
    <x v="6"/>
    <s v="TAMPA DE ENCAIXE RETA PARA PERFILADO 38MM(LARGURA) X 3000MM, CHAPA #20, GF"/>
    <x v="22"/>
    <s v="INECEL"/>
    <n v="0"/>
    <m/>
    <s v="PÇ"/>
    <n v="22"/>
    <n v="46.92"/>
    <n v="0.18"/>
    <n v="0"/>
    <m/>
    <n v="46.92"/>
    <s v="SÃO PAULO"/>
    <s v="NORMAL"/>
    <n v="1.6500000000000001E-2"/>
    <n v="7.5999999999999998E-2"/>
    <n v="1032.24"/>
    <n v="1032.24"/>
    <n v="0"/>
    <n v="8.4456000000000007"/>
    <n v="185.8032"/>
    <n v="46.92"/>
    <n v="0.38709000000000005"/>
    <n v="1.7829600000000001"/>
    <n v="46.92"/>
    <n v="0.76144617974809237"/>
    <s v="SIM"/>
    <s v="SIM"/>
    <n v="36.304349999999999"/>
    <n v="798.69569999999999"/>
    <n v="798.69569999999999"/>
    <n v="47.678156336683557"/>
    <n v="1048.9194394070382"/>
    <n v="1331.9611928978265"/>
    <n v="1331.9611928978265"/>
    <n v="1048.9194394070382"/>
  </r>
  <r>
    <x v="5"/>
    <x v="6"/>
    <s v="EMENDA INTERNA X P/ PERFILADO 38MMX38MM, CHAPA #20, GF"/>
    <x v="22"/>
    <s v="INECEL"/>
    <n v="0"/>
    <m/>
    <s v="PÇ"/>
    <n v="22"/>
    <n v="5"/>
    <n v="0.18"/>
    <n v="0"/>
    <m/>
    <n v="5"/>
    <s v="SÃO PAULO"/>
    <s v="NORMAL"/>
    <n v="1.6500000000000001E-2"/>
    <n v="7.5999999999999998E-2"/>
    <n v="110"/>
    <n v="110"/>
    <n v="0"/>
    <n v="0.89999999999999991"/>
    <n v="19.799999999999997"/>
    <n v="5"/>
    <n v="4.1250000000000002E-2"/>
    <n v="0.19"/>
    <n v="5"/>
    <n v="0.76144617974809237"/>
    <s v="SIM"/>
    <s v="SIM"/>
    <n v="3.8687499999999999"/>
    <n v="85.112499999999997"/>
    <n v="85.112499999999997"/>
    <n v="5.0807924484956901"/>
    <n v="111.77743386690518"/>
    <n v="141.93959856114947"/>
    <n v="141.93959856114947"/>
    <n v="111.77743386690518"/>
  </r>
  <r>
    <x v="5"/>
    <x v="6"/>
    <s v="CONJUNTO E ACESSÓRIOS"/>
    <x v="22"/>
    <s v="INECEL"/>
    <n v="0"/>
    <m/>
    <s v="PÇ"/>
    <n v="1"/>
    <n v="500"/>
    <n v="0.12"/>
    <n v="0"/>
    <m/>
    <n v="500"/>
    <s v="SÃO PAULO"/>
    <s v="NORMAL"/>
    <n v="1.6500000000000001E-2"/>
    <n v="7.5999999999999998E-2"/>
    <n v="500"/>
    <n v="500"/>
    <n v="0"/>
    <n v="60"/>
    <n v="60"/>
    <n v="500"/>
    <n v="4.125"/>
    <n v="19"/>
    <n v="500"/>
    <n v="0.76144617974809237"/>
    <s v="SIM"/>
    <s v="SIM"/>
    <n v="416.875"/>
    <n v="416.875"/>
    <n v="416.875"/>
    <n v="547.4779585051092"/>
    <n v="547.4779585051092"/>
    <n v="695.21010603823402"/>
    <n v="695.21010603823402"/>
    <n v="547.4779585051092"/>
  </r>
  <r>
    <x v="5"/>
    <x v="6"/>
    <s v="PARAFUSO CABEÇA SEXTAVADA 3/8&quot;X3/4&quot;, FABRICADO EM AÇO CARBONO ACABAMENTO ZINCADO BRANCO"/>
    <x v="22"/>
    <s v="INECEL"/>
    <n v="0"/>
    <m/>
    <s v="PÇ"/>
    <n v="88"/>
    <n v="0.35"/>
    <n v="0.18"/>
    <n v="6.5000000000000002E-2"/>
    <m/>
    <n v="0.35"/>
    <s v="SÃO PAULO"/>
    <s v="NORMAL"/>
    <n v="1.6500000000000001E-2"/>
    <n v="7.5999999999999998E-2"/>
    <n v="30.799999999999997"/>
    <n v="32.802"/>
    <n v="0"/>
    <n v="6.3E-2"/>
    <n v="5.5440000000000005"/>
    <n v="0.35"/>
    <n v="2.8874999999999999E-3"/>
    <n v="1.3299999999999999E-2"/>
    <n v="0.37274999999999997"/>
    <n v="0.76144617974809237"/>
    <s v="SIM"/>
    <s v="SIM"/>
    <n v="0.27081250000000001"/>
    <n v="23.831500000000002"/>
    <n v="23.831500000000002"/>
    <n v="0.35565547139469839"/>
    <n v="31.297681482733459"/>
    <n v="39.743087597121857"/>
    <n v="39.743087597121857"/>
    <n v="31.297681482733459"/>
  </r>
  <r>
    <x v="5"/>
    <x v="6"/>
    <s v="ARRUELA LISA 3/8&quot;, FABRICADA EM AÇO CARBONO ACABAMENTO ZINCADO BRANCO"/>
    <x v="22"/>
    <s v="INECEL"/>
    <n v="0"/>
    <m/>
    <s v="PÇ"/>
    <n v="88"/>
    <n v="0.25"/>
    <n v="0.18"/>
    <n v="6.5000000000000002E-2"/>
    <m/>
    <n v="0.25"/>
    <s v="SÃO PAULO"/>
    <s v="NORMAL"/>
    <n v="1.6500000000000001E-2"/>
    <n v="7.5999999999999998E-2"/>
    <n v="22"/>
    <n v="23.43"/>
    <n v="0"/>
    <n v="4.4999999999999998E-2"/>
    <n v="3.96"/>
    <n v="0.25"/>
    <n v="2.0625000000000001E-3"/>
    <n v="9.4999999999999998E-3"/>
    <n v="0.26624999999999999"/>
    <n v="0.76144617974809237"/>
    <s v="SIM"/>
    <s v="SIM"/>
    <n v="0.19343750000000001"/>
    <n v="17.022500000000001"/>
    <n v="17.022500000000001"/>
    <n v="0.25403962242478456"/>
    <n v="22.355486773381042"/>
    <n v="28.387919712229898"/>
    <n v="28.387919712229898"/>
    <n v="22.355486773381042"/>
  </r>
  <r>
    <x v="5"/>
    <x v="6"/>
    <s v="PARAFUSO CABEÇA LENTILHA AUTO-TRAVANTE 3/8&quot;X3/4&quot;, FABRICADO EM AÇO CARBONO ACABAMENTO ZINCADO BRANCO "/>
    <x v="22"/>
    <s v="INECEL"/>
    <n v="0"/>
    <m/>
    <s v="PÇ"/>
    <n v="88"/>
    <n v="0.12"/>
    <n v="0.18"/>
    <n v="6.5000000000000002E-2"/>
    <m/>
    <n v="0.12"/>
    <s v="SÃO PAULO"/>
    <s v="NORMAL"/>
    <n v="1.6500000000000001E-2"/>
    <n v="7.5999999999999998E-2"/>
    <n v="10.559999999999999"/>
    <n v="11.246399999999998"/>
    <n v="0"/>
    <n v="2.1599999999999998E-2"/>
    <n v="1.9007999999999998"/>
    <n v="0.12"/>
    <n v="9.8999999999999999E-4"/>
    <n v="4.5599999999999998E-3"/>
    <n v="0.1278"/>
    <n v="0.76144617974809237"/>
    <s v="SIM"/>
    <s v="SIM"/>
    <n v="9.2850000000000002E-2"/>
    <n v="8.1707999999999998"/>
    <n v="8.1707999999999998"/>
    <n v="0.12193901876389658"/>
    <n v="10.730633651222899"/>
    <n v="13.62620146187035"/>
    <n v="13.62620146187035"/>
    <n v="10.730633651222899"/>
  </r>
  <r>
    <x v="5"/>
    <x v="6"/>
    <s v="PORCA SEXTAVADA 3/8&quot;, FABRICADA EM AÇO CARBONO ACABAMENTO ZINCADO BRANCO"/>
    <x v="22"/>
    <s v="INECEL"/>
    <n v="0"/>
    <m/>
    <s v="PÇ"/>
    <n v="88"/>
    <n v="0.12"/>
    <n v="0.18"/>
    <n v="6.5000000000000002E-2"/>
    <m/>
    <n v="0.12"/>
    <s v="SÃO PAULO"/>
    <s v="NORMAL"/>
    <n v="1.6500000000000001E-2"/>
    <n v="7.5999999999999998E-2"/>
    <n v="10.559999999999999"/>
    <n v="11.246399999999998"/>
    <n v="0"/>
    <n v="2.1599999999999998E-2"/>
    <n v="1.9007999999999998"/>
    <n v="0.12"/>
    <n v="9.8999999999999999E-4"/>
    <n v="4.5599999999999998E-3"/>
    <n v="0.1278"/>
    <n v="0.76144617974809237"/>
    <s v="SIM"/>
    <s v="SIM"/>
    <n v="9.2850000000000002E-2"/>
    <n v="8.1707999999999998"/>
    <n v="8.1707999999999998"/>
    <n v="0.12193901876389658"/>
    <n v="10.730633651222899"/>
    <n v="13.62620146187035"/>
    <n v="13.62620146187035"/>
    <n v="10.730633651222899"/>
  </r>
  <r>
    <x v="5"/>
    <x v="6"/>
    <s v="ARRUELA LISA 3/8&quot;, FABRICADA EM AÇO CARBONO ACABAMENTO ZINCADO BRANCO"/>
    <x v="22"/>
    <s v="INECEL"/>
    <n v="0"/>
    <m/>
    <s v="PÇ"/>
    <n v="88"/>
    <n v="0.12"/>
    <n v="0.18"/>
    <n v="6.5000000000000002E-2"/>
    <m/>
    <n v="0.12"/>
    <s v="SÃO PAULO"/>
    <s v="NORMAL"/>
    <n v="1.6500000000000001E-2"/>
    <n v="7.5999999999999998E-2"/>
    <n v="10.559999999999999"/>
    <n v="11.246399999999998"/>
    <n v="0"/>
    <n v="2.1599999999999998E-2"/>
    <n v="1.9007999999999998"/>
    <n v="0.12"/>
    <n v="9.8999999999999999E-4"/>
    <n v="4.5599999999999998E-3"/>
    <n v="0.1278"/>
    <n v="0.76144617974809237"/>
    <s v="SIM"/>
    <s v="SIM"/>
    <n v="9.2850000000000002E-2"/>
    <n v="8.1707999999999998"/>
    <n v="8.1707999999999998"/>
    <n v="0.12193901876389658"/>
    <n v="10.730633651222899"/>
    <n v="13.62620146187035"/>
    <n v="13.62620146187035"/>
    <n v="10.730633651222899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ELETRODUTOS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5"/>
    <x v="6"/>
    <s v="ELETRODUTO 2&quot; X 3000MM, GF, NBR 5598, ROSCA BSP, COM 1 (UMA) LUVA NA EXTREMIDADE"/>
    <x v="23"/>
    <s v="LOSADA"/>
    <n v="0"/>
    <m/>
    <s v="PÇ"/>
    <n v="11"/>
    <n v="132"/>
    <n v="0.18"/>
    <n v="0"/>
    <m/>
    <n v="132"/>
    <s v="SÃO PAULO"/>
    <s v="NORMAL"/>
    <n v="1.6500000000000001E-2"/>
    <n v="7.5999999999999998E-2"/>
    <n v="1452"/>
    <n v="1452"/>
    <n v="0"/>
    <n v="23.759999999999998"/>
    <n v="261.35999999999996"/>
    <n v="132"/>
    <n v="1.089"/>
    <n v="5.016"/>
    <n v="132"/>
    <n v="0.76144617974809237"/>
    <s v="SIM"/>
    <s v="SIM"/>
    <n v="102.13500000000001"/>
    <n v="1123.4850000000001"/>
    <n v="1123.4850000000001"/>
    <n v="134.13292064028624"/>
    <n v="1475.4621270431487"/>
    <n v="1873.6027010071732"/>
    <n v="1873.6027010071732"/>
    <n v="1475.4621270431487"/>
  </r>
  <r>
    <x v="5"/>
    <x v="6"/>
    <s v="ELETRODUTO 1&quot; X 3000MM, GF, NBR 5598, ROSCA BSP, COM 1 (UMA) LUVA NA EXTREMIDADE"/>
    <x v="23"/>
    <s v="LOSADA"/>
    <n v="0"/>
    <m/>
    <s v="PÇ"/>
    <n v="6"/>
    <n v="58.9"/>
    <n v="0.18"/>
    <n v="0"/>
    <m/>
    <n v="58.9"/>
    <s v="SÃO PAULO"/>
    <s v="NORMAL"/>
    <n v="1.6500000000000001E-2"/>
    <n v="7.5999999999999998E-2"/>
    <n v="353.4"/>
    <n v="353.4"/>
    <n v="0"/>
    <n v="10.601999999999999"/>
    <n v="63.611999999999995"/>
    <n v="58.9"/>
    <n v="0.485925"/>
    <n v="2.2382"/>
    <n v="58.9"/>
    <n v="0.76144617974809237"/>
    <s v="SIM"/>
    <s v="SIM"/>
    <n v="45.573875000000001"/>
    <n v="273.44325000000003"/>
    <n v="273.44325000000003"/>
    <n v="59.851735043279248"/>
    <n v="359.11041025967552"/>
    <n v="456.01321937736577"/>
    <n v="456.01321937736577"/>
    <n v="359.11041025967552"/>
  </r>
  <r>
    <x v="5"/>
    <x v="6"/>
    <s v="ELETRODUTO 3/4&quot; X 3000MM, GF, NBR 5598, ROSCA BSP, COM 1 (UMA) LUVA NA EXTREMIDADE"/>
    <x v="23"/>
    <s v="LOSADA"/>
    <n v="0"/>
    <m/>
    <s v="PÇ"/>
    <n v="175"/>
    <n v="48"/>
    <n v="0.18"/>
    <n v="0"/>
    <m/>
    <n v="48"/>
    <s v="SÃO PAULO"/>
    <s v="NORMAL"/>
    <n v="1.6500000000000001E-2"/>
    <n v="7.5999999999999998E-2"/>
    <n v="8400"/>
    <n v="8400"/>
    <n v="0"/>
    <n v="8.64"/>
    <n v="1512"/>
    <n v="48"/>
    <n v="0.39600000000000002"/>
    <n v="1.8239999999999998"/>
    <n v="48"/>
    <n v="0.76144617974809237"/>
    <s v="SIM"/>
    <s v="SIM"/>
    <n v="37.14"/>
    <n v="6499.5"/>
    <n v="6499.5"/>
    <n v="48.775607505558632"/>
    <n v="8535.731313472761"/>
    <n v="10839.023890124143"/>
    <n v="10839.023890124143"/>
    <n v="8535.731313472761"/>
  </r>
  <r>
    <x v="5"/>
    <x v="6"/>
    <s v="LUVA 2&quot;, GF, NBR 5598, ROSCA BSP"/>
    <x v="23"/>
    <s v="LOSADA"/>
    <n v="0"/>
    <m/>
    <s v="PÇ"/>
    <n v="5"/>
    <n v="12"/>
    <n v="0.18"/>
    <n v="0"/>
    <m/>
    <n v="12"/>
    <s v="SÃO PAULO"/>
    <s v="NORMAL"/>
    <n v="1.6500000000000001E-2"/>
    <n v="7.5999999999999998E-2"/>
    <n v="60"/>
    <n v="60"/>
    <n v="0"/>
    <n v="2.16"/>
    <n v="10.8"/>
    <n v="12"/>
    <n v="9.9000000000000005E-2"/>
    <n v="0.45599999999999996"/>
    <n v="12"/>
    <n v="0.76144617974809237"/>
    <s v="SIM"/>
    <s v="SIM"/>
    <n v="9.2850000000000001"/>
    <n v="46.424999999999997"/>
    <n v="46.424999999999997"/>
    <n v="12.193901876389658"/>
    <n v="60.969509381948292"/>
    <n v="77.421599215172449"/>
    <n v="77.421599215172449"/>
    <n v="60.969509381948292"/>
  </r>
  <r>
    <x v="5"/>
    <x v="6"/>
    <s v="LUVA 1&quot;, GF, NBR 5598, ROSCA BSP"/>
    <x v="23"/>
    <s v="LOSADA"/>
    <n v="0"/>
    <m/>
    <s v="PÇ"/>
    <n v="3"/>
    <n v="10"/>
    <n v="0.18"/>
    <n v="0"/>
    <m/>
    <n v="10"/>
    <s v="SÃO PAULO"/>
    <s v="NORMAL"/>
    <n v="1.6500000000000001E-2"/>
    <n v="7.5999999999999998E-2"/>
    <n v="30"/>
    <n v="30"/>
    <n v="0"/>
    <n v="1.7999999999999998"/>
    <n v="5.3999999999999995"/>
    <n v="10"/>
    <n v="8.2500000000000004E-2"/>
    <n v="0.38"/>
    <n v="10"/>
    <n v="0.76144617974809237"/>
    <s v="SIM"/>
    <s v="SIM"/>
    <n v="7.7374999999999998"/>
    <n v="23.212499999999999"/>
    <n v="23.212499999999999"/>
    <n v="10.16158489699138"/>
    <n v="30.484754690974142"/>
    <n v="38.710799607586218"/>
    <n v="38.710799607586218"/>
    <n v="30.484754690974142"/>
  </r>
  <r>
    <x v="5"/>
    <x v="6"/>
    <s v="LUVA 3/4&quot;, GF, NBR 5598, ROSCA BSP"/>
    <x v="23"/>
    <s v="LOSADA"/>
    <n v="0"/>
    <m/>
    <s v="PÇ"/>
    <n v="45"/>
    <n v="6"/>
    <n v="0.18"/>
    <n v="0"/>
    <m/>
    <n v="6"/>
    <s v="SÃO PAULO"/>
    <s v="NORMAL"/>
    <n v="1.6500000000000001E-2"/>
    <n v="7.5999999999999998E-2"/>
    <n v="270"/>
    <n v="270"/>
    <n v="0"/>
    <n v="1.08"/>
    <n v="48.6"/>
    <n v="6"/>
    <n v="4.9500000000000002E-2"/>
    <n v="0.22799999999999998"/>
    <n v="6"/>
    <n v="0.76144617974809237"/>
    <s v="SIM"/>
    <s v="SIM"/>
    <n v="4.6425000000000001"/>
    <n v="208.91249999999999"/>
    <n v="208.91249999999999"/>
    <n v="6.096950938194829"/>
    <n v="274.36279221876731"/>
    <n v="348.39719646827598"/>
    <n v="348.39719646827598"/>
    <n v="274.36279221876731"/>
  </r>
  <r>
    <x v="5"/>
    <x v="6"/>
    <s v="CURVA 90º, 2&quot;, GF, NBR 5598, ROSCA BSP"/>
    <x v="23"/>
    <s v="LOSADA"/>
    <n v="0"/>
    <m/>
    <s v="PÇ"/>
    <n v="6"/>
    <n v="9.9"/>
    <n v="0.18"/>
    <n v="0"/>
    <m/>
    <n v="9.9"/>
    <s v="SÃO PAULO"/>
    <s v="NORMAL"/>
    <n v="1.6500000000000001E-2"/>
    <n v="7.5999999999999998E-2"/>
    <n v="59.400000000000006"/>
    <n v="59.400000000000006"/>
    <n v="0"/>
    <n v="1.782"/>
    <n v="10.692"/>
    <n v="9.9"/>
    <n v="8.1675000000000011E-2"/>
    <n v="0.37619999999999998"/>
    <n v="9.9"/>
    <n v="0.76144617974809237"/>
    <s v="SIM"/>
    <s v="SIM"/>
    <n v="7.6601249999999999"/>
    <n v="45.960749999999997"/>
    <n v="45.960749999999997"/>
    <n v="10.059969048021467"/>
    <n v="60.359814288128803"/>
    <n v="76.647383223020711"/>
    <n v="76.647383223020711"/>
    <n v="60.359814288128803"/>
  </r>
  <r>
    <x v="5"/>
    <x v="6"/>
    <s v="CURVA 90º, 1&quot;, GF, NBR 5598, ROSCA BSP"/>
    <x v="23"/>
    <s v="LOSADA"/>
    <n v="0"/>
    <m/>
    <s v="PÇ"/>
    <n v="3"/>
    <n v="13.8"/>
    <n v="0.18"/>
    <n v="0"/>
    <m/>
    <n v="13.8"/>
    <s v="SÃO PAULO"/>
    <s v="NORMAL"/>
    <n v="1.6500000000000001E-2"/>
    <n v="7.5999999999999998E-2"/>
    <n v="41.400000000000006"/>
    <n v="41.400000000000006"/>
    <n v="0"/>
    <n v="2.484"/>
    <n v="7.452"/>
    <n v="13.8"/>
    <n v="0.11385000000000001"/>
    <n v="0.52439999999999998"/>
    <n v="13.8"/>
    <n v="0.76144617974809237"/>
    <s v="SIM"/>
    <s v="SIM"/>
    <n v="10.677750000000001"/>
    <n v="32.033250000000002"/>
    <n v="32.033250000000002"/>
    <n v="14.022987157848108"/>
    <n v="42.068961473544327"/>
    <n v="53.420903458468992"/>
    <n v="53.420903458468992"/>
    <n v="42.068961473544327"/>
  </r>
  <r>
    <x v="5"/>
    <x v="6"/>
    <s v="CURVA 90º, 3/4&quot;, GF, NBR 5598, ROSCA BSP"/>
    <x v="23"/>
    <s v="LOSADA"/>
    <n v="0"/>
    <m/>
    <s v="PÇ"/>
    <n v="25"/>
    <n v="46"/>
    <n v="0.18"/>
    <n v="0"/>
    <m/>
    <n v="46"/>
    <s v="SÃO PAULO"/>
    <s v="NORMAL"/>
    <n v="1.6500000000000001E-2"/>
    <n v="7.5999999999999998E-2"/>
    <n v="1150"/>
    <n v="1150"/>
    <n v="0"/>
    <n v="8.2799999999999994"/>
    <n v="206.99999999999997"/>
    <n v="46"/>
    <n v="0.3795"/>
    <n v="1.748"/>
    <n v="46"/>
    <n v="0.76144617974809237"/>
    <s v="SIM"/>
    <s v="SIM"/>
    <n v="35.592500000000001"/>
    <n v="889.8125"/>
    <n v="889.8125"/>
    <n v="46.743290526160358"/>
    <n v="1168.5822631540088"/>
    <n v="1483.9139849574717"/>
    <n v="1483.9139849574717"/>
    <n v="1168.5822631540088"/>
  </r>
  <r>
    <x v="5"/>
    <x v="6"/>
    <s v="ABRAÇADEIRA TIPO &quot;U&quot;, 2&quot; X 5/16&quot;, ZINCADO BRILHANTE, FORNECIDO COM 2 PORCAS E 2 ARRUELAS"/>
    <x v="24"/>
    <s v="HAWSER"/>
    <n v="0"/>
    <m/>
    <s v="PÇ"/>
    <n v="22"/>
    <n v="6.08"/>
    <n v="0.18"/>
    <n v="3.2500000000000001E-2"/>
    <m/>
    <n v="6.08"/>
    <s v="SÃO PAULO"/>
    <s v="NORMAL"/>
    <n v="1.6500000000000001E-2"/>
    <n v="7.5999999999999998E-2"/>
    <n v="133.76"/>
    <n v="138.10719999999998"/>
    <n v="0"/>
    <n v="1.0944"/>
    <n v="24.076800000000002"/>
    <n v="6.08"/>
    <n v="5.0160000000000003E-2"/>
    <n v="0.23104"/>
    <n v="6.2775999999999996"/>
    <n v="0.76144617974809237"/>
    <s v="SIM"/>
    <s v="SIM"/>
    <n v="4.7043999999999997"/>
    <n v="103.49679999999999"/>
    <n v="103.49679999999999"/>
    <n v="6.1782436173707591"/>
    <n v="135.9213595821567"/>
    <n v="172.59855185035772"/>
    <n v="172.59855185035772"/>
    <n v="135.9213595821567"/>
  </r>
  <r>
    <x v="5"/>
    <x v="6"/>
    <s v="ABRAÇADEIRA TIPO &quot;U&quot;, 1&quot; X 1/4&quot;, ZINCADO BRILHANTE, FORNECIDO COM 2 PORCAS E 2 ARRUELAS"/>
    <x v="24"/>
    <s v="HAWSER"/>
    <n v="0"/>
    <m/>
    <s v="PÇ"/>
    <n v="12"/>
    <n v="3.42"/>
    <n v="0.18"/>
    <n v="3.2500000000000001E-2"/>
    <m/>
    <n v="3.42"/>
    <s v="SÃO PAULO"/>
    <s v="NORMAL"/>
    <n v="1.6500000000000001E-2"/>
    <n v="7.5999999999999998E-2"/>
    <n v="41.04"/>
    <n v="42.373800000000003"/>
    <n v="0"/>
    <n v="0.61559999999999993"/>
    <n v="7.3871999999999991"/>
    <n v="3.42"/>
    <n v="2.8215E-2"/>
    <n v="0.12995999999999999"/>
    <n v="3.5311499999999998"/>
    <n v="0.76144617974809237"/>
    <s v="SIM"/>
    <s v="SIM"/>
    <n v="2.6462249999999998"/>
    <n v="31.7547"/>
    <n v="31.7547"/>
    <n v="3.4752620347710521"/>
    <n v="41.703144417252624"/>
    <n v="52.956373863177944"/>
    <n v="52.956373863177944"/>
    <n v="41.703144417252624"/>
  </r>
  <r>
    <x v="5"/>
    <x v="6"/>
    <s v="ABRAÇADEIRA TIPO &quot;U&quot;, 3/4&quot; X 1/4&quot;, ZINCADO BRILHANTE, FORNECIDO COM 2 PORCAS E 2 ARRUELAS"/>
    <x v="24"/>
    <s v="HAWSER"/>
    <n v="0"/>
    <m/>
    <s v="PÇ"/>
    <n v="350"/>
    <n v="3.33"/>
    <n v="0.18"/>
    <n v="3.2500000000000001E-2"/>
    <m/>
    <n v="3.33"/>
    <s v="SÃO PAULO"/>
    <s v="NORMAL"/>
    <n v="1.6500000000000001E-2"/>
    <n v="7.5999999999999998E-2"/>
    <n v="1165.5"/>
    <n v="1203.3787500000001"/>
    <n v="0"/>
    <n v="0.59940000000000004"/>
    <n v="209.79000000000002"/>
    <n v="3.33"/>
    <n v="2.74725E-2"/>
    <n v="0.12653999999999999"/>
    <n v="3.4382250000000001"/>
    <n v="0.76144617974809237"/>
    <s v="SIM"/>
    <s v="SIM"/>
    <n v="2.5765875"/>
    <n v="901.80562499999996"/>
    <n v="901.80562499999996"/>
    <n v="3.3838077706981302"/>
    <n v="1184.3327197443455"/>
    <n v="1503.9145647547246"/>
    <n v="1503.9145647547246"/>
    <n v="1184.3327197443455"/>
  </r>
  <r>
    <x v="5"/>
    <x v="6"/>
    <s v="CONJUNTO CONDULETES 2&quot;"/>
    <x v="25"/>
    <s v="DAISA"/>
    <n v="0"/>
    <m/>
    <s v="PÇ"/>
    <n v="11"/>
    <n v="76"/>
    <n v="0.18"/>
    <n v="3.2500000000000001E-2"/>
    <m/>
    <n v="76"/>
    <s v="SÃO PAULO"/>
    <s v="NORMAL"/>
    <n v="1.6500000000000001E-2"/>
    <n v="7.5999999999999998E-2"/>
    <n v="836"/>
    <n v="863.17"/>
    <n v="0"/>
    <n v="13.68"/>
    <n v="150.47999999999999"/>
    <n v="76"/>
    <n v="0.627"/>
    <n v="2.8879999999999999"/>
    <n v="78.47"/>
    <n v="0.76144617974809237"/>
    <s v="SIM"/>
    <s v="SIM"/>
    <n v="58.804999999999993"/>
    <n v="646.8549999999999"/>
    <n v="646.8549999999999"/>
    <n v="77.228045217134493"/>
    <n v="849.50849738847944"/>
    <n v="1078.740949064736"/>
    <n v="1078.740949064736"/>
    <n v="849.50849738847944"/>
  </r>
  <r>
    <x v="5"/>
    <x v="6"/>
    <s v="CONJUNTO CONDULETES 1&quot;"/>
    <x v="25"/>
    <s v="DAISA"/>
    <n v="0"/>
    <m/>
    <s v="PÇ"/>
    <n v="6"/>
    <n v="33"/>
    <n v="0.18"/>
    <n v="3.2500000000000001E-2"/>
    <m/>
    <n v="33"/>
    <s v="SÃO PAULO"/>
    <s v="NORMAL"/>
    <n v="1.6500000000000001E-2"/>
    <n v="7.5999999999999998E-2"/>
    <n v="198"/>
    <n v="204.435"/>
    <n v="0"/>
    <n v="5.9399999999999995"/>
    <n v="35.64"/>
    <n v="33"/>
    <n v="0.27224999999999999"/>
    <n v="1.254"/>
    <n v="34.072499999999998"/>
    <n v="0.76144617974809237"/>
    <s v="SIM"/>
    <s v="SIM"/>
    <n v="25.533750000000001"/>
    <n v="153.20250000000001"/>
    <n v="153.20250000000001"/>
    <n v="33.533230160071561"/>
    <n v="201.19938096042938"/>
    <n v="255.49127741006907"/>
    <n v="255.49127741006907"/>
    <n v="201.19938096042938"/>
  </r>
  <r>
    <x v="5"/>
    <x v="6"/>
    <s v="CONJUNTO CONDULETES 3/4&quot;"/>
    <x v="25"/>
    <s v="DAISA"/>
    <n v="0"/>
    <m/>
    <s v="PÇ"/>
    <n v="50"/>
    <n v="19"/>
    <n v="0.18"/>
    <n v="3.2500000000000001E-2"/>
    <m/>
    <n v="19"/>
    <s v="SÃO PAULO"/>
    <s v="NORMAL"/>
    <n v="1.6500000000000001E-2"/>
    <n v="7.5999999999999998E-2"/>
    <n v="950"/>
    <n v="980.875"/>
    <n v="0"/>
    <n v="3.42"/>
    <n v="171"/>
    <n v="19"/>
    <n v="0.15675"/>
    <n v="0.72199999999999998"/>
    <n v="19.6175"/>
    <n v="0.76144617974809237"/>
    <s v="SIM"/>
    <s v="SIM"/>
    <n v="14.701249999999998"/>
    <n v="735.06249999999989"/>
    <n v="735.06249999999989"/>
    <n v="19.307011304283623"/>
    <n v="965.35056521418119"/>
    <n v="1225.8419875735635"/>
    <n v="1225.8419875735635"/>
    <n v="965.35056521418119"/>
  </r>
  <r>
    <x v="5"/>
    <x v="6"/>
    <s v="CONJUNTO INFRAESTRUTURA ELETROMECÂNICA"/>
    <x v="24"/>
    <s v="HAWSER"/>
    <n v="0"/>
    <m/>
    <s v="VB"/>
    <n v="1"/>
    <n v="4500"/>
    <n v="0.18"/>
    <n v="3.2500000000000001E-2"/>
    <m/>
    <n v="4500"/>
    <s v="SÃO PAULO"/>
    <s v="NORMAL"/>
    <n v="1.6500000000000001E-2"/>
    <n v="7.5999999999999998E-2"/>
    <n v="4500"/>
    <n v="4646.25"/>
    <n v="0"/>
    <n v="810"/>
    <n v="810"/>
    <n v="4500"/>
    <n v="37.125"/>
    <n v="171"/>
    <n v="4646.25"/>
    <n v="0.76144617974809237"/>
    <s v="SIM"/>
    <s v="SIM"/>
    <n v="3481.875"/>
    <n v="3481.875"/>
    <n v="3481.875"/>
    <n v="4572.7132036461217"/>
    <n v="4572.7132036461217"/>
    <n v="5806.619941137933"/>
    <n v="5806.619941137933"/>
    <n v="4572.7132036461217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6"/>
    <x v="7"/>
    <s v="MATERIAIS INSTRUMENTAÇÃO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6"/>
    <x v="7"/>
    <s v="TUBO AÇO INOXIDÁVEL AISI 304, DIÂMETRO EXTERNO(OD) 1/2&quot;(12,70MM) X 6000MM, A269, SEM COSTURA, ACABAMENTO DECAPADO"/>
    <x v="26"/>
    <s v="FLOW"/>
    <n v="0"/>
    <m/>
    <s v="PÇ"/>
    <n v="12"/>
    <n v="600"/>
    <n v="0.18"/>
    <n v="0"/>
    <m/>
    <n v="600"/>
    <s v="SÃO PAULO"/>
    <s v="NORMAL"/>
    <n v="1.6500000000000001E-2"/>
    <n v="7.5999999999999998E-2"/>
    <n v="7200"/>
    <n v="7200"/>
    <n v="0"/>
    <n v="108"/>
    <n v="1296"/>
    <n v="600"/>
    <n v="4.95"/>
    <n v="22.8"/>
    <n v="600"/>
    <n v="0.76144617974809237"/>
    <s v="SIM"/>
    <s v="SIM"/>
    <n v="464.25"/>
    <n v="5571"/>
    <n v="5571"/>
    <n v="609.69509381948285"/>
    <n v="7316.3411258337946"/>
    <n v="9290.5919058206928"/>
    <n v="9290.5919058206928"/>
    <n v="7316.3411258337946"/>
  </r>
  <r>
    <x v="6"/>
    <x v="7"/>
    <s v="CONEXÕES ANILHADAS"/>
    <x v="27"/>
    <s v="FLOW"/>
    <n v="0"/>
    <m/>
    <s v="PÇ"/>
    <n v="48"/>
    <n v="120"/>
    <n v="0.18"/>
    <n v="0"/>
    <m/>
    <n v="120"/>
    <s v="SÃO PAULO"/>
    <s v="NORMAL"/>
    <n v="1.6500000000000001E-2"/>
    <n v="7.5999999999999998E-2"/>
    <n v="5760"/>
    <n v="5760"/>
    <n v="0"/>
    <n v="21.599999999999998"/>
    <n v="1036.8"/>
    <n v="120"/>
    <n v="0.99"/>
    <n v="4.5599999999999996"/>
    <n v="120"/>
    <n v="0.76144617974809237"/>
    <s v="SIM"/>
    <s v="SIM"/>
    <n v="92.850000000000009"/>
    <n v="4456.8"/>
    <n v="4456.8"/>
    <n v="121.93901876389658"/>
    <n v="5853.0729006670363"/>
    <n v="7432.4735246565551"/>
    <n v="7432.4735246565551"/>
    <n v="5853.0729006670363"/>
  </r>
  <r>
    <x v="6"/>
    <x v="7"/>
    <s v="POTE DE SELAGEM"/>
    <x v="28"/>
    <s v="FLOW"/>
    <n v="0"/>
    <m/>
    <s v="PÇ"/>
    <n v="16"/>
    <n v="600"/>
    <n v="0.18"/>
    <n v="0"/>
    <m/>
    <n v="600"/>
    <s v="SÃO PAULO"/>
    <s v="NORMAL"/>
    <n v="1.6500000000000001E-2"/>
    <n v="7.5999999999999998E-2"/>
    <n v="9600"/>
    <n v="9600"/>
    <n v="0"/>
    <n v="108"/>
    <n v="1728"/>
    <n v="600"/>
    <n v="4.95"/>
    <n v="22.8"/>
    <n v="600"/>
    <n v="0.76144617974809237"/>
    <s v="SIM"/>
    <s v="SIM"/>
    <n v="464.25"/>
    <n v="7428"/>
    <n v="7428"/>
    <n v="609.69509381948285"/>
    <n v="9755.1215011117256"/>
    <n v="12387.455874427589"/>
    <n v="12387.455874427589"/>
    <n v="9755.1215011117256"/>
  </r>
  <r>
    <x v="6"/>
    <x v="7"/>
    <s v="VÁLVULA DE BLOQUEIO TIPO AGULHA 1/2&quot; ROSCA NPT EM AÇO INOXIDÁVEL AISI 316"/>
    <x v="29"/>
    <s v="FLOW"/>
    <n v="0"/>
    <m/>
    <s v="PÇ"/>
    <n v="20"/>
    <n v="240"/>
    <n v="0.12"/>
    <n v="0"/>
    <m/>
    <n v="240"/>
    <s v="SÃO PAULO"/>
    <s v="NORMAL"/>
    <n v="1.6500000000000001E-2"/>
    <n v="7.5999999999999998E-2"/>
    <n v="4800"/>
    <n v="4800"/>
    <n v="0"/>
    <n v="28.799999999999997"/>
    <n v="576"/>
    <n v="240"/>
    <n v="1.98"/>
    <n v="9.1199999999999992"/>
    <n v="240"/>
    <n v="0.76144617974809237"/>
    <s v="SIM"/>
    <s v="SIM"/>
    <n v="200.1"/>
    <n v="4002"/>
    <n v="4002"/>
    <n v="262.78942008245241"/>
    <n v="5255.788401649048"/>
    <n v="6674.0170179670458"/>
    <n v="6674.0170179670458"/>
    <n v="5255.788401649048"/>
  </r>
  <r>
    <x v="6"/>
    <x v="7"/>
    <s v="MATERIAIS DE ACABAMENTO "/>
    <x v="30"/>
    <s v="AUTPRO"/>
    <n v="0"/>
    <m/>
    <s v="VB"/>
    <n v="1"/>
    <n v="3500"/>
    <n v="0.12"/>
    <m/>
    <m/>
    <n v="3500"/>
    <s v="SÃO PAULO"/>
    <s v="NORMAL"/>
    <n v="1.6500000000000001E-2"/>
    <n v="7.5999999999999998E-2"/>
    <n v="3500"/>
    <n v="3500"/>
    <n v="0"/>
    <n v="420"/>
    <n v="420"/>
    <n v="3500"/>
    <n v="28.875"/>
    <n v="133"/>
    <n v="3500"/>
    <n v="0.76144617974809237"/>
    <s v="SIM"/>
    <s v="SIM"/>
    <n v="2918.125"/>
    <n v="2918.125"/>
    <n v="2918.125"/>
    <n v="3832.3457095357639"/>
    <n v="3832.3457095357639"/>
    <n v="4866.4707422676374"/>
    <n v="4866.4707422676374"/>
    <n v="3832.3457095357639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7"/>
    <x v="8"/>
    <s v="MATERIAIS ILUMINAÇÃO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7"/>
    <x v="8"/>
    <s v="PROJETOR LED, COM ALÇA DE AJUSTE PARA ANGULAÇÃO, 36W, 5000 LUMENS, FACHO 90°, PINTURA EPÓXI CINZA MUNSELL N6.5, TGVP, FORNECIDO COM PRENSA CABO, NÃO DIMERIZÁVEL"/>
    <x v="31"/>
    <s v="FORTLIGHT"/>
    <n v="0"/>
    <m/>
    <s v="PÇ"/>
    <n v="8"/>
    <n v="345"/>
    <n v="0.18"/>
    <n v="9.7500000000000003E-2"/>
    <m/>
    <n v="345"/>
    <s v="SÃO PAULO"/>
    <s v="NORMAL"/>
    <n v="1.6500000000000001E-2"/>
    <n v="7.5999999999999998E-2"/>
    <n v="2760"/>
    <n v="3029.1"/>
    <n v="0"/>
    <n v="62.099999999999994"/>
    <n v="496.79999999999995"/>
    <n v="345"/>
    <n v="2.8462499999999999"/>
    <n v="13.11"/>
    <n v="378.63749999999999"/>
    <n v="0.76144617974809237"/>
    <s v="SIM"/>
    <s v="SIM"/>
    <n v="266.94375000000002"/>
    <n v="2135.5500000000002"/>
    <n v="2135.5500000000002"/>
    <n v="350.57467894620271"/>
    <n v="2804.5974315696217"/>
    <n v="3561.3935638979328"/>
    <n v="3561.3935638979328"/>
    <n v="2804.5974315696217"/>
  </r>
  <r>
    <x v="7"/>
    <x v="8"/>
    <s v="PROJETOR LED, COM ALÇA DE AJUSTE PARA ANGULAÇÃO, 120W, 18260 LUMENS, FACHO 90°, PINTURA EPÓXI CINZA MUNSELL N6.5, TGVP, FORNECIDO COM PRENSA CABO, NÃO DIMERIZÁVEL"/>
    <x v="31"/>
    <s v="FORTLIGHT"/>
    <n v="0"/>
    <m/>
    <s v="PÇ"/>
    <n v="20"/>
    <n v="715"/>
    <n v="0.18"/>
    <n v="9.7500000000000003E-2"/>
    <m/>
    <n v="715"/>
    <s v="SÃO PAULO"/>
    <s v="NORMAL"/>
    <n v="1.6500000000000001E-2"/>
    <n v="7.5999999999999998E-2"/>
    <n v="14300"/>
    <n v="15694.25"/>
    <n v="0"/>
    <n v="128.69999999999999"/>
    <n v="2574"/>
    <n v="715"/>
    <n v="5.8987500000000006"/>
    <n v="27.169999999999998"/>
    <n v="784.71249999999998"/>
    <n v="0.76144617974809237"/>
    <s v="SIM"/>
    <s v="SIM"/>
    <n v="553.23125000000016"/>
    <n v="11064.625000000004"/>
    <n v="11064.625000000004"/>
    <n v="726.55332013488396"/>
    <n v="14531.066402697679"/>
    <n v="18452.147812949435"/>
    <n v="18452.147812949435"/>
    <n v="14531.066402697679"/>
  </r>
  <r>
    <x v="7"/>
    <x v="8"/>
    <s v="PROJETOR LED, COM ALÇA DE AJUSTE PARA ANGULAÇÃO, 250W, 37550 LUMENS, FACHO 90°, PINTURA EPÓXI CINZA MUNSELL N6.5, TGVP, FORNECIDO COM PRENSA CABO, NÃO DIMERIZÁVEL"/>
    <x v="31"/>
    <s v="FORTLIGHT"/>
    <n v="0"/>
    <m/>
    <s v="PÇ"/>
    <n v="10"/>
    <n v="1200"/>
    <n v="0.18"/>
    <n v="9.7500000000000003E-2"/>
    <m/>
    <n v="1200"/>
    <s v="SÃO PAULO"/>
    <s v="NORMAL"/>
    <n v="1.6500000000000001E-2"/>
    <n v="7.5999999999999998E-2"/>
    <n v="12000"/>
    <n v="13170"/>
    <n v="0"/>
    <n v="216"/>
    <n v="2160"/>
    <n v="1200"/>
    <n v="9.9"/>
    <n v="45.6"/>
    <n v="1317"/>
    <n v="0.76144617974809237"/>
    <s v="SIM"/>
    <s v="SIM"/>
    <n v="928.5"/>
    <n v="9285"/>
    <n v="9285"/>
    <n v="1219.3901876389657"/>
    <n v="12193.901876389657"/>
    <n v="15484.319843034486"/>
    <n v="15484.319843034486"/>
    <n v="12193.901876389657"/>
  </r>
  <r>
    <x v="7"/>
    <x v="8"/>
    <s v="BLOCO AUTÔNOMO DE ILUMINAÇÃO DE EMERGÊNCIA, IP-65, COM DOIS PROJETORES DE LED DE 2200 LUMENS CADA, E AUTONOMIA DE 2 HORAS, BIVOLT, 100~240VCA"/>
    <x v="32"/>
    <s v="AUREON"/>
    <n v="0"/>
    <m/>
    <s v="PÇ"/>
    <n v="10"/>
    <n v="1250"/>
    <n v="0.18"/>
    <n v="9.7500000000000003E-2"/>
    <m/>
    <n v="1250"/>
    <s v="SÃO PAULO"/>
    <s v="NORMAL"/>
    <n v="1.6500000000000001E-2"/>
    <n v="7.5999999999999998E-2"/>
    <n v="12500"/>
    <n v="13718.75"/>
    <n v="0"/>
    <n v="225"/>
    <n v="2250"/>
    <n v="1250"/>
    <n v="10.3125"/>
    <n v="47.5"/>
    <n v="1371.875"/>
    <n v="0.76144617974809237"/>
    <s v="SIM"/>
    <s v="SIM"/>
    <n v="967.1875"/>
    <n v="9671.875"/>
    <n v="9671.875"/>
    <n v="1270.1981121239226"/>
    <n v="12701.981121239225"/>
    <n v="16129.499836494257"/>
    <n v="16129.499836494257"/>
    <n v="12701.981121239225"/>
  </r>
  <r>
    <x v="7"/>
    <x v="8"/>
    <s v="MISCELÂNEAS DE MONTAGEM ILLUMINAÇÃO"/>
    <x v="30"/>
    <s v="AUTPRO"/>
    <n v="0"/>
    <m/>
    <s v="VB"/>
    <n v="1"/>
    <n v="2500"/>
    <n v="0.12"/>
    <m/>
    <m/>
    <n v="2500"/>
    <s v="SÃO PAULO"/>
    <s v="NORMAL"/>
    <n v="1.6500000000000001E-2"/>
    <n v="7.5999999999999998E-2"/>
    <n v="2500"/>
    <n v="2500"/>
    <n v="0"/>
    <n v="300"/>
    <n v="300"/>
    <n v="2500"/>
    <n v="20.625"/>
    <n v="95"/>
    <n v="2500"/>
    <n v="0.76144617974809237"/>
    <s v="SIM"/>
    <s v="SIM"/>
    <n v="2084.375"/>
    <n v="2084.375"/>
    <n v="2084.375"/>
    <n v="2737.389792525546"/>
    <n v="2737.389792525546"/>
    <n v="3476.0505301911699"/>
    <n v="3476.0505301911699"/>
    <n v="2737.389792525546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8"/>
    <x v="9"/>
    <s v="MATERIAIS FIBRA ÓPTICA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8"/>
    <x v="9"/>
    <s v="CABO ÓPTICO, MULTIMODO 50/125MICRA, AR OUTDOOR, 6 VIAS"/>
    <x v="33"/>
    <s v="FORTLIGHT"/>
    <n v="0"/>
    <m/>
    <s v="MTS"/>
    <n v="600"/>
    <n v="4"/>
    <n v="0.12"/>
    <n v="0"/>
    <m/>
    <n v="4"/>
    <s v="SÃO PAULO"/>
    <s v="NORMAL"/>
    <n v="1.6500000000000001E-2"/>
    <n v="7.5999999999999998E-2"/>
    <n v="2400"/>
    <n v="2400"/>
    <n v="0"/>
    <n v="0.48"/>
    <n v="288"/>
    <n v="4"/>
    <n v="3.3000000000000002E-2"/>
    <n v="0.152"/>
    <n v="4"/>
    <n v="0.76144617974809237"/>
    <s v="SIM"/>
    <s v="SIM"/>
    <n v="3.335"/>
    <n v="2001"/>
    <n v="2001"/>
    <n v="4.3798236680408733"/>
    <n v="2627.894200824524"/>
    <n v="3337.0085089835229"/>
    <n v="3337.0085089835229"/>
    <n v="2627.894200824524"/>
  </r>
  <r>
    <x v="8"/>
    <x v="9"/>
    <s v="FUSÕES DE FIBRA"/>
    <x v="34"/>
    <s v="FORTLIGHT"/>
    <n v="0"/>
    <m/>
    <s v="PÇ"/>
    <n v="30"/>
    <n v="100"/>
    <n v="0.04"/>
    <n v="9.7500000000000003E-2"/>
    <m/>
    <n v="100"/>
    <s v="SÃO PAULO"/>
    <s v="NORMAL"/>
    <n v="1.6500000000000001E-2"/>
    <n v="7.5999999999999998E-2"/>
    <n v="3000"/>
    <n v="3292.5"/>
    <n v="0"/>
    <n v="4"/>
    <n v="120"/>
    <n v="100"/>
    <n v="0.82500000000000007"/>
    <n v="3.8"/>
    <n v="109.75"/>
    <n v="0.76144617974809237"/>
    <s v="SIM"/>
    <s v="SIM"/>
    <n v="91.375"/>
    <n v="2741.25"/>
    <n v="2741.25"/>
    <n v="120.00191534249919"/>
    <n v="3600.0574602749757"/>
    <n v="4571.5015368571121"/>
    <n v="4571.5015368571121"/>
    <n v="3600.0574602749757"/>
  </r>
  <r>
    <x v="8"/>
    <x v="9"/>
    <s v="PATCH CORD"/>
    <x v="35"/>
    <s v="FORTLIGHT"/>
    <n v="0"/>
    <m/>
    <s v="PÇ"/>
    <n v="10"/>
    <n v="1200"/>
    <n v="0.04"/>
    <n v="9.7500000000000003E-2"/>
    <m/>
    <n v="1200"/>
    <s v="SÃO PAULO"/>
    <s v="NORMAL"/>
    <n v="1.6500000000000001E-2"/>
    <n v="7.5999999999999998E-2"/>
    <n v="12000"/>
    <n v="13170"/>
    <n v="0"/>
    <n v="48"/>
    <n v="480"/>
    <n v="1200"/>
    <n v="9.9"/>
    <n v="45.6"/>
    <n v="1317"/>
    <n v="0.76144617974809237"/>
    <s v="SIM"/>
    <s v="SIM"/>
    <n v="1096.5"/>
    <n v="10965"/>
    <n v="10965"/>
    <n v="1440.0229841099901"/>
    <n v="14400.229841099901"/>
    <n v="18286.006147428448"/>
    <n v="18286.006147428448"/>
    <n v="14400.229841099901"/>
  </r>
  <r>
    <x v="8"/>
    <x v="9"/>
    <s v="MISCELÂNEAS DE MONTAGEM FIBRA ÓPTICA"/>
    <x v="30"/>
    <s v="AUTPRO"/>
    <n v="0"/>
    <m/>
    <s v="VB"/>
    <n v="1"/>
    <n v="1200"/>
    <n v="0"/>
    <n v="0"/>
    <m/>
    <n v="1200"/>
    <s v="SÃO PAULO"/>
    <s v="NORMAL"/>
    <n v="1.6500000000000001E-2"/>
    <n v="7.5999999999999998E-2"/>
    <n v="1200"/>
    <n v="1200"/>
    <n v="0"/>
    <n v="0"/>
    <n v="0"/>
    <n v="1200"/>
    <n v="9.9"/>
    <n v="45.6"/>
    <n v="1200"/>
    <n v="0.76144617974809237"/>
    <s v="SIM"/>
    <s v="SIM"/>
    <n v="1144.5"/>
    <n v="1144.5"/>
    <n v="1144.5"/>
    <n v="1503.0609259588543"/>
    <n v="1503.0609259588543"/>
    <n v="1908.6487948683866"/>
    <n v="1908.6487948683866"/>
    <n v="1503.0609259588543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9"/>
    <x v="10"/>
    <s v="DISTRIBUIÇÃO EIA"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9"/>
    <x v="10"/>
    <s v="MATERIAIS MISCELÂNEAS DE CONEXÃO E ACABAMENTO"/>
    <x v="30"/>
    <s v="AUTPRO"/>
    <n v="0"/>
    <m/>
    <s v="VB"/>
    <n v="1"/>
    <n v="7500"/>
    <n v="0.12"/>
    <n v="0"/>
    <m/>
    <n v="7500"/>
    <s v="SÃO PAULO"/>
    <s v="NORMAL"/>
    <n v="1.6500000000000001E-2"/>
    <n v="7.5999999999999998E-2"/>
    <n v="7500"/>
    <n v="7500"/>
    <n v="0"/>
    <n v="900"/>
    <n v="900"/>
    <n v="7500"/>
    <n v="61.875"/>
    <n v="285"/>
    <n v="7500"/>
    <n v="0.76144617974809237"/>
    <s v="SIM"/>
    <s v="SIM"/>
    <n v="6253.125"/>
    <n v="6253.125"/>
    <n v="6253.125"/>
    <n v="8212.169377576638"/>
    <n v="8212.169377576638"/>
    <n v="10428.15159057351"/>
    <n v="10428.15159057351"/>
    <n v="8212.169377576638"/>
  </r>
  <r>
    <x v="9"/>
    <x v="10"/>
    <s v="FIRE-STOP COM SERVIÇOS"/>
    <x v="36"/>
    <s v="AUTPRO"/>
    <n v="0"/>
    <m/>
    <s v="VB"/>
    <n v="1"/>
    <n v="4500"/>
    <n v="0.12"/>
    <n v="0"/>
    <m/>
    <n v="4500"/>
    <s v="SÃO PAULO"/>
    <s v="NORMAL"/>
    <n v="1.6500000000000001E-2"/>
    <n v="7.5999999999999998E-2"/>
    <n v="4500"/>
    <n v="4500"/>
    <n v="0"/>
    <n v="540"/>
    <n v="540"/>
    <n v="4500"/>
    <n v="37.125"/>
    <n v="171"/>
    <n v="4500"/>
    <n v="0.76144617974809237"/>
    <s v="SIM"/>
    <s v="SIM"/>
    <n v="3751.875"/>
    <n v="3751.875"/>
    <n v="3751.875"/>
    <n v="4927.3016265459828"/>
    <n v="4927.3016265459828"/>
    <n v="6256.8909543441059"/>
    <n v="6256.8909543441059"/>
    <n v="4927.3016265459828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  <r>
    <x v="0"/>
    <x v="0"/>
    <m/>
    <x v="0"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6144617974809237"/>
    <s v="SIM"/>
    <s v="SIM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1"/>
    <x v="1"/>
    <s v="Painel para Tomadas em Campo, sendo:_x000a_1 Painel em Aço Carbono, IP54, com dimensões aproximadas de 600x500x250 (AxLxP)_x000a_-1 TOMADA 3P+T 32A, 220V, AZUL - 9H - Embutir - IP44_x000a_-1 TOMADA  2P+T 16A, 220V, AZUL - 6H - Embutir - IP44_x000a_-1 TOMADA 3P+T 32A, 440V, VERMELHA - 6H - Embutir - IP44_x000a_-1 DISJUNTOR 16A, BIPOLAR (Interno ao Painel)_x000a_-1 DISJUNTOR 32A, TRIPOLAR (Interno ao Painel)_x000a_-1 DISJUNTOR 32A, TRIPOLAR (Interno ao Painel)_x000a_-12 BORNES 16mm² (Interno ao Painel)_x000a_-1 BARRA TERRA (Interno ao Painel)_x000a_-4 PÇs. PRENSA CABO Ø1&quot;"/>
    <s v="QUADROS"/>
    <s v="AUTPRO"/>
    <n v="0"/>
    <m/>
    <s v="PÇ"/>
    <n v="1"/>
    <n v="5600"/>
    <n v="0.12"/>
    <n v="6.5000000000000002E-2"/>
    <m/>
    <n v="5600"/>
    <s v="SÃO PAULO"/>
    <s v="NORMAL"/>
    <n v="1.6500000000000001E-2"/>
    <n v="7.5999999999999998E-2"/>
    <n v="5600"/>
    <n v="5964"/>
    <n v="0"/>
    <n v="672"/>
    <n v="46.2"/>
    <n v="212.79999999999998"/>
    <n v="672"/>
    <n v="5600"/>
    <n v="5964"/>
    <n v="0.79629599331834122"/>
    <s v="SIM"/>
    <s v="SIM"/>
    <n v="4669"/>
    <n v="4669"/>
    <n v="4669"/>
    <n v="5863.3975797658431"/>
    <n v="5863.3975797658431"/>
    <n v="7445.5842282740878"/>
    <n v="7445.5842282740878"/>
    <n v="5863.3975797658431"/>
  </r>
  <r>
    <x v="2"/>
    <x v="2"/>
    <s v="PAINEL MODULO DE INTERFACE INCÊNDIO (KIDDE)"/>
    <s v="QUADROS"/>
    <s v="AUTPRO"/>
    <n v="0"/>
    <m/>
    <s v="PÇ"/>
    <n v="1"/>
    <n v="1500"/>
    <n v="0.12"/>
    <n v="6.5000000000000002E-2"/>
    <m/>
    <n v="1500"/>
    <s v="SÃO PAULO"/>
    <s v="NORMAL"/>
    <n v="1.6500000000000001E-2"/>
    <n v="7.5999999999999998E-2"/>
    <n v="1500"/>
    <n v="1597.5"/>
    <n v="0"/>
    <n v="180"/>
    <n v="12.375"/>
    <n v="57"/>
    <n v="180"/>
    <n v="1500"/>
    <n v="1597.5"/>
    <n v="0.79629599331834122"/>
    <s v="SIM"/>
    <s v="SIM"/>
    <n v="1250.625"/>
    <n v="1250.625"/>
    <n v="1250.625"/>
    <n v="1570.5529231515652"/>
    <n v="1570.5529231515652"/>
    <n v="1994.3529182877021"/>
    <n v="1994.3529182877021"/>
    <n v="1570.5529231515652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  <r>
    <x v="0"/>
    <x v="0"/>
    <m/>
    <m/>
    <m/>
    <n v="0"/>
    <m/>
    <m/>
    <m/>
    <m/>
    <m/>
    <m/>
    <m/>
    <n v="0"/>
    <s v="SÃO PAULO"/>
    <s v="NORMAL"/>
    <n v="1.6500000000000001E-2"/>
    <n v="7.5999999999999998E-2"/>
    <n v="0"/>
    <n v="0"/>
    <n v="0"/>
    <n v="0"/>
    <n v="0"/>
    <n v="0"/>
    <n v="0"/>
    <n v="0"/>
    <n v="0"/>
    <n v="0.79629599331834122"/>
    <s v="SIM"/>
    <s v="SIM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C7C52-6674-44D2-8351-94DF6FB88F36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P8:AR48" firstHeaderRow="0" firstDataRow="1" firstDataCol="1"/>
  <pivotFields count="38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4">
        <item sd="0" x="0"/>
        <item m="1" x="12"/>
        <item m="1" x="11"/>
        <item sd="0" x="1"/>
        <item sd="0" x="2"/>
        <item sd="0" x="3"/>
        <item sd="0" x="4"/>
        <item sd="0" x="5"/>
        <item x="6"/>
        <item x="7"/>
        <item x="8"/>
        <item x="9"/>
        <item x="10"/>
        <item t="default"/>
      </items>
    </pivotField>
    <pivotField showAll="0"/>
    <pivotField axis="axisRow" showAll="0">
      <items count="38">
        <item x="21"/>
        <item x="24"/>
        <item x="19"/>
        <item x="15"/>
        <item x="27"/>
        <item x="12"/>
        <item x="10"/>
        <item x="32"/>
        <item x="7"/>
        <item x="5"/>
        <item x="6"/>
        <item x="1"/>
        <item x="2"/>
        <item x="3"/>
        <item x="4"/>
        <item x="16"/>
        <item x="25"/>
        <item x="9"/>
        <item x="35"/>
        <item x="20"/>
        <item x="23"/>
        <item x="11"/>
        <item x="33"/>
        <item x="36"/>
        <item x="14"/>
        <item x="34"/>
        <item x="8"/>
        <item x="17"/>
        <item x="18"/>
        <item x="30"/>
        <item x="22"/>
        <item x="28"/>
        <item x="31"/>
        <item x="13"/>
        <item x="26"/>
        <item x="29"/>
        <item x="0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showAll="0"/>
    <pivotField showAll="0"/>
    <pivotField showAll="0"/>
    <pivotField showAll="0"/>
    <pivotField numFmtId="171" showAll="0"/>
    <pivotField numFmtId="171" showAll="0"/>
    <pivotField numFmtId="171" showAll="0"/>
    <pivotField numFmtId="44" showAll="0"/>
    <pivotField numFmtId="44" showAll="0"/>
    <pivotField numFmtId="171" showAll="0"/>
    <pivotField numFmtId="171" showAll="0"/>
    <pivotField numFmtId="171" showAll="0"/>
    <pivotField numFmtId="171" showAll="0"/>
    <pivotField numFmtId="182" showAll="0"/>
    <pivotField showAll="0"/>
    <pivotField showAll="0"/>
    <pivotField numFmtId="165" showAll="0"/>
    <pivotField numFmtId="165" showAll="0"/>
    <pivotField numFmtId="171" showAll="0"/>
    <pivotField numFmtId="44" showAll="0"/>
    <pivotField numFmtId="171" showAll="0"/>
    <pivotField dataField="1" numFmtId="171" showAll="0"/>
    <pivotField dataField="1" numFmtId="171" showAll="0"/>
    <pivotField numFmtId="171" showAll="0"/>
  </pivotFields>
  <rowFields count="2">
    <field x="1"/>
    <field x="3"/>
  </rowFields>
  <rowItems count="40">
    <i>
      <x/>
    </i>
    <i>
      <x v="3"/>
    </i>
    <i>
      <x v="4"/>
    </i>
    <i>
      <x v="5"/>
    </i>
    <i>
      <x v="6"/>
    </i>
    <i>
      <x v="7"/>
    </i>
    <i>
      <x v="8"/>
    </i>
    <i r="1">
      <x/>
    </i>
    <i r="1">
      <x v="1"/>
    </i>
    <i r="1">
      <x v="2"/>
    </i>
    <i r="1">
      <x v="16"/>
    </i>
    <i r="1">
      <x v="19"/>
    </i>
    <i r="1">
      <x v="20"/>
    </i>
    <i r="1">
      <x v="27"/>
    </i>
    <i r="1">
      <x v="28"/>
    </i>
    <i r="1">
      <x v="30"/>
    </i>
    <i r="1">
      <x v="36"/>
    </i>
    <i>
      <x v="9"/>
    </i>
    <i r="1">
      <x v="4"/>
    </i>
    <i r="1">
      <x v="29"/>
    </i>
    <i r="1">
      <x v="31"/>
    </i>
    <i r="1">
      <x v="34"/>
    </i>
    <i r="1">
      <x v="35"/>
    </i>
    <i r="1">
      <x v="36"/>
    </i>
    <i>
      <x v="10"/>
    </i>
    <i r="1">
      <x v="7"/>
    </i>
    <i r="1">
      <x v="29"/>
    </i>
    <i r="1">
      <x v="32"/>
    </i>
    <i r="1">
      <x v="36"/>
    </i>
    <i>
      <x v="11"/>
    </i>
    <i r="1">
      <x v="18"/>
    </i>
    <i r="1">
      <x v="22"/>
    </i>
    <i r="1">
      <x v="25"/>
    </i>
    <i r="1">
      <x v="29"/>
    </i>
    <i r="1">
      <x v="36"/>
    </i>
    <i>
      <x v="12"/>
    </i>
    <i r="1">
      <x v="23"/>
    </i>
    <i r="1">
      <x v="29"/>
    </i>
    <i r="1"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/ IPI" fld="35" baseField="0" baseItem="0" numFmtId="171"/>
    <dataField name="Soma de C/ IPI" fld="36" baseField="0" baseItem="0" numFmtId="184"/>
  </dataFields>
  <formats count="5"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0" type="button" dataOnly="0" labelOnly="1" outline="0"/>
    </format>
    <format dxfId="238">
      <pivotArea dataOnly="0" labelOnly="1" grandRow="1" outline="0" fieldPosition="0"/>
    </format>
    <format dxfId="2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45AE7-55AB-4E4C-894C-B0DD9BDB07DF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Q8:AS15" firstHeaderRow="0" firstDataRow="1" firstDataCol="1"/>
  <pivotFields count="38">
    <pivotField axis="axisRow" showAll="0">
      <items count="4">
        <item x="0"/>
        <item x="1"/>
        <item x="2"/>
        <item t="default"/>
      </items>
    </pivotField>
    <pivotField axis="axisRow" showAll="0">
      <items count="6">
        <item m="1" x="3"/>
        <item m="1" x="4"/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71" showAll="0"/>
    <pivotField showAll="0"/>
    <pivotField showAll="0"/>
    <pivotField numFmtId="10" showAll="0"/>
    <pivotField numFmtId="10" showAll="0"/>
    <pivotField numFmtId="171" showAll="0"/>
    <pivotField numFmtId="171" showAll="0"/>
    <pivotField numFmtId="171" showAll="0"/>
    <pivotField numFmtId="44" showAll="0"/>
    <pivotField numFmtId="44" showAll="0"/>
    <pivotField numFmtId="44" showAll="0"/>
    <pivotField numFmtId="44" showAll="0"/>
    <pivotField numFmtId="171" showAll="0"/>
    <pivotField numFmtId="171" showAll="0"/>
    <pivotField numFmtId="182" showAll="0"/>
    <pivotField showAll="0"/>
    <pivotField showAll="0"/>
    <pivotField numFmtId="165" showAll="0"/>
    <pivotField numFmtId="165" showAll="0"/>
    <pivotField numFmtId="171" showAll="0"/>
    <pivotField numFmtId="44" showAll="0"/>
    <pivotField numFmtId="171" showAll="0"/>
    <pivotField dataField="1" numFmtId="171" showAll="0"/>
    <pivotField dataField="1" numFmtId="171" showAll="0"/>
    <pivotField numFmtId="171" showAll="0"/>
  </pivotFields>
  <rowFields count="2">
    <field x="0"/>
    <field x="1"/>
  </rowFields>
  <rowItems count="7">
    <i>
      <x/>
    </i>
    <i r="1">
      <x v="2"/>
    </i>
    <i>
      <x v="1"/>
    </i>
    <i r="1">
      <x v="3"/>
    </i>
    <i>
      <x v="2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/ IPI" fld="35" baseField="0" baseItem="0" numFmtId="171"/>
    <dataField name="Soma de C/ IPI" fld="36" baseField="1" baseItem="0" numFmtId="184"/>
  </dataFields>
  <formats count="6"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1" type="button" dataOnly="0" labelOnly="1" outline="0" axis="axisRow" fieldPosition="1"/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grandRow="1" outline="0" fieldPosition="0"/>
    </format>
    <format dxfId="1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B6F853-25E8-4EA7-AFD0-99319645143F}" name="ServExt" displayName="ServExt" ref="W24:AP65" totalsRowCount="1" headerRowDxfId="447" dataDxfId="445" totalsRowDxfId="443" headerRowBorderDxfId="446" tableBorderDxfId="444" totalsRowBorderDxfId="442">
  <autoFilter ref="W24:AP64" xr:uid="{2154B45A-0E9B-419C-AF49-F3DC3E400704}"/>
  <tableColumns count="20">
    <tableColumn id="1" xr3:uid="{93D4A591-3D30-44A3-BE5E-7659C5928931}" name="ITEM" totalsRowLabel="Total" dataDxfId="441" totalsRowDxfId="440"/>
    <tableColumn id="20" xr3:uid="{E8C7721F-2237-4449-BAB3-FEF50A0309F8}" name="CENTRO DE CUSTO" dataDxfId="439" totalsRowDxfId="438"/>
    <tableColumn id="2" xr3:uid="{22379A96-D626-4FB3-A96C-5AEC3A324967}" name="SERVIÇO" dataDxfId="437" totalsRowDxfId="436"/>
    <tableColumn id="3" xr3:uid="{1919DA9B-A9A0-4179-A2D0-BADB2F225193}" name="CÓDIGO" dataDxfId="435" totalsRowDxfId="434"/>
    <tableColumn id="4" xr3:uid="{5B6CD24A-C212-4749-8B97-A1E3BEB05C66}" name="DESCRIÇÃO FUNÇÃO" dataDxfId="433" totalsRowDxfId="432">
      <calculatedColumnFormula>LOOKUP(Z25,#REF!,#REF!)</calculatedColumnFormula>
    </tableColumn>
    <tableColumn id="5" xr3:uid="{CCF4FEAE-5899-4296-8480-48D2716EBE21}" name="DIAS" totalsRowFunction="sum" dataDxfId="431" totalsRowDxfId="430"/>
    <tableColumn id="6" xr3:uid="{06D67660-065B-4A69-BE44-B3B00698ED71}" name="PESSOAS" totalsRowFunction="sum" dataDxfId="429" totalsRowDxfId="428"/>
    <tableColumn id="15" xr3:uid="{7B7A8D4D-278C-43D0-9BD2-8CA760CB4791}" name="HORAS DIA" totalsRowFunction="average" dataDxfId="427" totalsRowDxfId="426"/>
    <tableColumn id="14" xr3:uid="{1B806467-E4D4-444A-AA96-556969D1E635}" name="TIPO H" dataDxfId="425" totalsRowDxfId="424"/>
    <tableColumn id="7" xr3:uid="{FCB1CEF4-C212-401D-84A6-CC0B96867C85}" name="HE CALC" dataDxfId="423" totalsRowDxfId="422">
      <calculatedColumnFormula>_xlfn.IFS(ServExt[[#This Row],[TIPO H]]="EXTRA 150%",((1)*2.5),ServExt[[#This Row],[TIPO H]]="EXTRA 100%",((1)*2),ServExt[[#This Row],[TIPO H]]="EXTRA 75%",((1)*1.75),ServExt[[#This Row],[TIPO H]]="EXTRA 50%",((1)*1.5),ServExt[[#This Row],[TIPO H]]="NORMAL",((1)))</calculatedColumnFormula>
    </tableColumn>
    <tableColumn id="8" xr3:uid="{6503A41E-C8A1-4BAB-9E47-1504545AB56A}" name="TOTAL HORAS" totalsRowFunction="sum" dataDxfId="421" totalsRowDxfId="420">
      <calculatedColumnFormula>ServExt[[#This Row],[DIAS]]*ServExt[[#This Row],[PESSOAS]]*ServExt[[#This Row],[HORAS DIA]]</calculatedColumnFormula>
    </tableColumn>
    <tableColumn id="9" xr3:uid="{D49AC7B2-FCB3-4B9A-AB9F-06075EA7ADD8}" name="R$ / HORA" dataDxfId="419" totalsRowDxfId="418" dataCellStyle="Moeda">
      <calculatedColumnFormula>(IF(Z25="","",LOOKUP(Z25,#REF!,#REF!)))*ServExt[[#This Row],[HE CALC]]</calculatedColumnFormula>
    </tableColumn>
    <tableColumn id="10" xr3:uid="{DE78DD7B-6D5B-45A5-B6E2-BAEDC83C853D}" name="TOTAL" totalsRowFunction="sum" dataDxfId="417" totalsRowDxfId="416">
      <calculatedColumnFormula>ServExt[[#This Row],[TOTAL HORAS]]*ServExt[[#This Row],[R$ / HORA]]</calculatedColumnFormula>
    </tableColumn>
    <tableColumn id="11" xr3:uid="{6211F318-ABCF-4BDF-AF05-97DC1D2752EF}" name="MARK-UP" dataDxfId="415" totalsRowDxfId="414" dataCellStyle="Vírgula">
      <calculatedColumnFormula>#REF!</calculatedColumnFormula>
    </tableColumn>
    <tableColumn id="12" xr3:uid="{84A7A077-69BC-4D67-A0F2-1439A9FA00C9}" name="HORA" dataDxfId="413" totalsRowDxfId="412" dataCellStyle="Moeda">
      <calculatedColumnFormula>AH25/AJ25</calculatedColumnFormula>
    </tableColumn>
    <tableColumn id="13" xr3:uid="{D48275BE-D7CD-422C-A9E3-C49D990F53E8}" name="TOTAL3" totalsRowFunction="sum" dataDxfId="411" totalsRowDxfId="410" dataCellStyle="Porcentagem">
      <calculatedColumnFormula>AI25/AJ25</calculatedColumnFormula>
    </tableColumn>
    <tableColumn id="16" xr3:uid="{A830A9CC-1A18-481F-8E77-0D97200F471D}" name="TOTAL4" totalsRowFunction="sum" dataDxfId="409" totalsRowDxfId="408" dataCellStyle="Porcentagem">
      <calculatedColumnFormula>IF(OR(ServExt[[#This Row],[TIPO H]]="NORMAL",ServExt[[#This Row],[HORAS DIA]]&gt;=8),ServExt[[#This Row],[PESSOAS]]*ServExt[[#This Row],[DIAS]]*2,0)</calculatedColumnFormula>
    </tableColumn>
    <tableColumn id="17" xr3:uid="{12ED3358-BC24-4FB1-9479-E4FE29C514F2}" name="MULTA" totalsRowFunction="sum" dataDxfId="407" totalsRowDxfId="406" dataCellStyle="Porcentagem">
      <calculatedColumnFormula>(IF(Z25="","",LOOKUP(Z25,#REF!,#REF!)))*ServExt[[#This Row],[TOTAL HORAS]]</calculatedColumnFormula>
    </tableColumn>
    <tableColumn id="18" xr3:uid="{03D968E5-ADB1-489A-8326-A9B4D2BECC88}" name="Coluna1" totalsRowFunction="sum" dataDxfId="405" totalsRowDxfId="404">
      <calculatedColumnFormula>IF(ServExt[[#This Row],[TIPO H]]="NORMAL",ServExt[[#This Row],[PESSOAS]],0)</calculatedColumnFormula>
    </tableColumn>
    <tableColumn id="19" xr3:uid="{FE3733D4-896C-41F9-862E-D33369C1B5B5}" name="VENDA COM IMPOSTOS" totalsRowFunction="sum" dataDxfId="403" totalsRowDxfId="402">
      <calculatedColumnFormula>IFERROR(ServExt[[#This Row],[TOTAL3]]*(RESUMO!$F$22/RESUMO!$F$14),0)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772D6-B6A1-497E-BE05-4C61D02674BE}" name="ServInt" displayName="ServInt" ref="B24:T65" totalsRowCount="1" headerRowDxfId="401" tableBorderDxfId="400">
  <autoFilter ref="B24:T64" xr:uid="{605ADEC5-5FF9-4CD8-A54E-BC2C3F94ACC7}"/>
  <tableColumns count="19">
    <tableColumn id="1" xr3:uid="{8E9C2326-6F56-469F-9985-4AB3634356A6}" name="ITEM" totalsRowLabel="8" dataDxfId="399" totalsRowDxfId="398"/>
    <tableColumn id="19" xr3:uid="{1C57B5D9-8A3A-4310-8690-2A850439E372}" name="CENTRO DE CUSTO" dataDxfId="397" totalsRowDxfId="396"/>
    <tableColumn id="2" xr3:uid="{7FE64BEE-8EDF-4BFB-8601-149CE332E69B}" name="SERVIÇO" dataDxfId="395" totalsRowDxfId="394"/>
    <tableColumn id="3" xr3:uid="{FF372EBF-C7A1-48F9-9819-A484C9A970A2}" name="CÓDIGO" dataDxfId="393" totalsRowDxfId="392"/>
    <tableColumn id="4" xr3:uid="{C415F073-E74A-4385-9AB1-660F6C04143F}" name="DESCRIÇÃO FUNÇÃO" dataDxfId="391" totalsRowDxfId="390">
      <calculatedColumnFormula>LOOKUP('SERVICOS AUTPRO'!$E$25:$E$64,#REF!,#REF!)</calculatedColumnFormula>
    </tableColumn>
    <tableColumn id="5" xr3:uid="{8DCA94C6-E7E0-4C1F-A006-619C283B6EDC}" name="DIAS" totalsRowFunction="sum" dataDxfId="389" totalsRowDxfId="388"/>
    <tableColumn id="6" xr3:uid="{663D86DE-F92C-4C95-8D46-325D315479D6}" name="PESSOAS" dataDxfId="387" totalsRowDxfId="386"/>
    <tableColumn id="7" xr3:uid="{5EEACEDB-B911-4C65-846F-0F61C96E7638}" name="HORAS DIA" totalsRowFunction="average" dataDxfId="385" totalsRowDxfId="384"/>
    <tableColumn id="8" xr3:uid="{A09AA196-9177-4361-89E2-6215D1E72222}" name="TIPO H" dataDxfId="383" totalsRowDxfId="382"/>
    <tableColumn id="9" xr3:uid="{F5721E5C-E383-4EDB-9CB6-DE236E2E810A}" name="HE CALC" dataDxfId="381" totalsRowDxfId="380">
      <calculatedColumnFormula>_xlfn.IFS('SERVICOS AUTPRO'!$J$25:$J$64="EXTRA 150%",((1)*2.5),'SERVICOS AUTPRO'!$J$25:$J$64="EXTRA 100%",((1)*2),'SERVICOS AUTPRO'!$J$25:$J$64="EXTRA 75%",((1)*1.75),'SERVICOS AUTPRO'!$J$25:$J$64="EXTRA 50%",((1)*1.5),'SERVICOS AUTPRO'!$J$25:$J$64="NORMAL",((1)))</calculatedColumnFormula>
    </tableColumn>
    <tableColumn id="10" xr3:uid="{40044444-A32C-469E-A054-037E15CAD5BE}" name="TOTAL HORAS" totalsRowFunction="sum" dataDxfId="379" totalsRowDxfId="378">
      <calculatedColumnFormula>ServInt[[#This Row],[DIAS]]*ServInt[[#This Row],[PESSOAS]]*ServInt[[#This Row],[HORAS DIA]]</calculatedColumnFormula>
    </tableColumn>
    <tableColumn id="11" xr3:uid="{13A24736-3436-471B-907E-AB4B59B04439}" name="R$ / HORA" dataDxfId="377" totalsRowDxfId="376" dataCellStyle="Moeda">
      <calculatedColumnFormula>(IF(ServInt[[#This Row],[CÓDIGO]]="","",LOOKUP(E25,#REF!,#REF!)))*ServInt[[#This Row],[HE CALC]]</calculatedColumnFormula>
    </tableColumn>
    <tableColumn id="12" xr3:uid="{21881B22-0E23-48E1-8A4B-002BA2B44D56}" name="TOTAL" totalsRowFunction="sum" dataDxfId="375" totalsRowDxfId="374">
      <calculatedColumnFormula>ServInt[[#This Row],[TOTAL HORAS]]*ServInt[[#This Row],[R$ / HORA]]</calculatedColumnFormula>
    </tableColumn>
    <tableColumn id="13" xr3:uid="{2B88268A-929E-4C0B-A1BB-6D89F1A6CE71}" name="MARK-UP" dataDxfId="373" totalsRowDxfId="372" dataCellStyle="Moeda">
      <calculatedColumnFormula>#REF!</calculatedColumnFormula>
    </tableColumn>
    <tableColumn id="14" xr3:uid="{F75630B5-98CC-4D35-A196-7781A7A02118}" name="HORA" dataDxfId="371" totalsRowDxfId="370" dataCellStyle="Moeda">
      <calculatedColumnFormula>M25/O25</calculatedColumnFormula>
    </tableColumn>
    <tableColumn id="15" xr3:uid="{0A7F8C11-D49B-4EE6-A3EA-41F8B10C4B4A}" name="TOTAL3" totalsRowFunction="sum" dataDxfId="369" totalsRowDxfId="368" dataCellStyle="Porcentagem">
      <calculatedColumnFormula>N25/O25</calculatedColumnFormula>
    </tableColumn>
    <tableColumn id="16" xr3:uid="{87380DD5-8A54-4479-BA8E-A9168F5F30EA}" name="TOTAL4" totalsRowFunction="count" dataDxfId="367" totalsRowDxfId="366" dataCellStyle="Porcentagem"/>
    <tableColumn id="17" xr3:uid="{8523A6FA-0D47-45E1-B233-98EAB204DA96}" name="MULTA" totalsRowFunction="sum" dataDxfId="365" totalsRowDxfId="364" dataCellStyle="Porcentagem">
      <calculatedColumnFormula>(IF(E25="","",LOOKUP(E25,#REF!,#REF!)))*ServInt[[#This Row],[TOTAL HORAS]]</calculatedColumnFormula>
    </tableColumn>
    <tableColumn id="18" xr3:uid="{867C5292-B410-4397-879A-F733C00F1470}" name="VENDA COM IMPOSTOS" totalsRowFunction="sum" dataDxfId="363" totalsRowDxfId="362" dataCellStyle="Porcentagem">
      <calculatedColumnFormula>IFERROR(ServInt[[#This Row],[TOTAL3]]*(RESUMO!$F$22/RESUMO!$F$14),0)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4684E2-71E2-4350-BB89-20A63FBB8F90}" name="ServExt8" displayName="ServExt8" ref="W23:AP97" totalsRowCount="1" headerRowDxfId="361" dataDxfId="359" totalsRowDxfId="357" headerRowBorderDxfId="360" tableBorderDxfId="358" totalsRowBorderDxfId="356">
  <autoFilter ref="W23:AP96" xr:uid="{2154B45A-0E9B-419C-AF49-F3DC3E400704}"/>
  <tableColumns count="20">
    <tableColumn id="1" xr3:uid="{FD89BD95-D818-4941-8D5B-F15D690919D4}" name="ITEM" totalsRowLabel="Total" dataDxfId="355" totalsRowDxfId="354"/>
    <tableColumn id="20" xr3:uid="{8F00E330-1126-45FE-9749-B82C0678DB61}" name="CENTRO DE CUSTO" dataDxfId="353" totalsRowDxfId="352"/>
    <tableColumn id="2" xr3:uid="{707BCDF0-4DC0-4770-9607-2E688BA5657E}" name="SERVIÇO" dataDxfId="351" totalsRowDxfId="350"/>
    <tableColumn id="3" xr3:uid="{AC77BA53-E6FF-44C0-AD15-A896682638E3}" name="CÓDIGO" dataDxfId="349" totalsRowDxfId="348"/>
    <tableColumn id="4" xr3:uid="{5A7F0142-05B5-45E6-83FA-028E392EC0B3}" name="DESCRIÇÃO FUNÇÃO" dataDxfId="347" totalsRowDxfId="346">
      <calculatedColumnFormula>LOOKUP(Z24,#REF!,#REF!)</calculatedColumnFormula>
    </tableColumn>
    <tableColumn id="5" xr3:uid="{44D8F255-EAF0-421C-8127-9A4DBA055988}" name="DIAS" totalsRowFunction="sum" dataDxfId="345" totalsRowDxfId="344"/>
    <tableColumn id="6" xr3:uid="{6109CB4C-6B77-4C8C-B14C-D36AB2221F45}" name="PESSOAS" totalsRowFunction="sum" dataDxfId="343" totalsRowDxfId="342"/>
    <tableColumn id="15" xr3:uid="{825C7B02-B09A-40B1-B75A-2DB6FED1D86C}" name="HORAS DIA" dataDxfId="341" totalsRowDxfId="340"/>
    <tableColumn id="14" xr3:uid="{FC91A416-F635-4AB9-B0CA-82BDC853E2FB}" name="TIPO H" dataDxfId="339" totalsRowDxfId="338"/>
    <tableColumn id="7" xr3:uid="{6917525A-3728-4222-81BB-83E05623561E}" name="HE CALC" dataDxfId="337" totalsRowDxfId="336">
      <calculatedColumnFormula>_xlfn.IFS(ServExt8[[#This Row],[TIPO H]]="EXTRA 150%",((1)*2.5),ServExt8[[#This Row],[TIPO H]]="EXTRA 100%",((1)*2),ServExt8[[#This Row],[TIPO H]]="EXTRA 75%",((1)*1.75),ServExt8[[#This Row],[TIPO H]]="EXTRA 50%",((1)*1.5),ServExt8[[#This Row],[TIPO H]]="NORMAL",((1)))</calculatedColumnFormula>
    </tableColumn>
    <tableColumn id="8" xr3:uid="{597EB7CC-3A19-417B-BB1E-1572E43CB088}" name="TOTAL HORAS" dataDxfId="335" totalsRowDxfId="334">
      <calculatedColumnFormula>AC24*AB24*AD24</calculatedColumnFormula>
    </tableColumn>
    <tableColumn id="9" xr3:uid="{3930DF51-E6DB-4168-8BD6-B9B69968ABFF}" name="R$ / HORA" dataDxfId="333" totalsRowDxfId="332" dataCellStyle="Moeda">
      <calculatedColumnFormula>(IF(Z24="","",LOOKUP(Z24,#REF!,#REF!)))*ServExt8[[#This Row],[HE CALC]]</calculatedColumnFormula>
    </tableColumn>
    <tableColumn id="10" xr3:uid="{4ABFD4EC-910B-44C9-AAC9-53DAD9637733}" name="TOTAL" totalsRowFunction="sum" dataDxfId="331" totalsRowDxfId="330">
      <calculatedColumnFormula>ServExt8[[#This Row],[TOTAL HORAS]]*ServExt8[[#This Row],[R$ / HORA]]</calculatedColumnFormula>
    </tableColumn>
    <tableColumn id="11" xr3:uid="{A8F32B94-3336-4397-A038-B4CFED5D00B8}" name="MARK-UP" dataDxfId="329" totalsRowDxfId="328" dataCellStyle="Moeda">
      <calculatedColumnFormula>#REF!</calculatedColumnFormula>
    </tableColumn>
    <tableColumn id="12" xr3:uid="{1384C167-586D-40DE-A68A-42C9F3674940}" name="HORA" dataDxfId="327" totalsRowDxfId="326" dataCellStyle="Moeda">
      <calculatedColumnFormula>AH24/AJ24</calculatedColumnFormula>
    </tableColumn>
    <tableColumn id="13" xr3:uid="{4F93C8AF-C60D-404E-BDD3-2E9CD769955B}" name="TOTAL3" totalsRowFunction="sum" dataDxfId="325" totalsRowDxfId="324" dataCellStyle="Porcentagem">
      <calculatedColumnFormula>AI24/AJ24</calculatedColumnFormula>
    </tableColumn>
    <tableColumn id="16" xr3:uid="{0864FF68-043C-46A2-8B22-FBE277A24DA7}" name="TOTAL4" totalsRowFunction="sum" dataDxfId="323" totalsRowDxfId="322" dataCellStyle="Porcentagem">
      <calculatedColumnFormula>IF(OR(ServExt8[[#This Row],[TIPO H]]="NORMAL",ServExt8[[#This Row],[HORAS DIA]]&gt;=8),ServExt8[[#This Row],[PESSOAS]]*ServExt8[[#This Row],[DIAS]]*2,0)</calculatedColumnFormula>
    </tableColumn>
    <tableColumn id="17" xr3:uid="{EC047467-73B6-465D-825F-A909EF02A412}" name="MULTA" totalsRowFunction="sum" dataDxfId="321" totalsRowDxfId="320" dataCellStyle="Porcentagem">
      <calculatedColumnFormula>(IF(Z24="","",LOOKUP(Z24,#REF!,#REF!)))*ServExt8[[#This Row],[TOTAL HORAS]]</calculatedColumnFormula>
    </tableColumn>
    <tableColumn id="18" xr3:uid="{EF7C2E6A-FB59-444E-8D7E-E3CE7899CF28}" name="Coluna1" totalsRowFunction="sum" dataDxfId="319" totalsRowDxfId="318">
      <calculatedColumnFormula>IF(ServExt8[[#This Row],[TIPO H]]="NORMAL",ServExt8[[#This Row],[PESSOAS]],0)</calculatedColumnFormula>
    </tableColumn>
    <tableColumn id="19" xr3:uid="{E9A681D1-EA33-445C-A705-3352515B054F}" name="VENDA COM IMPOSTOS" totalsRowFunction="sum" dataDxfId="317" totalsRowDxfId="316">
      <calculatedColumnFormula>IFERROR(ServExt8[[#This Row],[TOTAL3]]*(RESUMO!$F$32/RESUMO!$F$24),0)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93770C-111C-4E84-9D40-9F8E6601E47E}" name="ServInt10" displayName="ServInt10" ref="B23:T64" totalsRowCount="1" headerRowDxfId="315" tableBorderDxfId="314">
  <autoFilter ref="B23:T63" xr:uid="{605ADEC5-5FF9-4CD8-A54E-BC2C3F94ACC7}"/>
  <tableColumns count="19">
    <tableColumn id="1" xr3:uid="{84F26BCA-08EE-4DC7-885F-649D5EBC8B7A}" name="ITEM" totalsRowLabel="8" dataDxfId="313" totalsRowDxfId="312"/>
    <tableColumn id="19" xr3:uid="{A8AA00E2-2B1D-4ECB-8EB1-7FA22DD2C4B1}" name="CENTRO DE CUSTO" dataDxfId="311" totalsRowDxfId="310"/>
    <tableColumn id="2" xr3:uid="{2FDF35BE-2357-470C-B044-D0E1F305A8B4}" name="SERVIÇO" dataDxfId="309" totalsRowDxfId="308"/>
    <tableColumn id="3" xr3:uid="{2E2137E5-3171-4D03-8C04-652886CE2ECD}" name="CÓDIGO" dataDxfId="307" totalsRowDxfId="306"/>
    <tableColumn id="4" xr3:uid="{947E41F1-4C3F-4E54-B450-D535FBAB12BA}" name="DESCRIÇÃO FUNÇÃO" dataDxfId="305" totalsRowDxfId="304">
      <calculatedColumnFormula>LOOKUP('SERVICOS MONTAGEM'!$E$24:$E$63,#REF!,#REF!)</calculatedColumnFormula>
    </tableColumn>
    <tableColumn id="5" xr3:uid="{5F0330C1-CC30-4235-A391-184B36998784}" name="DIAS" totalsRowFunction="sum" dataDxfId="303" totalsRowDxfId="302"/>
    <tableColumn id="6" xr3:uid="{C9B86A27-6797-4020-94CE-1AADB945063E}" name="PESSOAS" dataDxfId="301" totalsRowDxfId="300"/>
    <tableColumn id="7" xr3:uid="{DB5147B5-FF80-4BF8-B77E-36C3FABB5EB1}" name="HORAS DIA" dataDxfId="299" totalsRowDxfId="298"/>
    <tableColumn id="8" xr3:uid="{BEB6DC01-A6EE-4369-A543-7FBC7027E876}" name="TIPO H" dataDxfId="297" totalsRowDxfId="296"/>
    <tableColumn id="9" xr3:uid="{40DC02FC-F1C4-465A-86C2-421E5F8CFCC8}" name="HE CALC" dataDxfId="295" totalsRowDxfId="294">
      <calculatedColumnFormula>_xlfn.IFS('SERVICOS MONTAGEM'!$J$24:$J$63="EXTRA 150%",((1)*2.5),'SERVICOS MONTAGEM'!$J$24:$J$63="EXTRA 100%",((1)*2),'SERVICOS MONTAGEM'!$J$24:$J$63="EXTRA 75%",((1)*1.75),'SERVICOS MONTAGEM'!$J$24:$J$63="EXTRA 50%",((1)*1.5),'SERVICOS MONTAGEM'!$J$24:$J$63="NORMAL",((1)))</calculatedColumnFormula>
    </tableColumn>
    <tableColumn id="10" xr3:uid="{259B7EB7-85CF-4EB3-ACB6-12CC6C0088A9}" name="TOTAL HORAS" dataDxfId="293" totalsRowDxfId="292">
      <calculatedColumnFormula>ServInt10[[#This Row],[DIAS]]*ServInt10[[#This Row],[PESSOAS]]*ServInt10[[#This Row],[HORAS DIA]]</calculatedColumnFormula>
    </tableColumn>
    <tableColumn id="11" xr3:uid="{4949A18D-534B-4AEE-AFD3-7FDD15A2B015}" name="R$ / HORA" dataDxfId="291" totalsRowDxfId="290" dataCellStyle="Moeda">
      <calculatedColumnFormula>(IF(ServInt10[[#This Row],[CÓDIGO]]="","",LOOKUP(ServInt10[[#This Row],[CÓDIGO]],#REF!,#REF!)))*ServInt10[[#This Row],[HE CALC]]</calculatedColumnFormula>
    </tableColumn>
    <tableColumn id="12" xr3:uid="{C7B244FC-BAD8-4504-86B2-A41893F55C09}" name="TOTAL" totalsRowFunction="sum" dataDxfId="289" totalsRowDxfId="288">
      <calculatedColumnFormula>ServInt10[[#This Row],[TOTAL HORAS]]*ServInt10[[#This Row],[R$ / HORA]]</calculatedColumnFormula>
    </tableColumn>
    <tableColumn id="13" xr3:uid="{62112453-ADB5-471A-B2BB-67814484FF7B}" name="MARK-UP" dataDxfId="287" totalsRowDxfId="286" dataCellStyle="Moeda">
      <calculatedColumnFormula>#REF!</calculatedColumnFormula>
    </tableColumn>
    <tableColumn id="14" xr3:uid="{035A927B-3E9C-4395-B852-1AA21B0E1E7E}" name="HORA" dataDxfId="285" totalsRowDxfId="284" dataCellStyle="Moeda">
      <calculatedColumnFormula>ServInt10[[#This Row],[R$ / HORA]]/ServInt10[[#This Row],[MARK-UP]]</calculatedColumnFormula>
    </tableColumn>
    <tableColumn id="15" xr3:uid="{A5ED2372-701D-462B-A389-BF030A75A14E}" name="TOTAL3" totalsRowFunction="sum" dataDxfId="283" totalsRowDxfId="282" dataCellStyle="Porcentagem">
      <calculatedColumnFormula>ServInt10[[#This Row],[TOTAL]]/ServInt10[[#This Row],[MARK-UP]]</calculatedColumnFormula>
    </tableColumn>
    <tableColumn id="16" xr3:uid="{2F84A168-A7A2-48EC-A904-BCD2DA34EF52}" name="TOTAL4" totalsRowFunction="count" dataDxfId="281" totalsRowDxfId="280" dataCellStyle="Porcentagem"/>
    <tableColumn id="17" xr3:uid="{C4223FCA-57C0-44A8-8BC1-956DEA1A5D9E}" name="MULTA" totalsRowFunction="sum" dataDxfId="279" totalsRowDxfId="278" dataCellStyle="Porcentagem">
      <calculatedColumnFormula>(IF(E24="","",LOOKUP(E24,#REF!,#REF!)))*ServInt10[[#This Row],[TOTAL HORAS]]</calculatedColumnFormula>
    </tableColumn>
    <tableColumn id="18" xr3:uid="{F99B6614-3BF2-42C4-894C-AB81F76AD050}" name="VENDA COM IMPOSTOS" totalsRowFunction="sum" dataDxfId="277" totalsRowDxfId="276">
      <calculatedColumnFormula>IFERROR(ServInt10[[#This Row],[TOTAL3]]*(RESUMO!$F$32/RESUMO!$F$24),0)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D5C1DF-0863-4E55-9C76-9973A01024B7}" name="ServTerc" displayName="ServTerc" ref="B8:P60" totalsRowCount="1" headerRowDxfId="275" headerRowBorderDxfId="274" tableBorderDxfId="273" totalsRowBorderDxfId="272">
  <autoFilter ref="B8:P59" xr:uid="{00000000-0009-0000-0100-00000A000000}"/>
  <tableColumns count="15">
    <tableColumn id="1" xr3:uid="{791BB225-4C0B-4386-80E1-C496A55611F9}" name="ITEM" totalsRowLabel="Total" dataDxfId="271" totalsRowDxfId="270"/>
    <tableColumn id="2" xr3:uid="{02893F7B-87B3-4318-AB02-0A9C36664381}" name="DESCRIÇÃO" dataDxfId="269" totalsRowDxfId="268"/>
    <tableColumn id="4" xr3:uid="{71DC4722-D324-4D6F-9506-875758E7EF41}" name="CENTRO DE CUSTO" dataDxfId="267" totalsRowDxfId="266"/>
    <tableColumn id="3" xr3:uid="{D78D797F-EEF7-4A3A-9A05-A9ADE8C5238D}" name="FORNECEDOR" dataDxfId="265" totalsRowDxfId="264"/>
    <tableColumn id="6" xr3:uid="{68E08689-4AA3-4175-A331-82718CB19854}" name="PRAZO PAGAMENTO" totalsRowFunction="average" dataDxfId="263" totalsRowDxfId="262"/>
    <tableColumn id="21" xr3:uid="{E0E31F03-7A5D-4BC3-AA05-48002FFE1EC9}" name="ISS" dataDxfId="261" totalsRowDxfId="260"/>
    <tableColumn id="5" xr3:uid="{EAE5F3DA-FF79-4D28-BC93-6A675FBDA0C5}" name="QUANTIDADE" dataDxfId="259" totalsRowDxfId="258"/>
    <tableColumn id="29" xr3:uid="{A9BC3825-59F0-4392-A05A-8F00B3F7C39D}" name="VALOR" dataDxfId="257" totalsRowDxfId="256" dataCellStyle="Porcentagem"/>
    <tableColumn id="18" xr3:uid="{7C44EE94-C32C-4B64-9DAF-FB57B62C838A}" name="ORIGEM" dataDxfId="255" totalsRowDxfId="254"/>
    <tableColumn id="7" xr3:uid="{5A5CC659-5350-44C9-B259-ED62DD36932C}" name="TOTAL CUSTO" totalsRowFunction="sum" dataDxfId="253" totalsRowDxfId="252">
      <calculatedColumnFormula>ServTerc[[#This Row],[VALOR]]*ServTerc[[#This Row],[QUANTIDADE]]</calculatedColumnFormula>
    </tableColumn>
    <tableColumn id="11" xr3:uid="{EDD0C5FE-EA42-4D6D-BE4D-E9F3D7B3ED7D}" name="FATURAMENTO" dataDxfId="251" totalsRowDxfId="250"/>
    <tableColumn id="8" xr3:uid="{87A363FA-4227-4DAD-B4C2-0772D85FE0FD}" name="MARK-UP" dataDxfId="249" totalsRowDxfId="248">
      <calculatedColumnFormula array="1">IF(#REF!="OBRA",_xlfn.XLOOKUP(ServTerc[[#This Row],[FATURAMENTO]],#REF!,#REF!,0%,0,1),_xlfn.XLOOKUP(ServTerc[[#This Row],[FATURAMENTO]],#REF!:#REF!,#REF!:#REF!,0%,0,1))</calculatedColumnFormula>
    </tableColumn>
    <tableColumn id="9" xr3:uid="{416F079D-A948-4142-8BB3-B9F24FE31D03}" name="VALOR UNITÁRIO" dataDxfId="247" totalsRowDxfId="246" dataCellStyle="Moeda">
      <calculatedColumnFormula>ServTerc[[#This Row],[VALOR]]/ServTerc[[#This Row],[MARK-UP]]</calculatedColumnFormula>
    </tableColumn>
    <tableColumn id="10" xr3:uid="{9B186686-6D9B-4645-8F93-ABAFE0DF0BDA}" name="TOTAL VENDA" totalsRowFunction="sum" dataDxfId="245" totalsRowDxfId="244">
      <calculatedColumnFormula>ServTerc[[#This Row],[TOTAL CUSTO]]/ServTerc[[#This Row],[MARK-UP]]</calculatedColumnFormula>
    </tableColumn>
    <tableColumn id="12" xr3:uid="{81E75E8A-603C-455B-83DE-695B429016A9}" name="CUSTO FIXO" totalsRowFunction="sum" dataDxfId="243" totalsRowDxfId="242">
      <calculatedColumnFormula>IF(ServTerc[[#This Row],[FATURAMENTO]]="NORMAL",ServTerc[[#This Row],[TOTAL VENDA]],0)</calculatedColumnFormula>
    </tableColumn>
  </tableColumns>
  <tableStyleInfo name="TableStyleDark11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8EDFFE-DC1E-4C86-8644-DEB6F2F56D61}" name="MateriaisCampo" displayName="MateriaisCampo" ref="A8:AL298" totalsRowCount="1" headerRowDxfId="236" dataDxfId="234" totalsRowDxfId="232" headerRowBorderDxfId="235" tableBorderDxfId="233" totalsRowBorderDxfId="231">
  <autoFilter ref="A8:AL297" xr:uid="{00000000-0009-0000-0100-00000A000000}"/>
  <tableColumns count="38">
    <tableColumn id="27" xr3:uid="{C5B7B361-38BC-4ED3-B399-1250AB99B67B}" name="AREA / SETOR" dataDxfId="230" totalsRowDxfId="229"/>
    <tableColumn id="1" xr3:uid="{E48B3845-657B-4A7A-9F48-A1298B932FB9}" name="DESENHO / SEGMENTO" dataDxfId="228" totalsRowDxfId="227"/>
    <tableColumn id="2" xr3:uid="{244754BD-2A13-4617-8A54-358F59E624D5}" name="DESCRIÇÃO" dataDxfId="226" totalsRowDxfId="225"/>
    <tableColumn id="28" xr3:uid="{4E61EE6B-4F83-4B37-8621-923B8BFE77A0}" name="CATEGORIA" dataDxfId="224" totalsRowDxfId="223"/>
    <tableColumn id="3" xr3:uid="{2422D522-3DDF-48DE-B30F-857D934A5657}" name="FORNECEDOR" dataDxfId="222" totalsRowDxfId="221"/>
    <tableColumn id="32" xr3:uid="{4225B1A6-7758-410C-90F8-0AD19D5C6EF1}" name="PRAZO PAGAMENTO" totalsRowFunction="average" dataDxfId="220" totalsRowDxfId="219"/>
    <tableColumn id="4" xr3:uid="{C7524C6B-A8DA-4BBC-9DF6-5117873BF85F}" name="CÓDIGO" dataDxfId="218" totalsRowDxfId="217"/>
    <tableColumn id="21" xr3:uid="{6FC0E8D3-E712-46E5-856E-1028C5B55071}" name="NCM" dataDxfId="216" totalsRowDxfId="215"/>
    <tableColumn id="5" xr3:uid="{599EBC9F-FE91-43C9-AF93-35E4EDD9E0CE}" name="QUANTIDADE" dataDxfId="214" totalsRowDxfId="213"/>
    <tableColumn id="39" xr3:uid="{4E25A802-A5E8-4942-B0FF-D469F08D7479}" name="UNIT S/IPI S/DESC" dataDxfId="212" totalsRowDxfId="211" dataCellStyle="Moeda"/>
    <tableColumn id="14" xr3:uid="{287EC221-DF02-40D6-92A8-294BBA73A1C0}" name="ICMS %" dataDxfId="210" totalsRowDxfId="209" dataCellStyle="Porcentagem"/>
    <tableColumn id="16" xr3:uid="{7C3D03AD-0951-49EE-8BC1-A4E9C8AD2555}" name="IPI %" dataDxfId="208" totalsRowDxfId="207" dataCellStyle="Porcentagem"/>
    <tableColumn id="37" xr3:uid="{C7EBB63F-0CFA-42D7-B5EE-7486189590C6}" name="% DESC" dataDxfId="206" totalsRowDxfId="205" dataCellStyle="Porcentagem"/>
    <tableColumn id="6" xr3:uid="{DEC54AFC-6839-4BC3-95C1-1B48C10C4CC1}" name="UNIT S/ IPI C/DESC" dataDxfId="204" totalsRowDxfId="203" dataCellStyle="Porcentagem">
      <calculatedColumnFormula>MateriaisCampo[[#This Row],[UNIT S/IPI S/DESC]]-MateriaisCampo[[#This Row],[UNIT S/IPI S/DESC]]*MateriaisCampo[[#This Row],[% DESC]]</calculatedColumnFormula>
    </tableColumn>
    <tableColumn id="18" xr3:uid="{6608E844-670C-48CA-8F03-F7EF68152D05}" name="ORIGEM" dataDxfId="202" totalsRowDxfId="201"/>
    <tableColumn id="11" xr3:uid="{D4A50CB3-5D38-465F-8966-4168D908E0AF}" name="FATURAMENTO" dataDxfId="200" totalsRowDxfId="199" dataCellStyle="Porcentagem"/>
    <tableColumn id="33" xr3:uid="{39C232BD-CE6A-4757-AD38-67F97187DA33}" name="PIS" dataDxfId="198" totalsRowDxfId="197" dataCellStyle="Porcentagem"/>
    <tableColumn id="34" xr3:uid="{9389A628-C22C-4438-8121-F090266E6F57}" name="COFINS" dataDxfId="196" totalsRowDxfId="195" dataCellStyle="Porcentagem"/>
    <tableColumn id="7" xr3:uid="{508BA0D8-ACF2-4555-9219-97A62DB6F629}" name="TOTAL S/ IPI" totalsRowFunction="sum" dataDxfId="194" totalsRowDxfId="193" dataCellStyle="Porcentagem">
      <calculatedColumnFormula>MateriaisCampo[[#This Row],[UNIT S/ IP + DIF ICMS]]*MateriaisCampo[[#This Row],[QUANTIDADE]]</calculatedColumnFormula>
    </tableColumn>
    <tableColumn id="13" xr3:uid="{F0CE160F-D69E-4E43-85FF-299AFF8C83E2}" name="TOTAL C/ IPI" totalsRowFunction="sum" dataDxfId="192" totalsRowDxfId="191">
      <calculatedColumnFormula>MateriaisCampo[[#This Row],[TOTAL S/ IPI]]+(MateriaisCampo[[#This Row],[TOTAL S/ IPI]]*MateriaisCampo[[#This Row],[IPI %]])</calculatedColumnFormula>
    </tableColumn>
    <tableColumn id="19" xr3:uid="{604DA2FF-517E-46D5-9F0D-366D92ABE9B0}" name="DIFERENCIAL ICMS" totalsRowFunction="sum" dataDxfId="190" totalsRowDxfId="189" dataCellStyle="Porcentagem">
      <calculatedColumnFormula>IF(AND(MateriaisCampo[[#This Row],[ICMS %]]&lt;&gt;18%,MateriaisCampo[[#This Row],[ORIGEM]]&lt;&gt;"SÃO PAULO"),((18%-MateriaisCampo[[#This Row],[ICMS %]])*MateriaisCampo[[#This Row],[UNIT S/ IPI C/DESC]]),0)</calculatedColumnFormula>
    </tableColumn>
    <tableColumn id="15" xr3:uid="{25001A81-6F9F-427E-93FF-DC13C9FF9795}" name="ICMS $" totalsRowFunction="sum" dataDxfId="188" totalsRowDxfId="187" dataCellStyle="Moeda">
      <calculatedColumnFormula>MateriaisCampo[[#This Row],[UNIT S/ IPI C/DESC]]*MateriaisCampo[[#This Row],[ICMS %]]</calculatedColumnFormula>
    </tableColumn>
    <tableColumn id="22" xr3:uid="{59E8003D-0F9D-45FC-AD88-E24595174478}" name="TOTAL ICMS $" totalsRowFunction="sum" dataDxfId="186" totalsRowDxfId="185" dataCellStyle="Moeda">
      <calculatedColumnFormula>MateriaisCampo[[#This Row],[ICMS $]]*MateriaisCampo[[#This Row],[QUANTIDADE]]</calculatedColumnFormula>
    </tableColumn>
    <tableColumn id="20" xr3:uid="{84752913-C2C4-4C80-B354-76FE05545D68}" name="UNIT S/ IP + DIF ICMS" totalsRowFunction="sum" dataDxfId="184" totalsRowDxfId="183">
      <calculatedColumnFormula>MateriaisCampo[[#This Row],[UNIT S/ IPI C/DESC]]+MateriaisCampo[[#This Row],[DIFERENCIAL ICMS]]</calculatedColumnFormula>
    </tableColumn>
    <tableColumn id="36" xr3:uid="{A0E5009D-D288-4651-B56F-79394D8802B2}" name="PIS R$" totalsRowFunction="sum" dataDxfId="182" totalsRowDxfId="181">
      <calculatedColumnFormula>(MateriaisCampo[[#This Row],[PIS]]*MateriaisCampo[[#This Row],[UNIT S/ IPI C/DESC]])/2</calculatedColumnFormula>
    </tableColumn>
    <tableColumn id="35" xr3:uid="{E75B9974-3B4A-453B-9C22-AB552A740513}" name="COFINS R$" totalsRowFunction="sum" dataDxfId="180" totalsRowDxfId="179">
      <calculatedColumnFormula>(MateriaisCampo[[#This Row],[COFINS]]*MateriaisCampo[[#This Row],[UNIT S/ IPI C/DESC]])/2</calculatedColumnFormula>
    </tableColumn>
    <tableColumn id="26" xr3:uid="{ABA008E6-FC06-48EC-9D25-F606040D26BF}" name="UNIT C/ IPI" totalsRowFunction="sum" dataDxfId="178" totalsRowDxfId="177" dataCellStyle="Porcentagem">
      <calculatedColumnFormula>MateriaisCampo[[#This Row],[UNIT S/ IP + DIF ICMS]]+(MateriaisCampo[[#This Row],[UNIT S/ IP + DIF ICMS]]*MateriaisCampo[[#This Row],[IPI %]])</calculatedColumnFormula>
    </tableColumn>
    <tableColumn id="8" xr3:uid="{744AA6EB-AD7A-47E1-9B6F-0EBCD992F10C}" name="MARK-UP" totalsRowFunction="sum" dataDxfId="176" totalsRowDxfId="175">
      <calculatedColumnFormula>_xlfn.XLOOKUP(MateriaisCampo[[#This Row],[FATURAMENTO]],BASE!$U$48:$U$50,BASE!$W$48:$W$50,0,0,1)</calculatedColumnFormula>
    </tableColumn>
    <tableColumn id="23" xr3:uid="{39AD6AD9-4717-4BE7-ABAF-7C80CEF282F0}" name="CRED ICMS" totalsRowFunction="sum" dataDxfId="174" totalsRowDxfId="173">
      <calculatedColumnFormula>RESUMO!$E$56</calculatedColumnFormula>
    </tableColumn>
    <tableColumn id="17" xr3:uid="{5A4C5D1D-1829-4D22-B819-66108F120EA1}" name="CREDITO IPI" totalsRowFunction="sum" dataDxfId="172" totalsRowDxfId="171" dataCellStyle="Moeda">
      <calculatedColumnFormula>RESUMO!$E$57</calculatedColumnFormula>
    </tableColumn>
    <tableColumn id="25" xr3:uid="{765D1B58-B9E3-4D66-9525-848763AA8784}" name="UNIT CRED" totalsRowFunction="sum" dataDxfId="170" totalsRowDxfId="169">
      <calculatedColumnFormula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calculatedColumnFormula>
    </tableColumn>
    <tableColumn id="24" xr3:uid="{ED72B1F8-C9FF-4E7E-BC84-3D1941745737}" name="TOT CRED" totalsRowFunction="sum" dataDxfId="168" totalsRowDxfId="167">
      <calculatedColumnFormula>MateriaisCampo[[#This Row],[UNIT CRED]]*MateriaisCampo[[#This Row],[QUANTIDADE]]</calculatedColumnFormula>
    </tableColumn>
    <tableColumn id="29" xr3:uid="{7D275E2A-70E9-4B3D-868D-3B49E8D7412B}" name="TOT CUSTO" totalsRowFunction="sum" dataDxfId="166" totalsRowDxfId="165">
      <calculatedColumnFormula>MateriaisCampo[[#This Row],[TOT CRED]]</calculatedColumnFormula>
    </tableColumn>
    <tableColumn id="9" xr3:uid="{8A22885A-2DF0-40C8-9BD0-6E11CE2244BC}" name="UNIT VENDA" totalsRowFunction="sum" dataDxfId="164" totalsRowDxfId="163" dataCellStyle="Moeda">
      <calculatedColumnFormula>IF(MateriaisCampo[[#This Row],[QUANTIDADE]]&lt;&gt;0,((MateriaisCampo[[#This Row],[TOT CUSTO]]/MateriaisCampo[[#This Row],[QUANTIDADE]])/MateriaisCampo[[#This Row],[MARK-UP]]),0)</calculatedColumnFormula>
    </tableColumn>
    <tableColumn id="10" xr3:uid="{7DC97B71-D78B-45F0-AFBD-C8FC9258437D}" name="VENDA" totalsRowFunction="sum" dataDxfId="162" totalsRowDxfId="161">
      <calculatedColumnFormula>MateriaisCampo[[#This Row],[UNIT VENDA]]*MateriaisCampo[[#This Row],[QUANTIDADE]]</calculatedColumnFormula>
    </tableColumn>
    <tableColumn id="30" xr3:uid="{305C3263-8DAB-4F62-A12F-80ABB562340D}" name="S/ IPI" totalsRowFunction="sum" dataDxfId="160" totalsRowDxfId="159">
      <calculatedColumnFormula>IFERROR(MateriaisCampo[[#This Row],[VENDA]]*(RESUMO!$F$55/RESUMO!$F$45),0)</calculatedColumnFormula>
    </tableColumn>
    <tableColumn id="31" xr3:uid="{4BA19B9A-F589-4170-ADB8-0AE4A0BEF9CF}" name="C/ IPI" totalsRowFunction="sum" dataDxfId="158" totalsRowDxfId="157">
      <calculatedColumnFormula>IFERROR(MateriaisCampo[[#This Row],[VENDA]]*(RESUMO!$F$58/RESUMO!$F$45),0)</calculatedColumnFormula>
    </tableColumn>
    <tableColumn id="12" xr3:uid="{F3C678BB-92CF-4576-876F-74D6E81ECA30}" name="CUSTO FIXO" totalsRowFunction="sum" dataDxfId="156" totalsRowDxfId="155">
      <calculatedColumnFormula>IF(MateriaisCampo[[#This Row],[FATURAMENTO]]="NORMAL",MateriaisCampo[[#This Row],[VENDA]],0)</calculatedColumnFormula>
    </tableColumn>
  </tableColumns>
  <tableStyleInfo name="TableStyleDark11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MateriaisPainel" displayName="MateriaisPainel" ref="A8:AL82" totalsRowCount="1" headerRowDxfId="148" totalsRowDxfId="145" headerRowBorderDxfId="147" tableBorderDxfId="146" totalsRowBorderDxfId="144">
  <autoFilter ref="A8:AL81" xr:uid="{00000000-0009-0000-0100-00000A000000}"/>
  <tableColumns count="38">
    <tableColumn id="30" xr3:uid="{E4465034-8D4E-4819-9192-DFD07AC7922D}" name="AREA / SETOR" totalsRowLabel="Total" dataDxfId="143" totalsRowDxfId="142"/>
    <tableColumn id="31" xr3:uid="{4029379F-4EB3-4CC8-AFD6-7810C7E3539A}" name="PAINEL" dataDxfId="141" totalsRowDxfId="140"/>
    <tableColumn id="2" xr3:uid="{00000000-0010-0000-0200-000002000000}" name="DESCRIÇÃO" dataDxfId="139" totalsRowDxfId="138"/>
    <tableColumn id="32" xr3:uid="{D4365C59-325A-48F3-BB9E-956611A71093}" name="CATEGORIA" dataDxfId="137" totalsRowDxfId="136"/>
    <tableColumn id="3" xr3:uid="{00000000-0010-0000-0200-000003000000}" name="FORNECEDOR" dataDxfId="135" totalsRowDxfId="134"/>
    <tableColumn id="36" xr3:uid="{370532D6-84AD-431E-9399-D3BA9700C87D}" name="PRAZO PAGAMENTO" totalsRowFunction="average" dataDxfId="133" totalsRowDxfId="132"/>
    <tableColumn id="4" xr3:uid="{00000000-0010-0000-0200-000004000000}" name="CÓDIGO" dataDxfId="131" totalsRowDxfId="130"/>
    <tableColumn id="21" xr3:uid="{D3AC747A-1065-4370-B2E9-DBCDF27C953F}" name="UNID." dataDxfId="129" totalsRowDxfId="128"/>
    <tableColumn id="5" xr3:uid="{00000000-0010-0000-0200-000005000000}" name="QUANTIDADE" totalsRowFunction="sum" dataDxfId="127" totalsRowDxfId="126"/>
    <tableColumn id="37" xr3:uid="{08B25725-1977-4409-A1F6-A3C1887078BB}" name="UNIT S/IPI S/DESC" dataDxfId="125" totalsRowDxfId="124" dataCellStyle="Moeda"/>
    <tableColumn id="14" xr3:uid="{A3874FDF-E107-4B20-882D-5802E54E9280}" name="ICMS %" totalsRowFunction="sum" dataDxfId="123" totalsRowDxfId="122" dataCellStyle="Porcentagem"/>
    <tableColumn id="16" xr3:uid="{34904B95-9EF9-4879-A48C-F4666C840928}" name="IPI %" totalsRowFunction="sum" dataDxfId="121" totalsRowDxfId="120" dataCellStyle="Porcentagem"/>
    <tableColumn id="38" xr3:uid="{F6405427-49E3-4726-81A3-6344710B8A0B}" name="DESC%" dataDxfId="119" totalsRowDxfId="118" dataCellStyle="Porcentagem"/>
    <tableColumn id="6" xr3:uid="{00000000-0010-0000-0200-000006000000}" name="UNIT S/ IPI C/DESC" totalsRowFunction="sum" dataDxfId="117" totalsRowDxfId="116" dataCellStyle="Porcentagem">
      <calculatedColumnFormula>MateriaisPainel[[#This Row],[UNIT S/IPI S/DESC]]-MateriaisPainel[[#This Row],[UNIT S/IPI S/DESC]]*MateriaisPainel[[#This Row],[DESC%]]</calculatedColumnFormula>
    </tableColumn>
    <tableColumn id="18" xr3:uid="{BBCD2434-1768-4DC8-A42B-AEF9FACAD7FC}" name="ORIGEM" dataDxfId="115" totalsRowDxfId="114" dataCellStyle="Porcentagem"/>
    <tableColumn id="11" xr3:uid="{00000000-0010-0000-0200-00000B000000}" name="FATURAMENTO" dataDxfId="113" totalsRowDxfId="112"/>
    <tableColumn id="1" xr3:uid="{9082B8B2-BDB4-4380-9B99-C5959DF4D0B5}" name="PIS" dataDxfId="111" totalsRowDxfId="110" dataCellStyle="Porcentagem"/>
    <tableColumn id="33" xr3:uid="{73154B16-7636-42B4-90A9-47A8307888E5}" name="COFINS" dataDxfId="109" totalsRowDxfId="108" dataCellStyle="Porcentagem"/>
    <tableColumn id="7" xr3:uid="{00000000-0010-0000-0200-000007000000}" name="TOTAL S/ IPI" totalsRowFunction="sum" dataDxfId="107" totalsRowDxfId="106" dataCellStyle="Porcentagem">
      <calculatedColumnFormula>MateriaisPainel[[#This Row],[UNIT S/ IP + DIF ICMS]]*MateriaisPainel[[#This Row],[QUANTIDADE]]</calculatedColumnFormula>
    </tableColumn>
    <tableColumn id="13" xr3:uid="{11A0A5EC-8CD3-4DD6-B0A1-0C078DEE3E02}" name="TOTAL C/ IPI" totalsRowFunction="sum" dataDxfId="105" totalsRowDxfId="104" dataCellStyle="Porcentagem">
      <calculatedColumnFormula>MateriaisPainel[[#This Row],[TOTAL S/ IPI]]+(MateriaisPainel[[#This Row],[TOTAL S/ IPI]]*MateriaisPainel[[#This Row],[IPI %]])</calculatedColumnFormula>
    </tableColumn>
    <tableColumn id="19" xr3:uid="{E1843A12-D8BC-4522-8034-3E7E4CEFC863}" name="DIFERENCIAL ICMS" totalsRowFunction="sum" dataDxfId="103" totalsRowDxfId="102" dataCellStyle="Porcentagem">
      <calculatedColumnFormula>IF(AND(MateriaisPainel[[#This Row],[ICMS %]]&lt;&gt;18%,MateriaisPainel[[#This Row],[ORIGEM]]&lt;&gt;"SÃO PAULO"),((18%-MateriaisPainel[[#This Row],[ICMS %]])*MateriaisPainel[[#This Row],[UNIT S/ IPI C/DESC]]),0)</calculatedColumnFormula>
    </tableColumn>
    <tableColumn id="15" xr3:uid="{6CF2DC0E-BF37-4D5E-9CB0-FA125EC8D7BC}" name="ICMS $" totalsRowFunction="sum" dataDxfId="101" totalsRowDxfId="100" dataCellStyle="Moeda">
      <calculatedColumnFormula>MateriaisPainel[[#This Row],[UNIT S/ IPI C/DESC]]*MateriaisPainel[[#This Row],[ICMS %]]</calculatedColumnFormula>
    </tableColumn>
    <tableColumn id="34" xr3:uid="{3F2971FA-A484-49CB-9530-B9FBAA15CDC1}" name="PIS R$" totalsRowFunction="sum" dataDxfId="99" totalsRowDxfId="98" dataCellStyle="Moeda">
      <calculatedColumnFormula>(MateriaisPainel[[#This Row],[PIS]]*MateriaisPainel[[#This Row],[UNIT S/ IPI C/DESC]])/2</calculatedColumnFormula>
    </tableColumn>
    <tableColumn id="35" xr3:uid="{909A910F-1045-4E7C-8A01-474430109B2E}" name="COFINS R$" totalsRowFunction="sum" dataDxfId="97" totalsRowDxfId="96" dataCellStyle="Moeda">
      <calculatedColumnFormula>(MateriaisPainel[[#This Row],[COFINS]]*MateriaisPainel[[#This Row],[UNIT S/ IPI C/DESC]])/2</calculatedColumnFormula>
    </tableColumn>
    <tableColumn id="22" xr3:uid="{ECBA098B-4FF6-4B07-B4BA-C090CF3FF87D}" name="TOTAL ICMS $" totalsRowFunction="sum" dataDxfId="95" totalsRowDxfId="94" dataCellStyle="Moeda">
      <calculatedColumnFormula>MateriaisPainel[[#This Row],[ICMS $]]*MateriaisPainel[[#This Row],[QUANTIDADE]]</calculatedColumnFormula>
    </tableColumn>
    <tableColumn id="20" xr3:uid="{87061DE1-82EA-4800-827D-ABE08E53B4E8}" name="UNIT S/ IP + DIF ICMS" totalsRowFunction="sum" dataDxfId="93" totalsRowDxfId="92">
      <calculatedColumnFormula>MateriaisPainel[[#This Row],[UNIT S/ IPI C/DESC]]+MateriaisPainel[[#This Row],[DIFERENCIAL ICMS]]</calculatedColumnFormula>
    </tableColumn>
    <tableColumn id="26" xr3:uid="{39900427-06A6-420B-9720-1E8A9C90CFDE}" name="UNIT C/ IPI" totalsRowFunction="sum" dataDxfId="91" totalsRowDxfId="90" dataCellStyle="Porcentagem">
      <calculatedColumnFormula>MateriaisPainel[[#This Row],[UNIT S/ IP + DIF ICMS]]+(MateriaisPainel[[#This Row],[UNIT S/ IP + DIF ICMS]]*MateriaisPainel[[#This Row],[IPI %]])</calculatedColumnFormula>
    </tableColumn>
    <tableColumn id="8" xr3:uid="{00000000-0010-0000-0200-000008000000}" name="MARK-UP" totalsRowFunction="sum" dataDxfId="89" totalsRowDxfId="88">
      <calculatedColumnFormula>_xlfn.XLOOKUP(MateriaisPainel[[#This Row],[FATURAMENTO]],BASE!$U$48:$U$50,BASE!$W$48:$W$50,0,0,1)</calculatedColumnFormula>
    </tableColumn>
    <tableColumn id="23" xr3:uid="{BE4F20C2-DBF8-46EE-9294-51A22C5D100C}" name="CRED ICMS" totalsRowFunction="sum" dataDxfId="87" totalsRowDxfId="86">
      <calculatedColumnFormula>RESUMO!$E$71</calculatedColumnFormula>
    </tableColumn>
    <tableColumn id="17" xr3:uid="{F1917B13-4DE3-454F-9681-70D2094F5A2F}" name="CREDITO IPI" totalsRowFunction="sum" dataDxfId="85" totalsRowDxfId="84" dataCellStyle="Moeda">
      <calculatedColumnFormula>RESUMO!$E$72</calculatedColumnFormula>
    </tableColumn>
    <tableColumn id="25" xr3:uid="{91B05F2C-FE6C-430E-A662-22446273BD0A}" name="UNIT CRED" totalsRowFunction="sum" dataDxfId="83" totalsRowDxfId="82">
      <calculatedColumnFormula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calculatedColumnFormula>
    </tableColumn>
    <tableColumn id="24" xr3:uid="{5E1DD872-11D5-46E6-8D29-50A3E02FD72D}" name="TOT CRED" totalsRowFunction="sum" dataDxfId="81" totalsRowDxfId="80">
      <calculatedColumnFormula>MateriaisPainel[[#This Row],[UNIT CRED]]*MateriaisPainel[[#This Row],[QUANTIDADE]]</calculatedColumnFormula>
    </tableColumn>
    <tableColumn id="29" xr3:uid="{E8D6D639-04DE-4656-A2E1-44280B2AA86F}" name="TOT CUSTO" totalsRowFunction="sum" dataDxfId="79" totalsRowDxfId="78" dataCellStyle="Porcentagem">
      <calculatedColumnFormula>MateriaisPainel[[#This Row],[TOT CRED]]</calculatedColumnFormula>
    </tableColumn>
    <tableColumn id="9" xr3:uid="{00000000-0010-0000-0200-000009000000}" name="UNIT VENDA" totalsRowFunction="sum" dataDxfId="77" totalsRowDxfId="76" dataCellStyle="Moeda">
      <calculatedColumnFormula>IF(MateriaisPainel[[#This Row],[QUANTIDADE]]&lt;&gt;0,((MateriaisPainel[[#This Row],[TOT CUSTO]]/MateriaisPainel[[#This Row],[QUANTIDADE]])/MateriaisPainel[[#This Row],[MARK-UP]]),0)</calculatedColumnFormula>
    </tableColumn>
    <tableColumn id="10" xr3:uid="{00000000-0010-0000-0200-00000A000000}" name="VENDA" totalsRowFunction="sum" dataDxfId="75" totalsRowDxfId="74">
      <calculatedColumnFormula>MateriaisPainel[[#This Row],[UNIT VENDA]]*MateriaisPainel[[#This Row],[QUANTIDADE]]</calculatedColumnFormula>
    </tableColumn>
    <tableColumn id="28" xr3:uid="{4CE4138A-FCB3-466A-AD22-04EC4EE965FD}" name="S/ IPI" totalsRowFunction="sum" dataDxfId="73" totalsRowDxfId="72">
      <calculatedColumnFormula>IFERROR(MateriaisPainel[[#This Row],[VENDA]]*(RESUMO!$F$70/RESUMO!$F$60),0)</calculatedColumnFormula>
    </tableColumn>
    <tableColumn id="27" xr3:uid="{4D6A6018-CAAD-4B06-AB07-64E45C602AE9}" name="C/ IPI" totalsRowFunction="sum" dataDxfId="71" totalsRowDxfId="70">
      <calculatedColumnFormula>IFERROR(MateriaisPainel[[#This Row],[VENDA]]*(RESUMO!$F$73/RESUMO!$F$60),0)</calculatedColumnFormula>
    </tableColumn>
    <tableColumn id="12" xr3:uid="{BA5FD8B1-F986-46A4-B0A9-63957159E685}" name="CUSTO FIXO" totalsRowFunction="sum" dataDxfId="69" totalsRowDxfId="68">
      <calculatedColumnFormula>IF(MateriaisPainel[[#This Row],[FATURAMENTO]]="NORMAL",MateriaisPainel[[#This Row],[VENDA]],0)</calculatedColumnFormula>
    </tableColumn>
  </tableColumns>
  <tableStyleInfo name="TableStyleDark11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FatDir" displayName="FatDir" ref="B8:K43" totalsRowCount="1" headerRowDxfId="67" dataDxfId="65" totalsRowDxfId="63" headerRowBorderDxfId="66" tableBorderDxfId="64" totalsRowBorderDxfId="62">
  <autoFilter ref="B8:K42" xr:uid="{00000000-0009-0000-0100-000006000000}"/>
  <tableColumns count="10">
    <tableColumn id="1" xr3:uid="{00000000-0010-0000-0300-000001000000}" name="Item" totalsRowLabel="Total" dataDxfId="61" totalsRowDxfId="60"/>
    <tableColumn id="2" xr3:uid="{00000000-0010-0000-0300-000002000000}" name="Descrição" dataDxfId="59" totalsRowDxfId="58"/>
    <tableColumn id="3" xr3:uid="{00000000-0010-0000-0300-000003000000}" name="TIPO" dataDxfId="57" totalsRowDxfId="56"/>
    <tableColumn id="10" xr3:uid="{C015A1BC-A9A8-40E0-8E7F-893C671FCB70}" name="FABRICANTE" dataDxfId="55" totalsRowDxfId="54"/>
    <tableColumn id="4" xr3:uid="{00000000-0010-0000-0300-000004000000}" name="CÓDIGO" dataDxfId="53" totalsRowDxfId="52"/>
    <tableColumn id="5" xr3:uid="{00000000-0010-0000-0300-000005000000}" name="Qtd" dataDxfId="51" totalsRowDxfId="50"/>
    <tableColumn id="8" xr3:uid="{0701A6CA-5ACC-4DED-8511-9D23B87871E4}" name="R$ / Unit s/DESC" dataDxfId="49" totalsRowDxfId="48" dataCellStyle="Moeda"/>
    <tableColumn id="9" xr3:uid="{72686D71-ECAB-4948-9335-A1B406ADDB71}" name="% DESC" dataDxfId="47" totalsRowDxfId="46" dataCellStyle="Porcentagem"/>
    <tableColumn id="6" xr3:uid="{00000000-0010-0000-0300-000006000000}" name="R$ / Unit c/DESC" dataDxfId="45" totalsRowDxfId="44" dataCellStyle="Moeda">
      <calculatedColumnFormula>FatDir[[#This Row],[R$ / Unit s/DESC]]-FatDir[[#This Row],[R$ / Unit s/DESC]]*FatDir[[#This Row],[% DESC]]</calculatedColumnFormula>
    </tableColumn>
    <tableColumn id="7" xr3:uid="{00000000-0010-0000-0300-000007000000}" name="Total (R$)" totalsRowFunction="sum" dataDxfId="43" totalsRowDxfId="42">
      <calculatedColumnFormula>J9*G9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691A94-E62C-4A20-BA14-4BCAA01CBF81}" name="CC_12" displayName="CC_12" ref="A2:I20" totalsRowCount="1" headerRowDxfId="41" dataDxfId="40">
  <autoFilter ref="A2:I19" xr:uid="{E503CAA6-1160-4099-B744-CE33E0B9B91A}"/>
  <sortState xmlns:xlrd2="http://schemas.microsoft.com/office/spreadsheetml/2017/richdata2" ref="A3:A19">
    <sortCondition ref="A2:A19"/>
  </sortState>
  <tableColumns count="9">
    <tableColumn id="1" xr3:uid="{319774C4-2178-423E-8067-064F24B42776}" name="CENTRO DE CUSTOS" totalsRowLabel="Total" dataDxfId="39" totalsRowDxfId="38"/>
    <tableColumn id="2" xr3:uid="{D51E60DD-CD67-48A5-8516-A1E4F06C4B78}" name="SERVINT AUTPRO" dataDxfId="37" totalsRowDxfId="36" dataCellStyle="Moeda"/>
    <tableColumn id="3" xr3:uid="{811653CF-8036-47A3-93D1-633383B47697}" name="SERVEXT AUTPRO" dataDxfId="35" totalsRowDxfId="34" dataCellStyle="Moeda"/>
    <tableColumn id="4" xr3:uid="{0A72BCBD-844B-48B7-8DF0-2B92FD25E84F}" name="SERVINT MONT" dataDxfId="33" totalsRowDxfId="32" dataCellStyle="Moeda"/>
    <tableColumn id="5" xr3:uid="{BC303886-8D2C-4BEF-87CC-F5475116319A}" name="SERVEXT MONT" dataDxfId="31" totalsRowDxfId="30" dataCellStyle="Moeda"/>
    <tableColumn id="6" xr3:uid="{29F0EE8E-1492-4025-A02F-C16BE23DA5AE}" name="TERC LOC" dataDxfId="29" totalsRowDxfId="28" dataCellStyle="Moeda"/>
    <tableColumn id="9" xr3:uid="{17B0B795-4BF3-43AA-A17B-6D365925F7C7}" name="MATERIAIS" dataDxfId="27" totalsRowDxfId="26" dataCellStyle="Moeda"/>
    <tableColumn id="7" xr3:uid="{36CD0839-4933-48BB-9382-ABE7ABF7EF0A}" name="TOTAL" totalsRowFunction="sum" dataDxfId="25" totalsRowDxfId="24" dataCellStyle="Moeda">
      <calculatedColumnFormula>SUM(CC_12[[#This Row],[SERVINT AUTPRO]:[MATERIAIS]])</calculatedColumnFormula>
    </tableColumn>
    <tableColumn id="8" xr3:uid="{4E93B2D4-F8BD-4D0B-9DB4-9C4AF95292CE}" name="%" dataDxfId="23" totalsRowDxfId="22" dataCellStyle="Porcentagem">
      <calculatedColumnFormula>IFERROR(CC_12[[#This Row],[TOTAL]]/CC_12[[#Totals],[TOTAL]],0)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6F0A83-6EE1-4884-91E4-8A3439FF1A1C}" name="CC_13" displayName="CC_13" ref="BA2:BA19" totalsRowShown="0" headerRowDxfId="21" dataDxfId="20">
  <autoFilter ref="BA2:BA19" xr:uid="{C66F0A83-6EE1-4884-91E4-8A3439FF1A1C}"/>
  <sortState xmlns:xlrd2="http://schemas.microsoft.com/office/spreadsheetml/2017/richdata2" ref="BA3:BA19">
    <sortCondition ref="BA2:BA19"/>
  </sortState>
  <tableColumns count="1">
    <tableColumn id="1" xr3:uid="{A5070987-9210-49CD-9D1E-FC93AB02A75F}" name="CENTRO DE CUSTOS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D837-5765-4406-913B-9312C1D6F966}">
  <sheetPr>
    <tabColor rgb="FF7030A0"/>
  </sheetPr>
  <dimension ref="A1:P140"/>
  <sheetViews>
    <sheetView showGridLines="0" zoomScale="85" zoomScaleNormal="85" workbookViewId="0">
      <selection activeCell="M51" sqref="M51"/>
    </sheetView>
  </sheetViews>
  <sheetFormatPr defaultColWidth="8.81640625" defaultRowHeight="11.5" x14ac:dyDescent="0.25"/>
  <cols>
    <col min="1" max="1" width="6.54296875" style="41" customWidth="1"/>
    <col min="2" max="2" width="15.26953125" style="1" customWidth="1"/>
    <col min="3" max="3" width="18.54296875" style="1" customWidth="1"/>
    <col min="4" max="4" width="17.7265625" style="1" customWidth="1"/>
    <col min="5" max="5" width="22.54296875" style="1" customWidth="1"/>
    <col min="6" max="6" width="21" style="1" bestFit="1" customWidth="1"/>
    <col min="7" max="7" width="22.7265625" style="1" customWidth="1"/>
    <col min="8" max="8" width="29" style="1" customWidth="1"/>
    <col min="9" max="9" width="22.81640625" style="1" bestFit="1" customWidth="1"/>
    <col min="10" max="10" width="27.453125" style="1" bestFit="1" customWidth="1"/>
    <col min="11" max="11" width="32.7265625" style="1" bestFit="1" customWidth="1"/>
    <col min="12" max="12" width="20.81640625" style="1" bestFit="1" customWidth="1"/>
    <col min="13" max="13" width="23.453125" style="5" customWidth="1"/>
    <col min="14" max="14" width="21.7265625" style="5" customWidth="1"/>
    <col min="15" max="15" width="16.54296875" style="5" customWidth="1"/>
    <col min="16" max="16" width="14.54296875" style="5" bestFit="1" customWidth="1"/>
    <col min="17" max="16384" width="8.81640625" style="5"/>
  </cols>
  <sheetData>
    <row r="1" spans="1:14" s="40" customFormat="1" x14ac:dyDescent="0.2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4" ht="14" x14ac:dyDescent="0.25">
      <c r="B2" s="9"/>
      <c r="C2" s="9"/>
      <c r="D2" s="9"/>
      <c r="E2" s="9"/>
      <c r="F2" s="9"/>
      <c r="G2" s="9"/>
      <c r="H2" s="9"/>
      <c r="I2" s="9"/>
      <c r="J2" s="53"/>
      <c r="K2" s="36"/>
      <c r="L2" s="28"/>
      <c r="M2" s="43"/>
    </row>
    <row r="3" spans="1:14" ht="14.25" customHeight="1" x14ac:dyDescent="0.25">
      <c r="B3" s="9"/>
      <c r="C3" s="9"/>
      <c r="D3" s="9"/>
      <c r="E3" s="196" t="s">
        <v>0</v>
      </c>
      <c r="F3" s="196"/>
      <c r="G3" s="196"/>
      <c r="H3" s="196"/>
      <c r="I3" s="196"/>
      <c r="J3" s="196"/>
      <c r="K3" s="196"/>
      <c r="L3" s="196"/>
      <c r="M3" s="196"/>
    </row>
    <row r="4" spans="1:14" ht="12" customHeight="1" x14ac:dyDescent="0.25">
      <c r="B4" s="9"/>
      <c r="C4" s="9"/>
      <c r="D4" s="9"/>
      <c r="E4" s="196"/>
      <c r="F4" s="196"/>
      <c r="G4" s="196"/>
      <c r="H4" s="196"/>
      <c r="I4" s="196"/>
      <c r="J4" s="196"/>
      <c r="K4" s="196"/>
      <c r="L4" s="196"/>
      <c r="M4" s="196"/>
      <c r="N4" s="37"/>
    </row>
    <row r="5" spans="1:14" s="8" customFormat="1" ht="14.25" customHeight="1" x14ac:dyDescent="0.35">
      <c r="A5" s="42"/>
      <c r="B5" s="54"/>
      <c r="C5" s="54"/>
      <c r="D5" s="54"/>
      <c r="E5" s="196"/>
      <c r="F5" s="196"/>
      <c r="G5" s="196"/>
      <c r="H5" s="196"/>
      <c r="I5" s="196"/>
      <c r="J5" s="196"/>
      <c r="K5" s="196"/>
      <c r="L5" s="196"/>
      <c r="M5" s="183" t="s">
        <v>1</v>
      </c>
      <c r="N5" s="55"/>
    </row>
    <row r="6" spans="1:14" s="8" customFormat="1" ht="14.25" customHeight="1" x14ac:dyDescent="0.35">
      <c r="A6" s="42"/>
      <c r="B6" s="56"/>
      <c r="C6" s="56"/>
      <c r="D6" s="56"/>
      <c r="E6" s="196"/>
      <c r="F6" s="196"/>
      <c r="G6" s="196"/>
      <c r="H6" s="196"/>
      <c r="I6" s="196"/>
      <c r="J6" s="196"/>
      <c r="K6" s="196"/>
      <c r="L6" s="196"/>
      <c r="M6" s="183" t="s">
        <v>2</v>
      </c>
    </row>
    <row r="7" spans="1:14" s="8" customFormat="1" ht="23" x14ac:dyDescent="0.35">
      <c r="A7" s="42"/>
      <c r="B7" s="179"/>
      <c r="C7" s="179"/>
      <c r="D7" s="179"/>
      <c r="E7" s="180"/>
      <c r="F7" s="180"/>
      <c r="G7" s="180"/>
      <c r="H7" s="643" t="s">
        <v>3</v>
      </c>
      <c r="I7" s="643"/>
      <c r="J7" s="336">
        <f>G134</f>
        <v>0.12617233368399233</v>
      </c>
      <c r="K7" s="645" t="s">
        <v>4</v>
      </c>
      <c r="L7" s="645"/>
      <c r="M7" s="274">
        <v>15000000</v>
      </c>
    </row>
    <row r="8" spans="1:14" ht="14" x14ac:dyDescent="0.25">
      <c r="B8" s="644" t="s">
        <v>5</v>
      </c>
      <c r="C8" s="644"/>
      <c r="D8" s="177" t="s">
        <v>6</v>
      </c>
      <c r="E8" s="644" t="s">
        <v>7</v>
      </c>
      <c r="F8" s="644"/>
      <c r="G8" s="178">
        <v>0</v>
      </c>
      <c r="H8" s="644" t="s">
        <v>8</v>
      </c>
      <c r="I8" s="644"/>
      <c r="J8" s="177">
        <v>0.1</v>
      </c>
      <c r="K8" s="645" t="s">
        <v>9</v>
      </c>
      <c r="L8" s="645"/>
      <c r="M8" s="197">
        <v>2</v>
      </c>
    </row>
    <row r="9" spans="1:14" ht="14" x14ac:dyDescent="0.25">
      <c r="B9" s="646" t="s">
        <v>10</v>
      </c>
      <c r="C9" s="646"/>
      <c r="D9" s="177" t="s">
        <v>11</v>
      </c>
      <c r="E9" s="646" t="s">
        <v>12</v>
      </c>
      <c r="F9" s="646"/>
      <c r="G9" s="178">
        <v>0</v>
      </c>
      <c r="H9" s="646" t="s">
        <v>13</v>
      </c>
      <c r="I9" s="646"/>
      <c r="J9" s="178">
        <v>0.1</v>
      </c>
      <c r="K9" s="645" t="s">
        <v>14</v>
      </c>
      <c r="L9" s="645"/>
      <c r="M9" s="198">
        <v>0.12</v>
      </c>
    </row>
    <row r="10" spans="1:14" ht="15" customHeight="1" x14ac:dyDescent="0.25">
      <c r="B10" s="646" t="s">
        <v>15</v>
      </c>
      <c r="C10" s="646"/>
      <c r="D10" s="178" t="s">
        <v>16</v>
      </c>
      <c r="E10" s="660" t="s">
        <v>17</v>
      </c>
      <c r="F10" s="660"/>
      <c r="G10" s="656" t="s">
        <v>18</v>
      </c>
      <c r="H10" s="660" t="s">
        <v>19</v>
      </c>
      <c r="I10" s="660"/>
      <c r="J10" s="656" t="s">
        <v>18</v>
      </c>
      <c r="K10" s="660" t="s">
        <v>20</v>
      </c>
      <c r="L10" s="660"/>
      <c r="M10" s="656" t="s">
        <v>18</v>
      </c>
    </row>
    <row r="11" spans="1:14" ht="15.75" customHeight="1" x14ac:dyDescent="0.25">
      <c r="B11" s="646" t="s">
        <v>21</v>
      </c>
      <c r="C11" s="646"/>
      <c r="D11" s="177" t="s">
        <v>22</v>
      </c>
      <c r="E11" s="644"/>
      <c r="F11" s="644"/>
      <c r="G11" s="657"/>
      <c r="H11" s="644"/>
      <c r="I11" s="644"/>
      <c r="J11" s="657"/>
      <c r="K11" s="644"/>
      <c r="L11" s="644"/>
      <c r="M11" s="657"/>
    </row>
    <row r="12" spans="1:14" x14ac:dyDescent="0.25">
      <c r="B12" s="6"/>
      <c r="C12" s="6"/>
      <c r="D12" s="6"/>
      <c r="E12" s="6"/>
      <c r="F12" s="6"/>
      <c r="G12" s="4"/>
      <c r="H12" s="5"/>
      <c r="I12" s="5"/>
      <c r="J12" s="5"/>
    </row>
    <row r="13" spans="1:14" ht="13" x14ac:dyDescent="0.25">
      <c r="B13" s="649" t="s">
        <v>23</v>
      </c>
      <c r="C13" s="649"/>
      <c r="D13" s="649"/>
      <c r="E13" s="201" t="s">
        <v>24</v>
      </c>
      <c r="F13" s="201" t="s">
        <v>25</v>
      </c>
      <c r="G13" s="658" t="s">
        <v>2</v>
      </c>
      <c r="H13" s="649" t="s">
        <v>26</v>
      </c>
      <c r="I13" s="649"/>
      <c r="J13" s="649"/>
      <c r="K13" s="201" t="s">
        <v>24</v>
      </c>
      <c r="L13" s="201" t="s">
        <v>25</v>
      </c>
      <c r="M13" s="659" t="s">
        <v>2</v>
      </c>
      <c r="N13" s="182"/>
    </row>
    <row r="14" spans="1:14" x14ac:dyDescent="0.25">
      <c r="B14" s="649"/>
      <c r="C14" s="649"/>
      <c r="D14" s="649"/>
      <c r="E14" s="200">
        <f>ServInt[[#Totals],[TOTAL]]+ServExt[[#Totals],[TOTAL]]</f>
        <v>97488</v>
      </c>
      <c r="F14" s="200">
        <f>ServInt[[#Totals],[TOTAL3]]+ServExt[[#Totals],[TOTAL3]]</f>
        <v>145539.29025689029</v>
      </c>
      <c r="G14" s="658"/>
      <c r="H14" s="649"/>
      <c r="I14" s="649"/>
      <c r="J14" s="649"/>
      <c r="K14" s="200">
        <f>'SERVICOS AUTPRO'!L8+'SERVICOS AUTPRO'!L12+'SERVICOS AUTPRO'!L20</f>
        <v>44884</v>
      </c>
      <c r="L14" s="200">
        <f>'SERVICOS AUTPRO'!F8+'SERVICOS AUTPRO'!F12+'SERVICOS AUTPRO'!H20</f>
        <v>74620.834197033531</v>
      </c>
      <c r="M14" s="659"/>
    </row>
    <row r="15" spans="1:14" x14ac:dyDescent="0.25">
      <c r="B15" s="653" t="s">
        <v>27</v>
      </c>
      <c r="C15" s="647" t="s">
        <v>28</v>
      </c>
      <c r="D15" s="647"/>
      <c r="E15" s="30">
        <f>IF($D$8="SIM",0%,IF($G$10=BASE!$Z$2,BASE!AB3,IF($G$10=BASE!$AC$2,BASE!AE3,IF($G$10=BASE!$AF$2,BASE!AH3,IF($G$10=BASE!$AI$2,BASE!AK3,BASE!AN3)))))</f>
        <v>1.6500000000000001E-2</v>
      </c>
      <c r="F15" s="46">
        <f>($F$21*E15)</f>
        <v>2705.8008892830308</v>
      </c>
      <c r="G15" s="658"/>
      <c r="H15" s="653" t="s">
        <v>27</v>
      </c>
      <c r="I15" s="647" t="s">
        <v>28</v>
      </c>
      <c r="J15" s="647"/>
      <c r="K15" s="30">
        <f>IF($D$8="SIM",0%,IF($G$10=BASE!$Z$2,BASE!AB3,IF($G$10=BASE!$AC$2,BASE!AE3,IF($G$10=BASE!$AF$2,BASE!AH3,IF($G$10=BASE!$AI$2,BASE!AK3,BASE!AN3)))))</f>
        <v>1.6500000000000001E-2</v>
      </c>
      <c r="L15" s="46">
        <f>($L$21*K15)</f>
        <v>1435.8527862986045</v>
      </c>
      <c r="M15" s="659"/>
    </row>
    <row r="16" spans="1:14" x14ac:dyDescent="0.25">
      <c r="B16" s="653"/>
      <c r="C16" s="647" t="s">
        <v>29</v>
      </c>
      <c r="D16" s="647"/>
      <c r="E16" s="30">
        <f>IF($D$8="SIM",0%,IF($G$10=BASE!$Z$2,BASE!AB4,IF($G$10=BASE!$AC$2,BASE!AE4,IF($G$10=BASE!$AF$2,BASE!AH4,IF($G$10=BASE!$AI$2,BASE!AK4,BASE!AN4)))))</f>
        <v>7.5999999999999998E-2</v>
      </c>
      <c r="F16" s="46">
        <f t="shared" ref="F16:F17" si="0">($F$21*E16)</f>
        <v>12463.082883970323</v>
      </c>
      <c r="G16" s="658"/>
      <c r="H16" s="653"/>
      <c r="I16" s="647" t="s">
        <v>29</v>
      </c>
      <c r="J16" s="647"/>
      <c r="K16" s="30">
        <f>IF($D$8="SIM",0%,IF($G$10=BASE!$Z$2,BASE!AB4,IF($G$10=BASE!$AC$2,BASE!AE4,IF($G$10=BASE!$AF$2,BASE!AH4,IF($G$10=BASE!$AI$2,BASE!AK4,BASE!AN4)))))</f>
        <v>7.5999999999999998E-2</v>
      </c>
      <c r="L16" s="46">
        <f t="shared" ref="L16:L20" si="1">($L$21*K16)</f>
        <v>6613.6249550723596</v>
      </c>
      <c r="M16" s="659"/>
    </row>
    <row r="17" spans="2:16" x14ac:dyDescent="0.25">
      <c r="B17" s="653"/>
      <c r="C17" s="647" t="s">
        <v>30</v>
      </c>
      <c r="D17" s="647"/>
      <c r="E17" s="30">
        <f>IF($G$10=BASE!$Z$2,BASE!AB5,IF($G$10=BASE!$AC$2,BASE!AE5,IF($G$10=BASE!$AF$2,BASE!AH5,IF($G$10=BASE!$AI$2,BASE!AK5,BASE!AN5))))</f>
        <v>0</v>
      </c>
      <c r="F17" s="46">
        <f t="shared" si="0"/>
        <v>0</v>
      </c>
      <c r="G17" s="658"/>
      <c r="H17" s="653"/>
      <c r="I17" s="647" t="s">
        <v>30</v>
      </c>
      <c r="J17" s="647"/>
      <c r="K17" s="30">
        <f>IF($G$10=BASE!$Z$2,BASE!AB5,IF($G$10=BASE!$AC$2,BASE!AE5,IF($G$10=BASE!$AF$2,BASE!AH5,IF($G$10=BASE!$AI$2,BASE!AK5,BASE!AN5))))</f>
        <v>0</v>
      </c>
      <c r="L17" s="46">
        <f t="shared" si="1"/>
        <v>0</v>
      </c>
      <c r="M17" s="659"/>
    </row>
    <row r="18" spans="2:16" x14ac:dyDescent="0.25">
      <c r="B18" s="653"/>
      <c r="C18" s="647" t="s">
        <v>31</v>
      </c>
      <c r="D18" s="647"/>
      <c r="E18" s="80">
        <v>0.02</v>
      </c>
      <c r="F18" s="46">
        <f t="shared" ref="F18:F20" si="2">($F$21*E19)</f>
        <v>0</v>
      </c>
      <c r="G18" s="658"/>
      <c r="H18" s="653"/>
      <c r="I18" s="647" t="s">
        <v>31</v>
      </c>
      <c r="J18" s="647"/>
      <c r="K18" s="80">
        <v>0.05</v>
      </c>
      <c r="L18" s="46">
        <f t="shared" si="1"/>
        <v>4351.0690493897109</v>
      </c>
      <c r="M18" s="659"/>
    </row>
    <row r="19" spans="2:16" ht="13" x14ac:dyDescent="0.25">
      <c r="B19" s="653"/>
      <c r="C19" s="647"/>
      <c r="D19" s="647"/>
      <c r="E19" s="124"/>
      <c r="F19" s="46">
        <f t="shared" si="2"/>
        <v>0</v>
      </c>
      <c r="G19" s="658"/>
      <c r="H19" s="653"/>
      <c r="I19" s="647"/>
      <c r="J19" s="647"/>
      <c r="K19" s="124"/>
      <c r="L19" s="46">
        <f t="shared" si="1"/>
        <v>0</v>
      </c>
      <c r="M19" s="659"/>
      <c r="N19" s="76"/>
    </row>
    <row r="20" spans="2:16" x14ac:dyDescent="0.25">
      <c r="B20" s="653"/>
      <c r="C20" s="647"/>
      <c r="D20" s="647"/>
      <c r="E20" s="31"/>
      <c r="F20" s="46">
        <f t="shared" si="2"/>
        <v>0</v>
      </c>
      <c r="G20" s="658"/>
      <c r="H20" s="653"/>
      <c r="I20" s="647"/>
      <c r="J20" s="647"/>
      <c r="K20" s="31"/>
      <c r="L20" s="46">
        <f t="shared" si="1"/>
        <v>0</v>
      </c>
      <c r="M20" s="659"/>
    </row>
    <row r="21" spans="2:16" x14ac:dyDescent="0.25">
      <c r="B21" s="661" t="s">
        <v>32</v>
      </c>
      <c r="C21" s="661"/>
      <c r="D21" s="661"/>
      <c r="E21" s="661"/>
      <c r="F21" s="202">
        <f>(F14/(100%-SUM(E15:E18)))</f>
        <v>163987.93268382005</v>
      </c>
      <c r="G21" s="658"/>
      <c r="H21" s="661" t="s">
        <v>32</v>
      </c>
      <c r="I21" s="661"/>
      <c r="J21" s="661"/>
      <c r="K21" s="661"/>
      <c r="L21" s="202">
        <f>(L14/(100%-SUM(K15:K18)))</f>
        <v>87021.380987794211</v>
      </c>
      <c r="M21" s="659"/>
    </row>
    <row r="22" spans="2:16" x14ac:dyDescent="0.25">
      <c r="B22" s="648" t="s">
        <v>32</v>
      </c>
      <c r="C22" s="648"/>
      <c r="D22" s="648"/>
      <c r="E22" s="648"/>
      <c r="F22" s="203">
        <f>F20+F21</f>
        <v>163987.93268382005</v>
      </c>
      <c r="G22" s="658"/>
      <c r="H22" s="648" t="s">
        <v>32</v>
      </c>
      <c r="I22" s="648"/>
      <c r="J22" s="648"/>
      <c r="K22" s="648"/>
      <c r="L22" s="203">
        <f>L20+L21</f>
        <v>87021.380987794211</v>
      </c>
      <c r="M22" s="659"/>
      <c r="P22" s="33"/>
    </row>
    <row r="23" spans="2:16" ht="46.5" customHeight="1" x14ac:dyDescent="0.25">
      <c r="B23" s="649" t="s">
        <v>33</v>
      </c>
      <c r="C23" s="649"/>
      <c r="D23" s="649"/>
      <c r="E23" s="204" t="s">
        <v>24</v>
      </c>
      <c r="F23" s="204" t="s">
        <v>25</v>
      </c>
      <c r="G23" s="650" t="s">
        <v>1</v>
      </c>
      <c r="H23" s="651" t="s">
        <v>34</v>
      </c>
      <c r="I23" s="649"/>
      <c r="J23" s="649"/>
      <c r="K23" s="204" t="s">
        <v>24</v>
      </c>
      <c r="L23" s="204" t="s">
        <v>25</v>
      </c>
      <c r="M23" s="650" t="s">
        <v>1</v>
      </c>
      <c r="N23" s="77"/>
      <c r="P23" s="32"/>
    </row>
    <row r="24" spans="2:16" x14ac:dyDescent="0.25">
      <c r="B24" s="649"/>
      <c r="C24" s="649"/>
      <c r="D24" s="649"/>
      <c r="E24" s="199">
        <f>ServInt10[[#Totals],[TOTAL]]+ServExt8[[#Totals],[TOTAL]]</f>
        <v>269517.60000000003</v>
      </c>
      <c r="F24" s="199">
        <f>ServInt10[[#Totals],[TOTAL3]]+ServExt8[[#Totals],[TOTAL3]]</f>
        <v>338123.27189192385</v>
      </c>
      <c r="G24" s="650"/>
      <c r="H24" s="651"/>
      <c r="I24" s="649"/>
      <c r="J24" s="649"/>
      <c r="K24" s="199">
        <f>'SERVICOS MONTAGEM'!L7+'SERVICOS MONTAGEM'!L11+'SERVICOS MONTAGEM'!L19</f>
        <v>229642</v>
      </c>
      <c r="L24" s="199">
        <f>'SERVICOS MONTAGEM'!F7+'SERVICOS MONTAGEM'!F11+'SERVICOS MONTAGEM'!H19</f>
        <v>288097.34282215766</v>
      </c>
      <c r="M24" s="650"/>
    </row>
    <row r="25" spans="2:16" ht="12" customHeight="1" x14ac:dyDescent="0.25">
      <c r="B25" s="653" t="s">
        <v>27</v>
      </c>
      <c r="C25" s="647" t="s">
        <v>28</v>
      </c>
      <c r="D25" s="647"/>
      <c r="E25" s="30">
        <f>IF($D$8="SIM",0%,IF($J$10=BASE!$Z$2,BASE!AB3,IF($J$10=BASE!$AC$2,BASE!AE3,IF($J$10=BASE!$AF$2,BASE!AH3,IF($J$10=BASE!$AI$2,BASE!AK3,BASE!AN3)))))</f>
        <v>1.6500000000000001E-2</v>
      </c>
      <c r="F25" s="46">
        <f>($F$31*E25)</f>
        <v>6286.2354774273172</v>
      </c>
      <c r="G25" s="650"/>
      <c r="H25" s="662" t="s">
        <v>27</v>
      </c>
      <c r="I25" s="647" t="s">
        <v>28</v>
      </c>
      <c r="J25" s="647"/>
      <c r="K25" s="30">
        <f>IF($D$8="SIM",0%,IF($G$10=BASE!$Z$2,BASE!AB3,IF($G$10=BASE!$AC$2,BASE!AE3,IF($G$10=BASE!$AF$2,BASE!AH3,IF($G$10=BASE!$AI$2,BASE!AK3,BASE!AN3)))))</f>
        <v>1.6500000000000001E-2</v>
      </c>
      <c r="L25" s="46">
        <f>($L$31*K25)</f>
        <v>5356.1759510598331</v>
      </c>
      <c r="M25" s="650"/>
    </row>
    <row r="26" spans="2:16" ht="12" customHeight="1" x14ac:dyDescent="0.25">
      <c r="B26" s="653"/>
      <c r="C26" s="647" t="s">
        <v>29</v>
      </c>
      <c r="D26" s="647"/>
      <c r="E26" s="30">
        <f>IF($D$8="SIM",0%,IF($J$10=BASE!$Z$2,BASE!AB4,IF($J$10=BASE!$AC$2,BASE!AE4,IF($J$10=BASE!$AF$2,BASE!AH4,IF($J$10=BASE!$AI$2,BASE!AK4,BASE!AN4)))))</f>
        <v>7.5999999999999998E-2</v>
      </c>
      <c r="F26" s="46">
        <f>($F$31*E26)</f>
        <v>28954.781592998548</v>
      </c>
      <c r="G26" s="650"/>
      <c r="H26" s="662"/>
      <c r="I26" s="647" t="s">
        <v>29</v>
      </c>
      <c r="J26" s="647"/>
      <c r="K26" s="30">
        <f>IF($D$8="SIM",0%,IF($G$10=BASE!$Z$2,BASE!AB4,IF($G$10=BASE!$AC$2,BASE!AE4,IF($G$10=BASE!$AF$2,BASE!AH4,IF($G$10=BASE!$AI$2,BASE!AK4,BASE!AN4)))))</f>
        <v>7.5999999999999998E-2</v>
      </c>
      <c r="L26" s="46">
        <f>($L$31*K26)</f>
        <v>24670.871047305893</v>
      </c>
      <c r="M26" s="650"/>
      <c r="N26" s="78"/>
    </row>
    <row r="27" spans="2:16" x14ac:dyDescent="0.25">
      <c r="B27" s="653"/>
      <c r="C27" s="647" t="s">
        <v>30</v>
      </c>
      <c r="D27" s="647"/>
      <c r="E27" s="30">
        <f>IF($J$10=BASE!$Z$2,BASE!AB5,IF($J$10=BASE!$AC$2,BASE!AE5,IF($J$10=BASE!$AF$2,BASE!AH5,IF($J$10=BASE!$AI$2,BASE!AK5,BASE!AN5))))</f>
        <v>0</v>
      </c>
      <c r="F27" s="46">
        <f>($F$31*E27)</f>
        <v>0</v>
      </c>
      <c r="G27" s="650"/>
      <c r="H27" s="662"/>
      <c r="I27" s="647" t="s">
        <v>30</v>
      </c>
      <c r="J27" s="647"/>
      <c r="K27" s="30">
        <f>IF($G$10=BASE!$Z$2,BASE!AB5,IF($G$10=BASE!$AC$2,BASE!AE5,IF($G$10=BASE!$AF$2,BASE!AH5,IF($G$10=BASE!$AI$2,BASE!AK5,BASE!AN5))))</f>
        <v>0</v>
      </c>
      <c r="L27" s="46">
        <f>($L$31*K27)</f>
        <v>0</v>
      </c>
      <c r="M27" s="650"/>
    </row>
    <row r="28" spans="2:16" ht="12" customHeight="1" x14ac:dyDescent="0.25">
      <c r="B28" s="653"/>
      <c r="C28" s="647" t="s">
        <v>31</v>
      </c>
      <c r="D28" s="647"/>
      <c r="E28" s="80">
        <v>0.02</v>
      </c>
      <c r="F28" s="46">
        <f>($F$31*E28)</f>
        <v>7619.6793665785663</v>
      </c>
      <c r="G28" s="650"/>
      <c r="H28" s="662"/>
      <c r="I28" s="647" t="s">
        <v>31</v>
      </c>
      <c r="J28" s="647"/>
      <c r="K28" s="80">
        <v>0.02</v>
      </c>
      <c r="L28" s="46">
        <f>($L$31*K28)</f>
        <v>6492.3344861331307</v>
      </c>
      <c r="M28" s="650"/>
    </row>
    <row r="29" spans="2:16" ht="13.5" customHeight="1" x14ac:dyDescent="0.25">
      <c r="B29" s="653"/>
      <c r="C29" s="647"/>
      <c r="D29" s="647"/>
      <c r="E29" s="30"/>
      <c r="F29" s="46">
        <f>($F$31*E29)</f>
        <v>0</v>
      </c>
      <c r="G29" s="650"/>
      <c r="H29" s="662"/>
      <c r="I29" s="647" t="s">
        <v>35</v>
      </c>
      <c r="J29" s="647"/>
      <c r="K29" s="124"/>
      <c r="L29" s="46">
        <f>($L$31*K29)</f>
        <v>0</v>
      </c>
      <c r="M29" s="650"/>
    </row>
    <row r="30" spans="2:16" ht="12" customHeight="1" x14ac:dyDescent="0.25">
      <c r="B30" s="653"/>
      <c r="C30" s="647"/>
      <c r="D30" s="647"/>
      <c r="E30" s="31"/>
      <c r="F30" s="184"/>
      <c r="G30" s="650"/>
      <c r="H30" s="662"/>
      <c r="I30" s="647"/>
      <c r="J30" s="647"/>
      <c r="K30" s="31"/>
      <c r="L30" s="184"/>
      <c r="M30" s="650"/>
    </row>
    <row r="31" spans="2:16" ht="12" customHeight="1" x14ac:dyDescent="0.25">
      <c r="B31" s="661" t="s">
        <v>32</v>
      </c>
      <c r="C31" s="661"/>
      <c r="D31" s="661"/>
      <c r="E31" s="661"/>
      <c r="F31" s="202">
        <f>(F24/(100%-SUM(E25:E29)))</f>
        <v>380983.96832892828</v>
      </c>
      <c r="G31" s="650"/>
      <c r="H31" s="663" t="s">
        <v>32</v>
      </c>
      <c r="I31" s="661"/>
      <c r="J31" s="661"/>
      <c r="K31" s="661"/>
      <c r="L31" s="202">
        <f>(L24/(100%-SUM(K25:K29)))</f>
        <v>324616.72430665651</v>
      </c>
      <c r="M31" s="650"/>
    </row>
    <row r="32" spans="2:16" x14ac:dyDescent="0.25">
      <c r="B32" s="664" t="s">
        <v>32</v>
      </c>
      <c r="C32" s="664"/>
      <c r="D32" s="664"/>
      <c r="E32" s="664"/>
      <c r="F32" s="205">
        <f>F30+F31</f>
        <v>380983.96832892828</v>
      </c>
      <c r="G32" s="650"/>
      <c r="H32" s="665" t="s">
        <v>32</v>
      </c>
      <c r="I32" s="664"/>
      <c r="J32" s="664"/>
      <c r="K32" s="664"/>
      <c r="L32" s="205">
        <f>L30+L31</f>
        <v>324616.72430665651</v>
      </c>
      <c r="M32" s="650"/>
    </row>
    <row r="33" spans="2:16" ht="12" customHeight="1" x14ac:dyDescent="0.25">
      <c r="B33" s="649" t="s">
        <v>36</v>
      </c>
      <c r="C33" s="649"/>
      <c r="D33" s="649"/>
      <c r="E33" s="208" t="s">
        <v>24</v>
      </c>
      <c r="F33" s="208" t="s">
        <v>25</v>
      </c>
      <c r="G33" s="206" t="s">
        <v>37</v>
      </c>
      <c r="H33" s="181"/>
      <c r="I33" s="5"/>
      <c r="J33" s="5"/>
      <c r="K33" s="5"/>
      <c r="L33" s="5"/>
      <c r="P33" s="33"/>
    </row>
    <row r="34" spans="2:16" ht="12" customHeight="1" thickBot="1" x14ac:dyDescent="0.3">
      <c r="B34" s="649"/>
      <c r="C34" s="649"/>
      <c r="D34" s="649"/>
      <c r="E34" s="209">
        <f>ServTerc[[#Totals],[TOTAL CUSTO]]</f>
        <v>177860</v>
      </c>
      <c r="F34" s="209">
        <f>ServTerc[[#Totals],[TOTAL VENDA]]</f>
        <v>195820.92511708691</v>
      </c>
      <c r="G34" s="652" t="s">
        <v>1</v>
      </c>
      <c r="H34" s="231"/>
    </row>
    <row r="35" spans="2:16" ht="12" customHeight="1" x14ac:dyDescent="0.25">
      <c r="B35" s="653" t="s">
        <v>27</v>
      </c>
      <c r="C35" s="647" t="s">
        <v>28</v>
      </c>
      <c r="D35" s="647"/>
      <c r="E35" s="30">
        <f>IF($G$34=$G$13,E15,E25)</f>
        <v>1.6500000000000001E-2</v>
      </c>
      <c r="F35" s="46">
        <f>($F$41*E35)</f>
        <v>3640.6143824585179</v>
      </c>
      <c r="G35" s="652"/>
      <c r="H35" s="181"/>
      <c r="I35" s="654" t="s">
        <v>38</v>
      </c>
      <c r="J35" s="655"/>
      <c r="K35" s="238" t="s">
        <v>39</v>
      </c>
      <c r="L35" s="238" t="s">
        <v>40</v>
      </c>
      <c r="M35" s="241" t="s">
        <v>41</v>
      </c>
      <c r="N35" s="691"/>
    </row>
    <row r="36" spans="2:16" ht="12.75" customHeight="1" x14ac:dyDescent="0.25">
      <c r="B36" s="653"/>
      <c r="C36" s="647" t="s">
        <v>29</v>
      </c>
      <c r="D36" s="647"/>
      <c r="E36" s="30">
        <f t="shared" ref="E36:E38" si="3">IF($G$34=$G$13,E16,E26)</f>
        <v>7.5999999999999998E-2</v>
      </c>
      <c r="F36" s="46">
        <f>($F$41*E36)</f>
        <v>16768.890488899837</v>
      </c>
      <c r="G36" s="652"/>
      <c r="H36" s="232"/>
      <c r="I36" s="692" t="s">
        <v>23</v>
      </c>
      <c r="J36" s="693"/>
      <c r="K36" s="239" t="s">
        <v>42</v>
      </c>
      <c r="L36" s="240">
        <f>IF(G34="ENG",F42+F22+L22,F22+L22)</f>
        <v>251009.31367161428</v>
      </c>
      <c r="M36" s="242">
        <f>L36</f>
        <v>251009.31367161428</v>
      </c>
      <c r="N36" s="691"/>
    </row>
    <row r="37" spans="2:16" x14ac:dyDescent="0.25">
      <c r="B37" s="653"/>
      <c r="C37" s="647" t="s">
        <v>30</v>
      </c>
      <c r="D37" s="647"/>
      <c r="E37" s="30">
        <f t="shared" si="3"/>
        <v>0</v>
      </c>
      <c r="F37" s="46">
        <f>($F$41*E37)</f>
        <v>0</v>
      </c>
      <c r="G37" s="652"/>
      <c r="H37" s="232"/>
      <c r="I37" s="692" t="s">
        <v>43</v>
      </c>
      <c r="J37" s="693"/>
      <c r="K37" s="239" t="s">
        <v>44</v>
      </c>
      <c r="L37" s="240">
        <f>IF(G34="ENG",F32+L32,+F32+L32+F42)</f>
        <v>926243.98854216165</v>
      </c>
      <c r="M37" s="242">
        <f>L37</f>
        <v>926243.98854216165</v>
      </c>
      <c r="N37" s="691"/>
      <c r="O37" s="79"/>
      <c r="P37" s="149"/>
    </row>
    <row r="38" spans="2:16" x14ac:dyDescent="0.25">
      <c r="B38" s="653"/>
      <c r="C38" s="647" t="s">
        <v>31</v>
      </c>
      <c r="D38" s="647"/>
      <c r="E38" s="30">
        <f t="shared" si="3"/>
        <v>0.02</v>
      </c>
      <c r="F38" s="46">
        <f>($F$41*E38)</f>
        <v>4412.865918131537</v>
      </c>
      <c r="G38" s="652"/>
      <c r="H38" s="233"/>
      <c r="I38" s="692" t="s">
        <v>45</v>
      </c>
      <c r="J38" s="693"/>
      <c r="K38" s="239" t="s">
        <v>46</v>
      </c>
      <c r="L38" s="240">
        <f>F55</f>
        <v>259656.49102515116</v>
      </c>
      <c r="M38" s="242">
        <f>F58</f>
        <v>259656.49102515116</v>
      </c>
      <c r="N38" s="691"/>
      <c r="O38" s="79"/>
    </row>
    <row r="39" spans="2:16" x14ac:dyDescent="0.25">
      <c r="B39" s="653"/>
      <c r="C39" s="647"/>
      <c r="D39" s="647"/>
      <c r="E39" s="30"/>
      <c r="F39" s="46">
        <f>($F$41*E39)</f>
        <v>0</v>
      </c>
      <c r="G39" s="652"/>
      <c r="H39" s="233"/>
      <c r="I39" s="692" t="s">
        <v>47</v>
      </c>
      <c r="J39" s="693"/>
      <c r="K39" s="239" t="s">
        <v>48</v>
      </c>
      <c r="L39" s="240">
        <f>F70</f>
        <v>9430.4315108754654</v>
      </c>
      <c r="M39" s="242">
        <f>F73</f>
        <v>9430.4315108754654</v>
      </c>
      <c r="N39" s="691"/>
      <c r="O39" s="149"/>
    </row>
    <row r="40" spans="2:16" x14ac:dyDescent="0.25">
      <c r="B40" s="653"/>
      <c r="C40" s="647"/>
      <c r="D40" s="647"/>
      <c r="E40" s="31"/>
      <c r="F40" s="184"/>
      <c r="G40" s="652"/>
      <c r="H40" s="233"/>
      <c r="I40" s="698" t="s">
        <v>49</v>
      </c>
      <c r="J40" s="699"/>
      <c r="K40" s="699"/>
      <c r="L40" s="240">
        <f>SUM(L36:L39)</f>
        <v>1446340.2247498026</v>
      </c>
      <c r="M40" s="242">
        <f>SUM(M36:M39)</f>
        <v>1446340.2247498026</v>
      </c>
      <c r="N40" s="691"/>
    </row>
    <row r="41" spans="2:16" ht="12" customHeight="1" thickBot="1" x14ac:dyDescent="0.3">
      <c r="B41" s="661" t="s">
        <v>32</v>
      </c>
      <c r="C41" s="661"/>
      <c r="D41" s="661"/>
      <c r="E41" s="661"/>
      <c r="F41" s="202">
        <f>(F34/(100%-SUM(E35:E39)))</f>
        <v>220643.29590657682</v>
      </c>
      <c r="G41" s="652"/>
      <c r="H41" s="233"/>
      <c r="I41" s="700" t="s">
        <v>50</v>
      </c>
      <c r="J41" s="701"/>
      <c r="K41" s="701"/>
      <c r="L41" s="702">
        <f>'FAT. DIRETO'!K43</f>
        <v>397106.92104799993</v>
      </c>
      <c r="M41" s="703"/>
      <c r="N41" s="691"/>
    </row>
    <row r="42" spans="2:16" x14ac:dyDescent="0.25">
      <c r="B42" s="704" t="s">
        <v>32</v>
      </c>
      <c r="C42" s="704"/>
      <c r="D42" s="704"/>
      <c r="E42" s="704"/>
      <c r="F42" s="207">
        <f>F40+F41</f>
        <v>220643.29590657682</v>
      </c>
      <c r="G42" s="652"/>
      <c r="H42" s="233"/>
      <c r="I42" s="687" t="s">
        <v>51</v>
      </c>
      <c r="J42" s="688"/>
      <c r="K42" s="688"/>
      <c r="L42" s="694" t="s">
        <v>52</v>
      </c>
      <c r="M42" s="695"/>
      <c r="N42" s="691"/>
      <c r="O42" s="79"/>
    </row>
    <row r="43" spans="2:16" ht="12" thickBot="1" x14ac:dyDescent="0.3">
      <c r="H43" s="233"/>
      <c r="I43" s="689"/>
      <c r="J43" s="690"/>
      <c r="K43" s="690"/>
      <c r="L43" s="696"/>
      <c r="M43" s="697"/>
    </row>
    <row r="44" spans="2:16" ht="12.75" customHeight="1" x14ac:dyDescent="0.25">
      <c r="B44" s="649" t="s">
        <v>53</v>
      </c>
      <c r="C44" s="649"/>
      <c r="D44" s="649"/>
      <c r="E44" s="211" t="s">
        <v>24</v>
      </c>
      <c r="F44" s="211" t="s">
        <v>25</v>
      </c>
      <c r="G44" s="668" t="s">
        <v>54</v>
      </c>
      <c r="H44" s="301"/>
      <c r="I44" s="687" t="s">
        <v>55</v>
      </c>
      <c r="J44" s="688"/>
      <c r="K44" s="688"/>
      <c r="L44" s="694" t="s">
        <v>11</v>
      </c>
      <c r="M44" s="695"/>
      <c r="N44" s="301"/>
    </row>
    <row r="45" spans="2:16" ht="12" thickBot="1" x14ac:dyDescent="0.3">
      <c r="B45" s="649"/>
      <c r="C45" s="649"/>
      <c r="D45" s="649"/>
      <c r="E45" s="210">
        <f>MateriaisCampo[[#Totals],[TOTAL C/ IPI]]</f>
        <v>210754.8866567048</v>
      </c>
      <c r="F45" s="210">
        <f>MateriaisCampo[[#Totals],[VENDA]]</f>
        <v>204479.48668230654</v>
      </c>
      <c r="G45" s="668"/>
      <c r="H45" s="301"/>
      <c r="I45" s="689"/>
      <c r="J45" s="690"/>
      <c r="K45" s="690"/>
      <c r="L45" s="696"/>
      <c r="M45" s="697"/>
      <c r="N45" s="293"/>
    </row>
    <row r="46" spans="2:16" ht="12" customHeight="1" thickBot="1" x14ac:dyDescent="0.3">
      <c r="B46" s="669" t="s">
        <v>27</v>
      </c>
      <c r="C46" s="672" t="s">
        <v>56</v>
      </c>
      <c r="D46" s="673"/>
      <c r="E46" s="30">
        <f>IF(OR($M$10="EXPORTAÇÃO",$M$10="SIMPLES RESENDE",$M$10="SIMPLES YAMA"),0%,IF($D$11="SP",BASE!$AQ$40,BASE!$AQ$40))</f>
        <v>0.12</v>
      </c>
      <c r="F46" s="221">
        <f>IF(D9="SIM",E46*F58,E46*F55)</f>
        <v>31158.778923018137</v>
      </c>
      <c r="G46" s="668"/>
      <c r="H46" s="57"/>
      <c r="I46" s="666" t="s">
        <v>57</v>
      </c>
      <c r="J46" s="667"/>
      <c r="K46" s="667"/>
      <c r="L46" s="237">
        <f>L40+L41</f>
        <v>1843447.1457978026</v>
      </c>
      <c r="M46" s="243">
        <f>M40+L41</f>
        <v>1843447.1457978026</v>
      </c>
      <c r="N46" s="297"/>
    </row>
    <row r="47" spans="2:16" x14ac:dyDescent="0.25">
      <c r="B47" s="670"/>
      <c r="C47" s="672" t="s">
        <v>28</v>
      </c>
      <c r="D47" s="673"/>
      <c r="E47" s="30">
        <f>IF($D$8="SIM",0%,IF($M$10=BASE!$Z$2,BASE!AB3,IF($M$10=BASE!$AC$2,BASE!AE3,IF($M$10=BASE!$AF$2,BASE!AH3,IF($M$10=BASE!$AI$2,BASE!AK3,BASE!AN3)))))</f>
        <v>1.6500000000000001E-2</v>
      </c>
      <c r="F47" s="221">
        <f>($F$53*E47)</f>
        <v>4284.3321019149944</v>
      </c>
      <c r="G47" s="668"/>
      <c r="H47" s="57"/>
      <c r="I47" s="57"/>
      <c r="J47" s="295"/>
      <c r="K47" s="25"/>
      <c r="L47" s="25"/>
      <c r="M47" s="297"/>
      <c r="N47" s="297"/>
    </row>
    <row r="48" spans="2:16" x14ac:dyDescent="0.25">
      <c r="B48" s="670"/>
      <c r="C48" s="672" t="s">
        <v>29</v>
      </c>
      <c r="D48" s="673"/>
      <c r="E48" s="30">
        <f>IF($D$8="SIM",0%,IF($M$10=BASE!$Z$2,BASE!AB4,IF($M$10=BASE!$AC$2,BASE!AE4,IF($M$10=BASE!$AF$2,BASE!AH4,IF($M$10=BASE!$AI$2,BASE!AK4,BASE!AN4)))))</f>
        <v>7.5999999999999998E-2</v>
      </c>
      <c r="F48" s="221">
        <f>($F$53*E48)</f>
        <v>19733.893317911487</v>
      </c>
      <c r="G48" s="668"/>
      <c r="H48" s="57"/>
      <c r="I48" s="57"/>
      <c r="J48" s="295"/>
      <c r="K48" s="25"/>
      <c r="L48" s="296"/>
      <c r="M48" s="57"/>
      <c r="N48" s="297"/>
    </row>
    <row r="49" spans="2:14" ht="13" thickBot="1" x14ac:dyDescent="0.3">
      <c r="B49" s="670"/>
      <c r="C49" s="672" t="s">
        <v>30</v>
      </c>
      <c r="D49" s="673"/>
      <c r="E49" s="30">
        <f>IF($M$10=BASE!$Z$2,BASE!AB5,IF($M$10=BASE!$AC$2,BASE!AE5,IF($M$10=BASE!$AF$2,BASE!AH5,IF($M$10=BASE!$AI$2,BASE!AK5,BASE!AN5))))</f>
        <v>0</v>
      </c>
      <c r="F49" s="221">
        <f>($F$55*E49)</f>
        <v>0</v>
      </c>
      <c r="G49" s="668"/>
      <c r="H49" s="57"/>
      <c r="I49" s="57"/>
      <c r="J49" s="295"/>
      <c r="K49" s="25"/>
      <c r="L49" s="296" t="s">
        <v>328</v>
      </c>
      <c r="M49" s="297">
        <f>SUM(L22,L32)</f>
        <v>411638.10529445071</v>
      </c>
      <c r="N49" s="624">
        <v>26225</v>
      </c>
    </row>
    <row r="50" spans="2:14" ht="13" thickBot="1" x14ac:dyDescent="0.3">
      <c r="B50" s="670"/>
      <c r="C50" s="672"/>
      <c r="D50" s="673"/>
      <c r="E50" s="30"/>
      <c r="F50" s="221"/>
      <c r="G50" s="668"/>
      <c r="H50" s="57"/>
      <c r="I50" s="57"/>
      <c r="J50" s="295"/>
      <c r="K50" s="25"/>
      <c r="L50" s="296" t="s">
        <v>882</v>
      </c>
      <c r="M50" s="297">
        <v>26225</v>
      </c>
      <c r="N50" s="624">
        <v>128388.29</v>
      </c>
    </row>
    <row r="51" spans="2:14" ht="13" thickBot="1" x14ac:dyDescent="0.3">
      <c r="B51" s="670"/>
      <c r="C51" s="672"/>
      <c r="D51" s="673"/>
      <c r="E51" s="30"/>
      <c r="F51" s="221"/>
      <c r="G51" s="668"/>
      <c r="H51" s="57"/>
      <c r="I51" s="57"/>
      <c r="J51" s="295"/>
      <c r="K51" s="25"/>
      <c r="L51" s="296" t="s">
        <v>883</v>
      </c>
      <c r="M51" s="297">
        <f>F22-M50</f>
        <v>137762.93268382005</v>
      </c>
      <c r="N51" s="624">
        <v>351175.49</v>
      </c>
    </row>
    <row r="52" spans="2:14" ht="13" thickBot="1" x14ac:dyDescent="0.3">
      <c r="B52" s="670"/>
      <c r="C52" s="672"/>
      <c r="D52" s="673"/>
      <c r="E52" s="31"/>
      <c r="F52" s="184"/>
      <c r="G52" s="668"/>
      <c r="H52" s="57"/>
      <c r="I52" s="57"/>
      <c r="J52" s="295"/>
      <c r="K52" s="25"/>
      <c r="L52" s="296" t="s">
        <v>884</v>
      </c>
      <c r="M52" s="297">
        <f>F32</f>
        <v>380983.96832892828</v>
      </c>
      <c r="N52" s="624">
        <v>391469.64</v>
      </c>
    </row>
    <row r="53" spans="2:14" ht="13" thickBot="1" x14ac:dyDescent="0.3">
      <c r="B53" s="670"/>
      <c r="C53" s="680" t="s">
        <v>58</v>
      </c>
      <c r="D53" s="681"/>
      <c r="E53" s="663"/>
      <c r="F53" s="202">
        <f>IF($D$9="NÃO",(F45/(100%-SUM(E46:E51))),(F45/(100%-SUM(E46:E51,E54))))</f>
        <v>259656.49102515116</v>
      </c>
      <c r="G53" s="668"/>
      <c r="H53" s="57"/>
      <c r="I53" s="57"/>
      <c r="J53" s="295"/>
      <c r="K53" s="25"/>
      <c r="L53" s="296" t="s">
        <v>885</v>
      </c>
      <c r="M53" s="297">
        <f>F42</f>
        <v>220643.29590657682</v>
      </c>
      <c r="N53" s="624">
        <v>204535.53</v>
      </c>
    </row>
    <row r="54" spans="2:14" x14ac:dyDescent="0.25">
      <c r="B54" s="671"/>
      <c r="C54" s="682" t="s">
        <v>59</v>
      </c>
      <c r="D54" s="683"/>
      <c r="E54" s="81">
        <v>0</v>
      </c>
      <c r="F54" s="184">
        <f>F58-F55</f>
        <v>0</v>
      </c>
      <c r="G54" s="668"/>
      <c r="H54" s="57"/>
      <c r="I54" s="57"/>
      <c r="J54" s="295"/>
      <c r="K54" s="25"/>
      <c r="L54" s="296" t="s">
        <v>379</v>
      </c>
      <c r="M54" s="297">
        <f>SUM(L41,M39,M38)</f>
        <v>666193.84358402656</v>
      </c>
      <c r="N54" s="623">
        <f>SUM(N49:N53)</f>
        <v>1101793.95</v>
      </c>
    </row>
    <row r="55" spans="2:14" x14ac:dyDescent="0.25">
      <c r="B55" s="684" t="s">
        <v>60</v>
      </c>
      <c r="C55" s="685"/>
      <c r="D55" s="685"/>
      <c r="E55" s="686"/>
      <c r="F55" s="212">
        <f>IF(E54=I120,F58,IF(E54=I121,K121,IF(E54=I122,K122,K123)))</f>
        <v>259656.49102515116</v>
      </c>
      <c r="G55" s="668"/>
      <c r="H55" s="57"/>
      <c r="I55" s="57"/>
      <c r="J55" s="295"/>
      <c r="K55" s="25"/>
      <c r="L55" s="296"/>
      <c r="M55" s="297">
        <f>SUM(M49:M54)</f>
        <v>1843447.1457978026</v>
      </c>
      <c r="N55" s="297"/>
    </row>
    <row r="56" spans="2:14" x14ac:dyDescent="0.25">
      <c r="B56" s="674" t="s">
        <v>61</v>
      </c>
      <c r="C56" s="675"/>
      <c r="D56" s="676"/>
      <c r="E56" s="82" t="s">
        <v>11</v>
      </c>
      <c r="F56" s="50">
        <f>MateriaisCampo[[#Totals],[TOTAL ICMS $]]</f>
        <v>33503.865548064001</v>
      </c>
      <c r="G56" s="668"/>
      <c r="H56" s="57"/>
      <c r="I56" s="57"/>
      <c r="J56" s="295"/>
      <c r="K56" s="25"/>
      <c r="L56" s="296"/>
      <c r="M56" s="297"/>
      <c r="N56" s="297"/>
    </row>
    <row r="57" spans="2:14" x14ac:dyDescent="0.25">
      <c r="B57" s="674" t="s">
        <v>62</v>
      </c>
      <c r="C57" s="675"/>
      <c r="D57" s="676"/>
      <c r="E57" s="82" t="s">
        <v>11</v>
      </c>
      <c r="F57" s="50">
        <f>MateriaisCampo[[#Totals],[TOTAL C/ IPI]]-MateriaisCampo[[#Totals],[TOTAL S/ IPI]]</f>
        <v>4732.1488500000269</v>
      </c>
      <c r="G57" s="668"/>
      <c r="H57" s="57"/>
      <c r="I57" s="57"/>
      <c r="J57" s="295"/>
      <c r="K57" s="25"/>
      <c r="L57" s="296"/>
      <c r="M57" s="297">
        <v>1102000</v>
      </c>
      <c r="N57" s="297"/>
    </row>
    <row r="58" spans="2:14" x14ac:dyDescent="0.25">
      <c r="B58" s="677" t="s">
        <v>63</v>
      </c>
      <c r="C58" s="678"/>
      <c r="D58" s="678"/>
      <c r="E58" s="679"/>
      <c r="F58" s="220">
        <f>IF($D$9="NÃO",F53+(E54*F53),F53)</f>
        <v>259656.49102515116</v>
      </c>
      <c r="G58" s="668"/>
      <c r="H58" s="302"/>
      <c r="I58" s="302"/>
      <c r="J58" s="302"/>
      <c r="K58" s="302"/>
      <c r="L58" s="298"/>
      <c r="M58" s="298">
        <v>238200</v>
      </c>
      <c r="N58" s="298"/>
    </row>
    <row r="59" spans="2:14" ht="13" x14ac:dyDescent="0.25">
      <c r="B59" s="649" t="s">
        <v>64</v>
      </c>
      <c r="C59" s="649"/>
      <c r="D59" s="649"/>
      <c r="E59" s="211" t="s">
        <v>24</v>
      </c>
      <c r="F59" s="211" t="s">
        <v>25</v>
      </c>
      <c r="G59" s="668" t="s">
        <v>65</v>
      </c>
      <c r="H59" s="299"/>
      <c r="I59" s="25"/>
      <c r="J59" s="300"/>
      <c r="K59" s="218">
        <f>M46-M62</f>
        <v>116448.26579780271</v>
      </c>
      <c r="L59" s="25"/>
      <c r="M59" s="57">
        <v>307300</v>
      </c>
      <c r="N59" s="57"/>
    </row>
    <row r="60" spans="2:14" x14ac:dyDescent="0.25">
      <c r="B60" s="649"/>
      <c r="C60" s="649"/>
      <c r="D60" s="649"/>
      <c r="E60" s="210">
        <f>MateriaisPainel[[#Totals],[TOTAL C/ IPI]]</f>
        <v>7561.5</v>
      </c>
      <c r="F60" s="210">
        <f>MateriaisPainel[[#Totals],[VENDA]]</f>
        <v>7426.4648148144288</v>
      </c>
      <c r="G60" s="668"/>
      <c r="H60" s="301"/>
      <c r="I60" s="301"/>
      <c r="J60" s="301"/>
      <c r="K60" s="301"/>
      <c r="L60" s="301"/>
      <c r="M60" s="625">
        <f>SUM(M57:M59)</f>
        <v>1647500</v>
      </c>
      <c r="N60" s="301"/>
    </row>
    <row r="61" spans="2:14" ht="12" customHeight="1" x14ac:dyDescent="0.25">
      <c r="B61" s="653" t="s">
        <v>27</v>
      </c>
      <c r="C61" s="647" t="s">
        <v>56</v>
      </c>
      <c r="D61" s="647"/>
      <c r="E61" s="30">
        <f>IF(OR($M$10="EXPORTAÇÃO",$M$10="SIMPLES RESENDE",$M$10="SIMPLES YAMA"),0%,IF($D$11="SP",BASE!$AQ$40,BASE!$AQ$40))</f>
        <v>0.12</v>
      </c>
      <c r="F61" s="221">
        <f>IF(D9="SIM",E61*F73,E61*F68)</f>
        <v>1131.6517813050557</v>
      </c>
      <c r="G61" s="668"/>
      <c r="H61" s="301"/>
      <c r="I61" s="301"/>
      <c r="J61" s="292"/>
      <c r="K61" s="292"/>
      <c r="L61" s="293"/>
      <c r="M61" s="294"/>
      <c r="N61" s="293"/>
    </row>
    <row r="62" spans="2:14" x14ac:dyDescent="0.25">
      <c r="B62" s="653"/>
      <c r="C62" s="647" t="s">
        <v>28</v>
      </c>
      <c r="D62" s="647"/>
      <c r="E62" s="30">
        <f>IF($D$8="SIM",0%,IF($M$10=BASE!$Z$2,BASE!AB3,IF($M$10=BASE!$AC$2,BASE!AE3,IF($M$10=BASE!$AF$2,BASE!AH3,IF($M$10=BASE!$AI$2,BASE!AK3,BASE!AN3)))))</f>
        <v>1.6500000000000001E-2</v>
      </c>
      <c r="F62" s="221">
        <f>($F$68*E62)</f>
        <v>155.60211992944519</v>
      </c>
      <c r="G62" s="668"/>
      <c r="H62" s="57"/>
      <c r="I62" s="57"/>
      <c r="J62" s="295"/>
      <c r="K62" s="25"/>
      <c r="L62" s="296"/>
      <c r="M62" s="297">
        <v>1726998.88</v>
      </c>
      <c r="N62" s="297"/>
    </row>
    <row r="63" spans="2:14" ht="13" x14ac:dyDescent="0.25">
      <c r="B63" s="653"/>
      <c r="C63" s="647" t="s">
        <v>29</v>
      </c>
      <c r="D63" s="647"/>
      <c r="E63" s="30">
        <f>IF($D$8="SIM",0%,IF($M$10=BASE!$Z$2,BASE!AB4,IF($M$10=BASE!$AC$2,BASE!AE4,IF($M$10=BASE!$AF$2,BASE!AH4,IF($M$10=BASE!$AI$2,BASE!AK4,BASE!AN4)))))</f>
        <v>7.5999999999999998E-2</v>
      </c>
      <c r="F63" s="221">
        <f>($F$68*E63)</f>
        <v>716.7127948265354</v>
      </c>
      <c r="G63" s="668"/>
      <c r="H63" s="57"/>
      <c r="I63" s="57"/>
      <c r="J63" s="295"/>
      <c r="K63" s="25"/>
      <c r="L63" s="296"/>
      <c r="M63" s="640"/>
      <c r="N63" s="297"/>
    </row>
    <row r="64" spans="2:14" x14ac:dyDescent="0.25">
      <c r="B64" s="653"/>
      <c r="C64" s="647" t="s">
        <v>30</v>
      </c>
      <c r="D64" s="647"/>
      <c r="E64" s="30">
        <f>IF($M$10=BASE!$Z$2,BASE!AB5,IF($M$10=BASE!$AC$2,BASE!AE5,IF($M$10=BASE!$AF$2,BASE!AH5,IF($M$10=BASE!$AI$2,BASE!AK5,BASE!AN5))))</f>
        <v>0</v>
      </c>
      <c r="F64" s="221">
        <f>($F$73*E64)</f>
        <v>0</v>
      </c>
      <c r="G64" s="668"/>
      <c r="H64" s="57"/>
      <c r="I64" s="57"/>
      <c r="J64" s="295"/>
      <c r="K64" s="25"/>
      <c r="L64" s="296"/>
      <c r="M64" s="297"/>
      <c r="N64" s="297"/>
    </row>
    <row r="65" spans="2:14" x14ac:dyDescent="0.25">
      <c r="B65" s="653"/>
      <c r="C65" s="647"/>
      <c r="D65" s="647"/>
      <c r="E65" s="30"/>
      <c r="F65" s="46"/>
      <c r="G65" s="668"/>
      <c r="H65" s="57"/>
      <c r="I65" s="57"/>
      <c r="J65" s="295"/>
      <c r="K65" s="25"/>
      <c r="L65" s="296"/>
      <c r="M65" s="297"/>
      <c r="N65" s="297"/>
    </row>
    <row r="66" spans="2:14" x14ac:dyDescent="0.25">
      <c r="B66" s="653"/>
      <c r="C66" s="647"/>
      <c r="D66" s="647"/>
      <c r="E66" s="30"/>
      <c r="F66" s="46"/>
      <c r="G66" s="668"/>
      <c r="H66" s="57"/>
      <c r="I66" s="57"/>
      <c r="J66" s="295"/>
      <c r="K66" s="25"/>
      <c r="L66" s="296"/>
      <c r="M66" s="297"/>
      <c r="N66" s="297"/>
    </row>
    <row r="67" spans="2:14" x14ac:dyDescent="0.25">
      <c r="B67" s="653"/>
      <c r="C67" s="647"/>
      <c r="D67" s="647"/>
      <c r="E67" s="31"/>
      <c r="F67" s="184"/>
      <c r="G67" s="668"/>
      <c r="H67" s="57"/>
      <c r="I67" s="57"/>
      <c r="J67" s="295"/>
      <c r="K67" s="25"/>
      <c r="L67" s="296"/>
      <c r="M67" s="297"/>
      <c r="N67" s="297"/>
    </row>
    <row r="68" spans="2:14" x14ac:dyDescent="0.25">
      <c r="B68" s="653"/>
      <c r="C68" s="661" t="s">
        <v>58</v>
      </c>
      <c r="D68" s="661"/>
      <c r="E68" s="661"/>
      <c r="F68" s="202">
        <f>IF($D$9="NÃO",(F60/(100%-SUM(E61:E66))),(F60/(100%-SUM(E61:E66,E69))))</f>
        <v>9430.4315108754654</v>
      </c>
      <c r="G68" s="668"/>
      <c r="H68" s="57"/>
      <c r="I68" s="57"/>
      <c r="J68" s="295"/>
      <c r="K68" s="25">
        <f>M62/M46</f>
        <v>0.93683124245615057</v>
      </c>
      <c r="L68" s="296"/>
      <c r="M68" s="297"/>
      <c r="N68" s="297"/>
    </row>
    <row r="69" spans="2:14" x14ac:dyDescent="0.25">
      <c r="B69" s="653"/>
      <c r="C69" s="709" t="s">
        <v>59</v>
      </c>
      <c r="D69" s="709"/>
      <c r="E69" s="81">
        <v>0</v>
      </c>
      <c r="F69" s="184">
        <f>(F70*(1+E69))-F70</f>
        <v>0</v>
      </c>
      <c r="G69" s="668"/>
      <c r="H69" s="57"/>
      <c r="I69" s="57"/>
      <c r="J69" s="295"/>
      <c r="K69" s="25"/>
      <c r="L69" s="296"/>
      <c r="M69" s="297"/>
      <c r="N69" s="297"/>
    </row>
    <row r="70" spans="2:14" x14ac:dyDescent="0.25">
      <c r="B70" s="707" t="s">
        <v>60</v>
      </c>
      <c r="C70" s="707"/>
      <c r="D70" s="707"/>
      <c r="E70" s="707"/>
      <c r="F70" s="212">
        <f>IF(E69=I120,F73,IF(E69=I121,L121,IF(E69=I122,L122,L123)))</f>
        <v>9430.4315108754654</v>
      </c>
      <c r="G70" s="668"/>
      <c r="H70" s="57"/>
      <c r="I70" s="57"/>
      <c r="J70" s="295"/>
      <c r="K70" s="25"/>
      <c r="L70" s="296"/>
      <c r="M70" s="297"/>
      <c r="N70" s="297"/>
    </row>
    <row r="71" spans="2:14" x14ac:dyDescent="0.25">
      <c r="B71" s="708" t="s">
        <v>61</v>
      </c>
      <c r="C71" s="708"/>
      <c r="D71" s="708"/>
      <c r="E71" s="82" t="s">
        <v>11</v>
      </c>
      <c r="F71" s="50">
        <f>MateriaisPainel[[#Totals],[TOTAL ICMS $]]</f>
        <v>852</v>
      </c>
      <c r="G71" s="668"/>
      <c r="H71" s="57"/>
      <c r="I71" s="57"/>
      <c r="J71" s="295"/>
      <c r="K71" s="25"/>
      <c r="L71" s="296"/>
      <c r="M71" s="297"/>
      <c r="N71" s="297"/>
    </row>
    <row r="72" spans="2:14" x14ac:dyDescent="0.25">
      <c r="B72" s="708" t="s">
        <v>62</v>
      </c>
      <c r="C72" s="708"/>
      <c r="D72" s="708"/>
      <c r="E72" s="82" t="s">
        <v>11</v>
      </c>
      <c r="F72" s="50">
        <f>MateriaisPainel[[#Totals],[TOTAL C/ IPI]]-MateriaisPainel[[#Totals],[TOTAL S/ IPI]]</f>
        <v>461.5</v>
      </c>
      <c r="G72" s="668"/>
      <c r="H72" s="57"/>
      <c r="I72" s="57"/>
      <c r="J72" s="295"/>
      <c r="K72" s="25"/>
      <c r="L72" s="296"/>
      <c r="M72" s="297"/>
      <c r="N72" s="297"/>
    </row>
    <row r="73" spans="2:14" x14ac:dyDescent="0.25">
      <c r="B73" s="710" t="s">
        <v>66</v>
      </c>
      <c r="C73" s="710"/>
      <c r="D73" s="710"/>
      <c r="E73" s="710"/>
      <c r="F73" s="213">
        <f>IF($D$9="NÃO",F68+(E69*F68),F68)</f>
        <v>9430.4315108754654</v>
      </c>
      <c r="G73" s="668"/>
      <c r="H73" s="302"/>
      <c r="I73" s="302"/>
      <c r="J73" s="302"/>
      <c r="K73" s="302"/>
      <c r="L73" s="297"/>
      <c r="M73" s="297"/>
      <c r="N73" s="297"/>
    </row>
    <row r="74" spans="2:14" ht="12" thickBot="1" x14ac:dyDescent="0.3">
      <c r="H74" s="25"/>
      <c r="I74" s="25"/>
      <c r="J74" s="25"/>
      <c r="K74" s="25"/>
      <c r="L74" s="25"/>
      <c r="M74" s="57"/>
      <c r="N74" s="57"/>
    </row>
    <row r="75" spans="2:14" x14ac:dyDescent="0.25">
      <c r="B75" s="188" t="s">
        <v>67</v>
      </c>
      <c r="C75" s="291">
        <v>45260</v>
      </c>
      <c r="D75" s="189"/>
      <c r="E75" s="189"/>
      <c r="F75" s="189"/>
      <c r="G75" s="189"/>
      <c r="H75" s="189"/>
      <c r="I75" s="189"/>
      <c r="J75" s="189"/>
      <c r="K75" s="189"/>
      <c r="L75" s="189"/>
      <c r="M75" s="190"/>
      <c r="N75" s="191"/>
    </row>
    <row r="76" spans="2:14" x14ac:dyDescent="0.25">
      <c r="B76" s="192"/>
      <c r="C76" s="25"/>
      <c r="D76" s="25"/>
      <c r="E76" s="25"/>
      <c r="F76" s="218"/>
      <c r="G76" s="284"/>
      <c r="H76" s="25"/>
      <c r="I76" s="25"/>
      <c r="J76" s="25"/>
      <c r="K76" s="25"/>
      <c r="L76" s="25"/>
      <c r="M76" s="57"/>
      <c r="N76" s="193"/>
    </row>
    <row r="77" spans="2:14" x14ac:dyDescent="0.25">
      <c r="B77" s="192"/>
      <c r="C77" s="25"/>
      <c r="D77" s="25"/>
      <c r="E77" s="25"/>
      <c r="F77" s="218"/>
      <c r="G77" s="284"/>
      <c r="H77" s="25"/>
      <c r="I77" s="25"/>
      <c r="J77" s="25"/>
      <c r="K77" s="25"/>
      <c r="L77" s="25"/>
      <c r="M77" s="57"/>
      <c r="N77" s="193"/>
    </row>
    <row r="78" spans="2:14" x14ac:dyDescent="0.25">
      <c r="B78" s="192"/>
      <c r="C78" s="25"/>
      <c r="D78" s="25"/>
      <c r="E78" s="219"/>
      <c r="F78" s="218"/>
      <c r="G78" s="218"/>
      <c r="H78" s="25"/>
      <c r="I78" s="25"/>
      <c r="J78" s="57"/>
      <c r="K78" s="57"/>
      <c r="L78" s="25"/>
      <c r="M78" s="57"/>
      <c r="N78" s="193"/>
    </row>
    <row r="79" spans="2:14" x14ac:dyDescent="0.25">
      <c r="B79" s="192"/>
      <c r="C79" s="25"/>
      <c r="D79" s="25"/>
      <c r="E79" s="281"/>
      <c r="F79" s="218"/>
      <c r="G79" s="218"/>
      <c r="H79" s="283"/>
      <c r="I79" s="282"/>
      <c r="J79" s="58"/>
      <c r="K79" s="58"/>
      <c r="L79" s="25"/>
      <c r="M79" s="57"/>
      <c r="N79" s="193"/>
    </row>
    <row r="80" spans="2:14" x14ac:dyDescent="0.25">
      <c r="B80" s="192"/>
      <c r="C80" s="25"/>
      <c r="D80" s="25"/>
      <c r="E80" s="281"/>
      <c r="F80" s="218"/>
      <c r="G80" s="218"/>
      <c r="H80" s="283"/>
      <c r="I80" s="282"/>
      <c r="J80" s="57"/>
      <c r="K80" s="57"/>
      <c r="L80" s="25"/>
      <c r="M80" s="57"/>
      <c r="N80" s="193"/>
    </row>
    <row r="81" spans="1:14" x14ac:dyDescent="0.25">
      <c r="B81" s="192"/>
      <c r="C81" s="25"/>
      <c r="D81" s="25"/>
      <c r="E81" s="219"/>
      <c r="F81" s="218"/>
      <c r="G81" s="218"/>
      <c r="H81" s="283"/>
      <c r="I81" s="282"/>
      <c r="J81" s="59"/>
      <c r="K81" s="57"/>
      <c r="L81" s="25"/>
      <c r="M81" s="57"/>
      <c r="N81" s="193"/>
    </row>
    <row r="82" spans="1:14" x14ac:dyDescent="0.25">
      <c r="B82" s="192"/>
      <c r="C82" s="25"/>
      <c r="D82" s="25"/>
      <c r="E82" s="25"/>
      <c r="F82" s="25"/>
      <c r="G82" s="25"/>
      <c r="H82" s="25"/>
      <c r="I82" s="218"/>
      <c r="J82" s="25"/>
      <c r="K82" s="25"/>
      <c r="L82" s="25"/>
      <c r="M82" s="57"/>
      <c r="N82" s="193"/>
    </row>
    <row r="83" spans="1:14" x14ac:dyDescent="0.25">
      <c r="B83" s="192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57"/>
      <c r="N83" s="193"/>
    </row>
    <row r="84" spans="1:14" x14ac:dyDescent="0.25">
      <c r="B84" s="19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57"/>
      <c r="N84" s="193"/>
    </row>
    <row r="85" spans="1:14" x14ac:dyDescent="0.25">
      <c r="B85" s="192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57"/>
      <c r="N85" s="193"/>
    </row>
    <row r="86" spans="1:14" x14ac:dyDescent="0.25">
      <c r="B86" s="192"/>
      <c r="C86" s="25"/>
      <c r="D86" s="25"/>
      <c r="E86" s="25"/>
      <c r="F86" s="25"/>
      <c r="G86" s="92"/>
      <c r="H86" s="25"/>
      <c r="I86" s="25"/>
      <c r="J86" s="25"/>
      <c r="K86" s="25"/>
      <c r="L86" s="25"/>
      <c r="M86" s="57"/>
      <c r="N86" s="193"/>
    </row>
    <row r="87" spans="1:14" x14ac:dyDescent="0.25">
      <c r="B87" s="192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57"/>
      <c r="N87" s="193"/>
    </row>
    <row r="88" spans="1:14" x14ac:dyDescent="0.25">
      <c r="B88" s="192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57"/>
      <c r="N88" s="193"/>
    </row>
    <row r="89" spans="1:14" x14ac:dyDescent="0.25">
      <c r="B89" s="192"/>
      <c r="C89" s="25"/>
      <c r="D89" s="25"/>
      <c r="E89" s="25"/>
      <c r="F89" s="25"/>
      <c r="G89" s="25"/>
      <c r="H89" s="25"/>
      <c r="I89" s="92"/>
      <c r="J89" s="25"/>
      <c r="K89" s="25"/>
      <c r="L89" s="25"/>
      <c r="M89" s="57"/>
      <c r="N89" s="193"/>
    </row>
    <row r="90" spans="1:14" x14ac:dyDescent="0.25">
      <c r="B90" s="192"/>
      <c r="C90" s="25"/>
      <c r="D90" s="25"/>
      <c r="E90" s="25"/>
      <c r="F90" s="25"/>
      <c r="G90" s="25"/>
      <c r="H90" s="25"/>
      <c r="I90" s="25"/>
      <c r="J90" s="60"/>
      <c r="K90" s="25"/>
      <c r="L90" s="25"/>
      <c r="M90" s="57"/>
      <c r="N90" s="193"/>
    </row>
    <row r="91" spans="1:14" x14ac:dyDescent="0.25">
      <c r="B91" s="192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57"/>
      <c r="N91" s="193"/>
    </row>
    <row r="92" spans="1:14" ht="12" thickBot="1" x14ac:dyDescent="0.3">
      <c r="B92" s="194"/>
      <c r="C92" s="186"/>
      <c r="D92" s="186"/>
      <c r="E92" s="186"/>
      <c r="F92" s="186"/>
      <c r="G92" s="186"/>
      <c r="H92" s="186"/>
      <c r="I92" s="185"/>
      <c r="J92" s="186"/>
      <c r="K92" s="186"/>
      <c r="L92" s="186"/>
      <c r="M92" s="187"/>
      <c r="N92" s="195"/>
    </row>
    <row r="93" spans="1:14" ht="12" thickBot="1" x14ac:dyDescent="0.3">
      <c r="I93" s="35"/>
    </row>
    <row r="94" spans="1:14" x14ac:dyDescent="0.25">
      <c r="A94" s="3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83"/>
    </row>
    <row r="95" spans="1:14" ht="14" x14ac:dyDescent="0.25">
      <c r="B95" s="9"/>
      <c r="C95" s="9"/>
      <c r="D95" s="9"/>
      <c r="E95" s="9"/>
      <c r="F95" s="9"/>
      <c r="G95" s="9"/>
      <c r="H95" s="9"/>
      <c r="I95" s="9"/>
      <c r="J95" s="53"/>
      <c r="K95" s="36"/>
      <c r="L95" s="28"/>
      <c r="M95" s="84"/>
    </row>
    <row r="96" spans="1:14" ht="14" x14ac:dyDescent="0.25">
      <c r="B96" s="9"/>
      <c r="C96" s="9"/>
      <c r="D96" s="9"/>
      <c r="E96" s="705" t="s">
        <v>68</v>
      </c>
      <c r="F96" s="705"/>
      <c r="G96" s="705"/>
      <c r="H96" s="705"/>
      <c r="I96" s="705"/>
      <c r="J96" s="705"/>
      <c r="K96" s="705"/>
      <c r="L96" s="705"/>
      <c r="M96" s="84"/>
    </row>
    <row r="97" spans="1:13" x14ac:dyDescent="0.25">
      <c r="B97" s="9"/>
      <c r="C97" s="9"/>
      <c r="D97" s="9"/>
      <c r="E97" s="705"/>
      <c r="F97" s="705"/>
      <c r="G97" s="705"/>
      <c r="H97" s="705"/>
      <c r="I97" s="705"/>
      <c r="J97" s="705"/>
      <c r="K97" s="705"/>
      <c r="L97" s="705"/>
      <c r="M97" s="85"/>
    </row>
    <row r="98" spans="1:13" ht="14" x14ac:dyDescent="0.25">
      <c r="A98" s="42"/>
      <c r="B98" s="54"/>
      <c r="C98" s="54"/>
      <c r="D98" s="54"/>
      <c r="E98" s="705"/>
      <c r="F98" s="705"/>
      <c r="G98" s="705"/>
      <c r="H98" s="705"/>
      <c r="I98" s="705"/>
      <c r="J98" s="705"/>
      <c r="K98" s="705"/>
      <c r="L98" s="705"/>
      <c r="M98" s="86"/>
    </row>
    <row r="99" spans="1:13" ht="14" x14ac:dyDescent="0.25">
      <c r="A99" s="42"/>
      <c r="B99" s="56"/>
      <c r="C99" s="56"/>
      <c r="D99" s="56"/>
      <c r="E99" s="705"/>
      <c r="F99" s="705"/>
      <c r="G99" s="705"/>
      <c r="H99" s="705"/>
      <c r="I99" s="705"/>
      <c r="J99" s="705"/>
      <c r="K99" s="705"/>
      <c r="L99" s="705"/>
      <c r="M99" s="87"/>
    </row>
    <row r="100" spans="1:13" x14ac:dyDescent="0.25">
      <c r="B100" s="6"/>
      <c r="C100" s="6"/>
      <c r="D100" s="7"/>
      <c r="E100" s="7"/>
      <c r="F100" s="6"/>
      <c r="G100" s="6"/>
      <c r="H100" s="6"/>
      <c r="M100" s="88"/>
    </row>
    <row r="101" spans="1:13" x14ac:dyDescent="0.25">
      <c r="B101" s="6"/>
      <c r="C101" s="6"/>
      <c r="D101" s="6"/>
      <c r="E101" s="6"/>
      <c r="F101" s="6"/>
      <c r="G101" s="4"/>
      <c r="H101" s="4"/>
      <c r="I101" s="29"/>
      <c r="M101" s="88"/>
    </row>
    <row r="102" spans="1:13" x14ac:dyDescent="0.25">
      <c r="M102" s="88"/>
    </row>
    <row r="103" spans="1:13" x14ac:dyDescent="0.25">
      <c r="M103" s="88"/>
    </row>
    <row r="104" spans="1:13" ht="15.5" x14ac:dyDescent="0.25">
      <c r="B104" s="706" t="s">
        <v>38</v>
      </c>
      <c r="C104" s="706"/>
      <c r="D104" s="706"/>
      <c r="E104" s="47" t="s">
        <v>69</v>
      </c>
      <c r="F104" s="48" t="s">
        <v>70</v>
      </c>
      <c r="I104" s="5"/>
      <c r="J104" s="64" t="s">
        <v>71</v>
      </c>
      <c r="K104" s="64" t="s">
        <v>72</v>
      </c>
      <c r="L104" s="64" t="s">
        <v>73</v>
      </c>
      <c r="M104" s="88"/>
    </row>
    <row r="105" spans="1:13" ht="12.5" x14ac:dyDescent="0.25">
      <c r="B105" s="642" t="s">
        <v>74</v>
      </c>
      <c r="C105" s="642"/>
      <c r="D105" s="642"/>
      <c r="E105" s="44">
        <f>ServInt[[#Totals],[TOTAL]]</f>
        <v>14687.999999999998</v>
      </c>
      <c r="F105" s="46">
        <f>ServInt[[#Totals],[TOTAL3]]</f>
        <v>21927.633096311387</v>
      </c>
      <c r="I105" s="5"/>
      <c r="J105" s="73" t="s">
        <v>75</v>
      </c>
      <c r="K105" s="65">
        <f>SUM(E105:E111)</f>
        <v>819391.60000000009</v>
      </c>
      <c r="L105" s="65">
        <f>SUM(F105:F111)</f>
        <v>1042201.6642850924</v>
      </c>
      <c r="M105" s="88"/>
    </row>
    <row r="106" spans="1:13" ht="12.5" x14ac:dyDescent="0.25">
      <c r="B106" s="642" t="s">
        <v>76</v>
      </c>
      <c r="C106" s="642"/>
      <c r="D106" s="642"/>
      <c r="E106" s="44">
        <f>ServExt[[#Totals],[TOTAL]]</f>
        <v>82800</v>
      </c>
      <c r="F106" s="46">
        <f>ServExt[[#Totals],[TOTAL3]]</f>
        <v>123611.65716057892</v>
      </c>
      <c r="I106" s="5"/>
      <c r="J106" s="73" t="s">
        <v>77</v>
      </c>
      <c r="K106" s="75">
        <f>L105-K105</f>
        <v>222810.06428509229</v>
      </c>
      <c r="L106" s="66">
        <f>K106/L105</f>
        <v>0.21378786075718931</v>
      </c>
      <c r="M106" s="88"/>
    </row>
    <row r="107" spans="1:13" ht="12.5" x14ac:dyDescent="0.25">
      <c r="B107" s="642" t="s">
        <v>78</v>
      </c>
      <c r="C107" s="642"/>
      <c r="D107" s="642"/>
      <c r="E107" s="45">
        <f>K14</f>
        <v>44884</v>
      </c>
      <c r="F107" s="46">
        <f>L14</f>
        <v>74620.834197033531</v>
      </c>
      <c r="I107" s="5"/>
      <c r="J107" s="71" t="s">
        <v>13</v>
      </c>
      <c r="K107" s="46">
        <f>L107*L105</f>
        <v>133075.08304907181</v>
      </c>
      <c r="L107" s="72">
        <f>K106/L105-BASE!$Q$31-BASE!$Q$34</f>
        <v>0.12768650023252059</v>
      </c>
      <c r="M107" s="88"/>
    </row>
    <row r="108" spans="1:13" ht="12.5" x14ac:dyDescent="0.25">
      <c r="B108" s="642" t="s">
        <v>79</v>
      </c>
      <c r="C108" s="642"/>
      <c r="D108" s="642"/>
      <c r="E108" s="44">
        <f>ServInt10[[#Totals],[TOTAL]]</f>
        <v>0</v>
      </c>
      <c r="F108" s="46">
        <f>ServInt10[[#Totals],[TOTAL3]]</f>
        <v>0</v>
      </c>
      <c r="I108" s="5"/>
      <c r="J108" s="5"/>
      <c r="K108" s="33"/>
      <c r="L108" s="93"/>
      <c r="M108" s="88"/>
    </row>
    <row r="109" spans="1:13" ht="12.5" x14ac:dyDescent="0.25">
      <c r="B109" s="642" t="s">
        <v>80</v>
      </c>
      <c r="C109" s="642"/>
      <c r="D109" s="642"/>
      <c r="E109" s="44">
        <f>ServExt8[[#Totals],[TOTAL]]</f>
        <v>269517.60000000003</v>
      </c>
      <c r="F109" s="46">
        <f>ServExt8[[#Totals],[TOTAL3]]</f>
        <v>338123.27189192385</v>
      </c>
      <c r="I109" s="5"/>
      <c r="J109" s="5"/>
      <c r="K109" s="33"/>
      <c r="L109" s="93"/>
      <c r="M109" s="88"/>
    </row>
    <row r="110" spans="1:13" ht="12.5" x14ac:dyDescent="0.25">
      <c r="B110" s="642" t="s">
        <v>81</v>
      </c>
      <c r="C110" s="642"/>
      <c r="D110" s="642"/>
      <c r="E110" s="45">
        <f>K24</f>
        <v>229642</v>
      </c>
      <c r="F110" s="45">
        <f>L24</f>
        <v>288097.34282215766</v>
      </c>
      <c r="I110" s="5"/>
      <c r="J110" s="5"/>
      <c r="K110" s="5"/>
      <c r="L110" s="5"/>
      <c r="M110" s="88"/>
    </row>
    <row r="111" spans="1:13" ht="12.5" x14ac:dyDescent="0.25">
      <c r="B111" s="642" t="s">
        <v>82</v>
      </c>
      <c r="C111" s="642"/>
      <c r="D111" s="642"/>
      <c r="E111" s="44">
        <f>ServTerc[[#Totals],[TOTAL CUSTO]]</f>
        <v>177860</v>
      </c>
      <c r="F111" s="46">
        <f>ServTerc[[#Totals],[TOTAL VENDA]]</f>
        <v>195820.92511708691</v>
      </c>
      <c r="I111" s="5"/>
      <c r="J111" s="67" t="s">
        <v>83</v>
      </c>
      <c r="K111" s="68">
        <f>SUM(E112:E113)</f>
        <v>168909.94563508069</v>
      </c>
      <c r="L111" s="68">
        <f>SUM(F112:F113)</f>
        <v>211905.95149712096</v>
      </c>
      <c r="M111" s="88"/>
    </row>
    <row r="112" spans="1:13" ht="12.5" x14ac:dyDescent="0.25">
      <c r="B112" s="642" t="s">
        <v>84</v>
      </c>
      <c r="C112" s="642"/>
      <c r="D112" s="642"/>
      <c r="E112" s="49">
        <f>MateriaisCampo[[#Totals],[TOT CUSTO]]</f>
        <v>162990.32063508069</v>
      </c>
      <c r="F112" s="50">
        <f>MateriaisCampo[[#Totals],[VENDA]]</f>
        <v>204479.48668230654</v>
      </c>
      <c r="I112" s="5"/>
      <c r="J112" s="67" t="s">
        <v>85</v>
      </c>
      <c r="K112" s="74">
        <f>L111-K111</f>
        <v>42996.005862040271</v>
      </c>
      <c r="L112" s="70">
        <f>K112/L111-BASE!Q37</f>
        <v>0.19290136052466855</v>
      </c>
      <c r="M112" s="88"/>
    </row>
    <row r="113" spans="2:13" ht="12.5" x14ac:dyDescent="0.25">
      <c r="B113" s="642" t="s">
        <v>86</v>
      </c>
      <c r="C113" s="642"/>
      <c r="D113" s="642"/>
      <c r="E113" s="50">
        <f>MateriaisPainel[[#Totals],[TOT CUSTO]]</f>
        <v>5919.625</v>
      </c>
      <c r="F113" s="51">
        <f>MateriaisPainel[[#Totals],[VENDA]]</f>
        <v>7426.4648148144288</v>
      </c>
      <c r="I113" s="5"/>
      <c r="J113" s="67" t="s">
        <v>87</v>
      </c>
      <c r="K113" s="69">
        <f>L111*L113</f>
        <v>22631.55561989249</v>
      </c>
      <c r="L113" s="70">
        <f>K112/L111-BASE!Q31-BASE!Q37</f>
        <v>0.10679999999999987</v>
      </c>
      <c r="M113" s="88"/>
    </row>
    <row r="114" spans="2:13" ht="12.5" x14ac:dyDescent="0.25">
      <c r="B114" s="642" t="s">
        <v>88</v>
      </c>
      <c r="C114" s="642"/>
      <c r="D114" s="642"/>
      <c r="E114" s="50">
        <f>F118*1%</f>
        <v>12541.076157822134</v>
      </c>
      <c r="F114" s="51">
        <v>0</v>
      </c>
      <c r="I114" s="5"/>
      <c r="J114" s="222"/>
      <c r="K114" s="223"/>
      <c r="L114" s="224"/>
      <c r="M114" s="88"/>
    </row>
    <row r="115" spans="2:13" ht="12.5" x14ac:dyDescent="0.25">
      <c r="B115" s="642" t="s">
        <v>89</v>
      </c>
      <c r="C115" s="642"/>
      <c r="D115" s="642"/>
      <c r="E115" s="50">
        <f>$F$118*G8</f>
        <v>0</v>
      </c>
      <c r="F115" s="51">
        <v>0</v>
      </c>
      <c r="I115" s="5"/>
      <c r="J115" s="222"/>
      <c r="K115" s="223"/>
      <c r="L115" s="224"/>
      <c r="M115" s="88"/>
    </row>
    <row r="116" spans="2:13" ht="12.5" x14ac:dyDescent="0.25">
      <c r="B116" s="642" t="s">
        <v>90</v>
      </c>
      <c r="C116" s="642"/>
      <c r="D116" s="642"/>
      <c r="E116" s="50">
        <f>$F$118*G9</f>
        <v>0</v>
      </c>
      <c r="F116" s="51">
        <v>0</v>
      </c>
      <c r="I116" s="5"/>
      <c r="J116" s="222"/>
      <c r="K116" s="223"/>
      <c r="L116" s="224"/>
      <c r="M116" s="88"/>
    </row>
    <row r="117" spans="2:13" ht="12.5" x14ac:dyDescent="0.25">
      <c r="B117" s="642" t="s">
        <v>91</v>
      </c>
      <c r="C117" s="642"/>
      <c r="D117" s="642"/>
      <c r="E117" s="50">
        <f>SUM(E105:E116)*BASE!V28</f>
        <v>23952.724234583176</v>
      </c>
      <c r="F117" s="51">
        <v>0</v>
      </c>
      <c r="G117" s="335"/>
      <c r="I117" s="5"/>
      <c r="J117" s="5"/>
      <c r="K117" s="5"/>
      <c r="M117" s="88"/>
    </row>
    <row r="118" spans="2:13" x14ac:dyDescent="0.25">
      <c r="B118" s="712" t="s">
        <v>92</v>
      </c>
      <c r="C118" s="712"/>
      <c r="D118" s="712"/>
      <c r="E118" s="52">
        <f>SUM(E105:E117)</f>
        <v>1024795.3460274861</v>
      </c>
      <c r="F118" s="52">
        <f>SUM(F105:F113)</f>
        <v>1254107.6157822134</v>
      </c>
      <c r="I118" s="5"/>
      <c r="J118" s="5"/>
      <c r="K118" s="5"/>
      <c r="M118" s="88"/>
    </row>
    <row r="119" spans="2:13" x14ac:dyDescent="0.25">
      <c r="I119" s="280" t="s">
        <v>93</v>
      </c>
      <c r="J119" s="280" t="s">
        <v>94</v>
      </c>
      <c r="K119" s="280" t="s">
        <v>95</v>
      </c>
      <c r="L119" s="280" t="s">
        <v>96</v>
      </c>
      <c r="M119" s="88"/>
    </row>
    <row r="120" spans="2:13" ht="15.5" x14ac:dyDescent="0.25">
      <c r="B120" s="706" t="s">
        <v>97</v>
      </c>
      <c r="C120" s="706"/>
      <c r="D120" s="706"/>
      <c r="E120" s="706"/>
      <c r="F120" s="272" t="s">
        <v>98</v>
      </c>
      <c r="I120" s="285">
        <v>0</v>
      </c>
      <c r="J120" s="286">
        <v>0</v>
      </c>
      <c r="K120" s="287">
        <f>IF($D$9="NÃO",$F$53,IF($E$54=0%,0,0))</f>
        <v>0</v>
      </c>
      <c r="L120" s="287">
        <f>IF($D$9="NÃO",$F$68,IF($E$69=0%,0,0))</f>
        <v>0</v>
      </c>
      <c r="M120" s="88"/>
    </row>
    <row r="121" spans="2:13" ht="12.5" x14ac:dyDescent="0.25">
      <c r="B121" s="642" t="s">
        <v>99</v>
      </c>
      <c r="C121" s="642"/>
      <c r="D121" s="642"/>
      <c r="E121" s="642"/>
      <c r="F121" s="61">
        <f>F61+F46</f>
        <v>32290.430704323193</v>
      </c>
      <c r="I121" s="285">
        <v>0.15</v>
      </c>
      <c r="J121" s="286">
        <v>0.13043478260869559</v>
      </c>
      <c r="K121" s="287">
        <f>IF($D$9="NÃO",$F$53,IF($E$54=15%,($F$58-($F$58*J121)),0))</f>
        <v>0</v>
      </c>
      <c r="L121" s="287">
        <f>IF($D$9="NÃO",$F$68,IF($E$69=15%,($F$73-($F$73*J121)),0))</f>
        <v>0</v>
      </c>
      <c r="M121" s="88"/>
    </row>
    <row r="122" spans="2:13" ht="12.5" x14ac:dyDescent="0.25">
      <c r="B122" s="642" t="s">
        <v>93</v>
      </c>
      <c r="C122" s="642"/>
      <c r="D122" s="642"/>
      <c r="E122" s="642"/>
      <c r="F122" s="62">
        <f>F69+F54</f>
        <v>0</v>
      </c>
      <c r="I122" s="285">
        <v>0.1125</v>
      </c>
      <c r="J122" s="286">
        <v>0.101123595505618</v>
      </c>
      <c r="K122" s="287">
        <f>IF($D$9="NÃO",$F$53,IF($E$54=11.25%,($F$58-($F$58*J122)),0))</f>
        <v>0</v>
      </c>
      <c r="L122" s="287">
        <f>IF($D$9="NÃO",$F$68,IF($E$69=11.25%,($F$73-($F$73*J122)),0))</f>
        <v>0</v>
      </c>
      <c r="M122" s="88"/>
    </row>
    <row r="123" spans="2:13" ht="12.5" x14ac:dyDescent="0.25">
      <c r="B123" s="642" t="s">
        <v>100</v>
      </c>
      <c r="C123" s="642"/>
      <c r="D123" s="642"/>
      <c r="E123" s="642"/>
      <c r="F123" s="61">
        <f>F62+F47+F35+F25+L15+F15+L25</f>
        <v>23864.61370837174</v>
      </c>
      <c r="I123" s="285">
        <v>9.7500000000000003E-2</v>
      </c>
      <c r="J123" s="286">
        <v>8.8838268792710659E-2</v>
      </c>
      <c r="K123" s="287">
        <f>IF($D$9="NÃO",$F$53,IF($E$54=9.75%,($F$58-($F$58*J123)),0))</f>
        <v>0</v>
      </c>
      <c r="L123" s="287">
        <f>IF($D$9="NÃO",$F$68,IF($E$69=9.75%,($F$73-($F$73*J123)),0))</f>
        <v>0</v>
      </c>
      <c r="M123" s="88"/>
    </row>
    <row r="124" spans="2:13" ht="12.5" x14ac:dyDescent="0.25">
      <c r="B124" s="642" t="s">
        <v>101</v>
      </c>
      <c r="C124" s="642"/>
      <c r="D124" s="642"/>
      <c r="E124" s="642"/>
      <c r="F124" s="61">
        <f>F63+F48+F36+F26+L16+F16+L26</f>
        <v>109921.85708098498</v>
      </c>
      <c r="M124" s="88"/>
    </row>
    <row r="125" spans="2:13" ht="12.5" x14ac:dyDescent="0.25">
      <c r="B125" s="642" t="s">
        <v>102</v>
      </c>
      <c r="C125" s="642"/>
      <c r="D125" s="642"/>
      <c r="E125" s="642"/>
      <c r="F125" s="61">
        <f>F18+L18+F28+F38+F50+F65</f>
        <v>16383.614334099813</v>
      </c>
      <c r="M125" s="88"/>
    </row>
    <row r="126" spans="2:13" ht="12.5" x14ac:dyDescent="0.25">
      <c r="B126" s="642" t="s">
        <v>103</v>
      </c>
      <c r="C126" s="642"/>
      <c r="D126" s="642"/>
      <c r="E126" s="642"/>
      <c r="F126" s="61">
        <f>F19+L19+F29+F39+F51+F66</f>
        <v>0</v>
      </c>
      <c r="M126" s="88"/>
    </row>
    <row r="127" spans="2:13" ht="12.5" x14ac:dyDescent="0.25">
      <c r="B127" s="642" t="s">
        <v>104</v>
      </c>
      <c r="C127" s="642"/>
      <c r="D127" s="642"/>
      <c r="E127" s="642"/>
      <c r="F127" s="61">
        <f>F20+L20+F30+F40+F52+F67</f>
        <v>0</v>
      </c>
      <c r="M127" s="88"/>
    </row>
    <row r="128" spans="2:13" ht="12.5" x14ac:dyDescent="0.25">
      <c r="B128" s="642" t="s">
        <v>105</v>
      </c>
      <c r="C128" s="642"/>
      <c r="D128" s="642"/>
      <c r="E128" s="642"/>
      <c r="F128" s="46">
        <f>F37+F27+L17+F17+L28</f>
        <v>6492.3344861331307</v>
      </c>
      <c r="M128" s="88"/>
    </row>
    <row r="129" spans="1:13" x14ac:dyDescent="0.25">
      <c r="B129" s="711" t="s">
        <v>92</v>
      </c>
      <c r="C129" s="711"/>
      <c r="D129" s="711"/>
      <c r="E129" s="711"/>
      <c r="F129" s="63">
        <f>SUM(F121:F128)</f>
        <v>188952.85031391284</v>
      </c>
      <c r="M129" s="88"/>
    </row>
    <row r="130" spans="1:13" x14ac:dyDescent="0.25">
      <c r="J130" s="34"/>
      <c r="M130" s="88"/>
    </row>
    <row r="131" spans="1:13" x14ac:dyDescent="0.25">
      <c r="M131" s="88"/>
    </row>
    <row r="132" spans="1:13" x14ac:dyDescent="0.25">
      <c r="M132" s="88"/>
    </row>
    <row r="133" spans="1:13" x14ac:dyDescent="0.25">
      <c r="M133" s="88"/>
    </row>
    <row r="134" spans="1:13" x14ac:dyDescent="0.25">
      <c r="B134" s="711" t="s">
        <v>106</v>
      </c>
      <c r="C134" s="711"/>
      <c r="D134" s="711"/>
      <c r="E134" s="711"/>
      <c r="F134" s="63">
        <f>M40-E118-F129</f>
        <v>232592.02840840362</v>
      </c>
      <c r="G134" s="335">
        <f>F134/M46</f>
        <v>0.12617233368399233</v>
      </c>
      <c r="M134" s="88"/>
    </row>
    <row r="135" spans="1:13" x14ac:dyDescent="0.25">
      <c r="M135" s="88"/>
    </row>
    <row r="136" spans="1:13" x14ac:dyDescent="0.25">
      <c r="M136" s="88"/>
    </row>
    <row r="137" spans="1:13" x14ac:dyDescent="0.25">
      <c r="M137" s="88"/>
    </row>
    <row r="138" spans="1:13" x14ac:dyDescent="0.25">
      <c r="M138" s="88"/>
    </row>
    <row r="139" spans="1:13" x14ac:dyDescent="0.25">
      <c r="M139" s="88"/>
    </row>
    <row r="140" spans="1:13" ht="12" thickBot="1" x14ac:dyDescent="0.3">
      <c r="A140" s="89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1"/>
    </row>
  </sheetData>
  <sheetProtection algorithmName="SHA-512" hashValue="AfRGJV/UtbWLpjEEZMafhhiIu/udSaVb/zEGyEwlXavawBpJoyEYlO1FUppVgHA3yg/uasiDF9mM2od8MFsBrw==" saltValue="7EgABLvACLxoP7ggpIcJGA==" spinCount="100000" sheet="1" objects="1" scenarios="1"/>
  <mergeCells count="146">
    <mergeCell ref="L44:M45"/>
    <mergeCell ref="K7:L7"/>
    <mergeCell ref="B127:E127"/>
    <mergeCell ref="B128:E128"/>
    <mergeCell ref="B129:E129"/>
    <mergeCell ref="B134:E134"/>
    <mergeCell ref="B121:E121"/>
    <mergeCell ref="B122:E122"/>
    <mergeCell ref="B123:E123"/>
    <mergeCell ref="B124:E124"/>
    <mergeCell ref="B125:E125"/>
    <mergeCell ref="B126:E126"/>
    <mergeCell ref="B113:D113"/>
    <mergeCell ref="B114:D114"/>
    <mergeCell ref="B115:D115"/>
    <mergeCell ref="B116:D116"/>
    <mergeCell ref="B118:D118"/>
    <mergeCell ref="B120:E120"/>
    <mergeCell ref="B107:D107"/>
    <mergeCell ref="B108:D108"/>
    <mergeCell ref="B109:D109"/>
    <mergeCell ref="B110:D110"/>
    <mergeCell ref="B111:D111"/>
    <mergeCell ref="B112:D112"/>
    <mergeCell ref="E96:L99"/>
    <mergeCell ref="B104:D104"/>
    <mergeCell ref="B105:D105"/>
    <mergeCell ref="B106:D106"/>
    <mergeCell ref="B70:E70"/>
    <mergeCell ref="B71:D71"/>
    <mergeCell ref="B72:D72"/>
    <mergeCell ref="B59:D60"/>
    <mergeCell ref="G59:G73"/>
    <mergeCell ref="B61:B69"/>
    <mergeCell ref="C61:D61"/>
    <mergeCell ref="C62:D62"/>
    <mergeCell ref="C63:D63"/>
    <mergeCell ref="C67:D67"/>
    <mergeCell ref="C68:E68"/>
    <mergeCell ref="C69:D69"/>
    <mergeCell ref="C64:D64"/>
    <mergeCell ref="C65:D65"/>
    <mergeCell ref="C66:D66"/>
    <mergeCell ref="B73:E73"/>
    <mergeCell ref="N35:N42"/>
    <mergeCell ref="C36:D36"/>
    <mergeCell ref="I36:J36"/>
    <mergeCell ref="C37:D37"/>
    <mergeCell ref="I37:J37"/>
    <mergeCell ref="C38:D38"/>
    <mergeCell ref="I38:J38"/>
    <mergeCell ref="C39:D39"/>
    <mergeCell ref="I39:J39"/>
    <mergeCell ref="C40:D40"/>
    <mergeCell ref="L42:M43"/>
    <mergeCell ref="I40:K40"/>
    <mergeCell ref="B41:E41"/>
    <mergeCell ref="I41:K41"/>
    <mergeCell ref="I42:K43"/>
    <mergeCell ref="L41:M41"/>
    <mergeCell ref="B42:E42"/>
    <mergeCell ref="I46:K46"/>
    <mergeCell ref="B44:D45"/>
    <mergeCell ref="G44:G58"/>
    <mergeCell ref="B46:B54"/>
    <mergeCell ref="C46:D46"/>
    <mergeCell ref="C50:D50"/>
    <mergeCell ref="C51:D51"/>
    <mergeCell ref="B57:D57"/>
    <mergeCell ref="B58:E58"/>
    <mergeCell ref="C53:E53"/>
    <mergeCell ref="C54:D54"/>
    <mergeCell ref="B55:E55"/>
    <mergeCell ref="C52:D52"/>
    <mergeCell ref="C47:D47"/>
    <mergeCell ref="C48:D48"/>
    <mergeCell ref="C49:D49"/>
    <mergeCell ref="B56:D56"/>
    <mergeCell ref="I44:K45"/>
    <mergeCell ref="M23:M32"/>
    <mergeCell ref="B25:B30"/>
    <mergeCell ref="C25:D25"/>
    <mergeCell ref="H25:H30"/>
    <mergeCell ref="I25:J25"/>
    <mergeCell ref="C29:D29"/>
    <mergeCell ref="I29:J29"/>
    <mergeCell ref="C30:D30"/>
    <mergeCell ref="I30:J30"/>
    <mergeCell ref="B31:E31"/>
    <mergeCell ref="H31:K31"/>
    <mergeCell ref="C26:D26"/>
    <mergeCell ref="I26:J26"/>
    <mergeCell ref="C27:D27"/>
    <mergeCell ref="I27:J27"/>
    <mergeCell ref="C28:D28"/>
    <mergeCell ref="I28:J28"/>
    <mergeCell ref="B32:E32"/>
    <mergeCell ref="H32:K32"/>
    <mergeCell ref="M10:M11"/>
    <mergeCell ref="B11:C11"/>
    <mergeCell ref="B13:D14"/>
    <mergeCell ref="G13:G22"/>
    <mergeCell ref="H13:J14"/>
    <mergeCell ref="M13:M22"/>
    <mergeCell ref="B15:B20"/>
    <mergeCell ref="C15:D15"/>
    <mergeCell ref="H15:H20"/>
    <mergeCell ref="I15:J15"/>
    <mergeCell ref="B10:C10"/>
    <mergeCell ref="E10:F11"/>
    <mergeCell ref="G10:G11"/>
    <mergeCell ref="H10:I11"/>
    <mergeCell ref="J10:J11"/>
    <mergeCell ref="K10:L11"/>
    <mergeCell ref="C19:D19"/>
    <mergeCell ref="I19:J19"/>
    <mergeCell ref="C20:D20"/>
    <mergeCell ref="I20:J20"/>
    <mergeCell ref="B21:E21"/>
    <mergeCell ref="H21:K21"/>
    <mergeCell ref="C16:D16"/>
    <mergeCell ref="I16:J16"/>
    <mergeCell ref="B117:D117"/>
    <mergeCell ref="H7:I7"/>
    <mergeCell ref="B8:C8"/>
    <mergeCell ref="E8:F8"/>
    <mergeCell ref="H8:I8"/>
    <mergeCell ref="K8:L8"/>
    <mergeCell ref="B9:C9"/>
    <mergeCell ref="E9:F9"/>
    <mergeCell ref="H9:I9"/>
    <mergeCell ref="K9:L9"/>
    <mergeCell ref="C17:D17"/>
    <mergeCell ref="I17:J17"/>
    <mergeCell ref="C18:D18"/>
    <mergeCell ref="I18:J18"/>
    <mergeCell ref="B22:E22"/>
    <mergeCell ref="H22:K22"/>
    <mergeCell ref="B23:D24"/>
    <mergeCell ref="G23:G32"/>
    <mergeCell ref="H23:J24"/>
    <mergeCell ref="B33:D34"/>
    <mergeCell ref="G34:G42"/>
    <mergeCell ref="B35:B40"/>
    <mergeCell ref="C35:D35"/>
    <mergeCell ref="I35:J35"/>
  </mergeCells>
  <conditionalFormatting sqref="D8">
    <cfRule type="cellIs" dxfId="18" priority="7" operator="equal">
      <formula>"SIM"</formula>
    </cfRule>
  </conditionalFormatting>
  <conditionalFormatting sqref="D9">
    <cfRule type="cellIs" dxfId="17" priority="3" operator="equal">
      <formula>"NÃO"</formula>
    </cfRule>
  </conditionalFormatting>
  <conditionalFormatting sqref="D10">
    <cfRule type="cellIs" dxfId="16" priority="6" operator="equal">
      <formula>"NÃO"</formula>
    </cfRule>
  </conditionalFormatting>
  <conditionalFormatting sqref="G8">
    <cfRule type="cellIs" dxfId="15" priority="4" operator="lessThan">
      <formula>0.01</formula>
    </cfRule>
  </conditionalFormatting>
  <conditionalFormatting sqref="G9">
    <cfRule type="cellIs" dxfId="14" priority="5" operator="lessThan">
      <formula>0.04</formula>
    </cfRule>
  </conditionalFormatting>
  <conditionalFormatting sqref="G10:G11">
    <cfRule type="cellIs" dxfId="13" priority="8" operator="equal">
      <formula>"SIMPLES RESENDE"</formula>
    </cfRule>
    <cfRule type="cellIs" dxfId="12" priority="9" operator="equal">
      <formula>"SIMPLES YAMA"</formula>
    </cfRule>
    <cfRule type="cellIs" dxfId="11" priority="10" operator="equal">
      <formula>"LUCRO PRESUMIDO"</formula>
    </cfRule>
  </conditionalFormatting>
  <conditionalFormatting sqref="G34:G42">
    <cfRule type="cellIs" dxfId="10" priority="15" operator="equal">
      <formula>$G$23</formula>
    </cfRule>
    <cfRule type="cellIs" dxfId="9" priority="16" operator="equal">
      <formula>$G$13</formula>
    </cfRule>
  </conditionalFormatting>
  <conditionalFormatting sqref="J7">
    <cfRule type="colorScale" priority="2">
      <colorScale>
        <cfvo type="num" val="0"/>
        <cfvo type="num" val="0.06"/>
        <cfvo type="num" val="0.12"/>
        <color rgb="FFF8696B"/>
        <color rgb="FFFFEB84"/>
        <color rgb="FF63BE7B"/>
      </colorScale>
    </cfRule>
  </conditionalFormatting>
  <conditionalFormatting sqref="J10:J11">
    <cfRule type="cellIs" dxfId="8" priority="11" operator="equal">
      <formula>"LUCRO PRESUMIDO"</formula>
    </cfRule>
  </conditionalFormatting>
  <conditionalFormatting sqref="M10:M11">
    <cfRule type="cellIs" dxfId="7" priority="12" operator="equal">
      <formula>"LUCRO PRESUMIDO"</formula>
    </cfRule>
    <cfRule type="cellIs" dxfId="6" priority="13" operator="equal">
      <formula>"SIMPLES YAMA"</formula>
    </cfRule>
    <cfRule type="cellIs" dxfId="5" priority="14" operator="equal">
      <formula>"SIMPLES RESENDE"</formula>
    </cfRule>
  </conditionalFormatting>
  <dataValidations count="2">
    <dataValidation type="list" allowBlank="1" showInputMessage="1" showErrorMessage="1" sqref="G34:G42" xr:uid="{9572C64B-6186-451B-98FE-1B7C1C688F9F}">
      <formula1>$M$5:$M$6</formula1>
    </dataValidation>
    <dataValidation type="whole" allowBlank="1" showInputMessage="1" showErrorMessage="1" sqref="M8" xr:uid="{753A845D-2569-4179-A88B-99E68CC65C94}">
      <formula1>1</formula1>
      <formula2>60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79C8EB7-7F42-45D0-83A7-CC88A0C2B2C1}">
          <x14:formula1>
            <xm:f>BASE!$Q$3:$Q$29</xm:f>
          </x14:formula1>
          <xm:sqref>D11</xm:sqref>
        </x14:dataValidation>
        <x14:dataValidation type="list" allowBlank="1" showInputMessage="1" showErrorMessage="1" xr:uid="{36C95C16-513E-4DD6-A09E-0816FD6B4DA3}">
          <x14:formula1>
            <xm:f>BASE!$K$3:$K$7</xm:f>
          </x14:formula1>
          <xm:sqref>M10:M11 G10:G11 J10:J11</xm:sqref>
        </x14:dataValidation>
        <x14:dataValidation type="list" allowBlank="1" showInputMessage="1" showErrorMessage="1" xr:uid="{B8A669ED-1F99-4D08-BB30-AAB71D2D959B}">
          <x14:formula1>
            <xm:f>BASE!$L$3:$L$4</xm:f>
          </x14:formula1>
          <xm:sqref>D10</xm:sqref>
        </x14:dataValidation>
        <x14:dataValidation type="list" allowBlank="1" showInputMessage="1" showErrorMessage="1" xr:uid="{434F96A5-9B46-40F6-ADF9-98DBECACDA41}">
          <x14:formula1>
            <xm:f>BASE!$R$3:$R$6</xm:f>
          </x14:formula1>
          <xm:sqref>E69 E54</xm:sqref>
        </x14:dataValidation>
        <x14:dataValidation type="list" allowBlank="1" showInputMessage="1" showErrorMessage="1" xr:uid="{3FE78F1C-0430-485F-8A9C-03FAB074888F}">
          <x14:formula1>
            <xm:f>BASE!$U$3:$U$4</xm:f>
          </x14:formula1>
          <xm:sqref>D8:D9 E56:E57 E71:E72</xm:sqref>
        </x14:dataValidation>
        <x14:dataValidation type="list" allowBlank="1" showInputMessage="1" showErrorMessage="1" xr:uid="{3491A8A2-743E-42E3-A2B0-548AD2928C88}">
          <x14:formula1>
            <xm:f>BASE!$Z$30:$Z$46</xm:f>
          </x14:formula1>
          <xm:sqref>L42:M43</xm:sqref>
        </x14:dataValidation>
        <x14:dataValidation type="list" allowBlank="1" showInputMessage="1" showErrorMessage="1" xr:uid="{11AA910F-E750-49C6-8240-C43BCF9BEA20}">
          <x14:formula1>
            <xm:f>BASE!$V$3:$V$4</xm:f>
          </x14:formula1>
          <xm:sqref>L44:M45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rgb="FF00B0F0"/>
  </sheetPr>
  <dimension ref="A2:AS497"/>
  <sheetViews>
    <sheetView showGridLines="0" zoomScale="85" zoomScaleNormal="85" workbookViewId="0">
      <selection activeCell="G26" sqref="G26"/>
    </sheetView>
  </sheetViews>
  <sheetFormatPr defaultColWidth="8.81640625" defaultRowHeight="11.5" x14ac:dyDescent="0.25"/>
  <cols>
    <col min="1" max="1" width="4.1796875" style="5" customWidth="1"/>
    <col min="2" max="2" width="9.453125" style="5" bestFit="1" customWidth="1"/>
    <col min="3" max="3" width="21.54296875" style="5" bestFit="1" customWidth="1"/>
    <col min="4" max="4" width="51.1796875" style="5" customWidth="1"/>
    <col min="5" max="5" width="13.54296875" style="5" bestFit="1" customWidth="1"/>
    <col min="6" max="6" width="35.81640625" style="5" bestFit="1" customWidth="1"/>
    <col min="7" max="7" width="9.453125" style="5" bestFit="1" customWidth="1"/>
    <col min="8" max="8" width="15.7265625" style="5" bestFit="1" customWidth="1"/>
    <col min="9" max="9" width="15.7265625" style="5" customWidth="1"/>
    <col min="10" max="10" width="14.54296875" style="5" bestFit="1" customWidth="1"/>
    <col min="11" max="11" width="12.54296875" style="79" hidden="1" customWidth="1"/>
    <col min="12" max="12" width="17.26953125" style="5" bestFit="1" customWidth="1"/>
    <col min="13" max="13" width="14.81640625" style="5" hidden="1" customWidth="1"/>
    <col min="14" max="14" width="12.81640625" style="79" hidden="1" customWidth="1"/>
    <col min="15" max="15" width="13.26953125" style="5" hidden="1" customWidth="1"/>
    <col min="16" max="16" width="11.453125" style="5" hidden="1" customWidth="1"/>
    <col min="17" max="17" width="12" style="5" hidden="1" customWidth="1"/>
    <col min="18" max="18" width="7.453125" style="5" hidden="1" customWidth="1"/>
    <col min="19" max="19" width="11.26953125" style="5" hidden="1" customWidth="1"/>
    <col min="20" max="20" width="31.7265625" style="5" bestFit="1" customWidth="1"/>
    <col min="21" max="22" width="8.81640625" style="5"/>
    <col min="23" max="23" width="9.453125" style="5" bestFit="1" customWidth="1"/>
    <col min="24" max="24" width="21.54296875" style="5" bestFit="1" customWidth="1"/>
    <col min="25" max="25" width="64.54296875" style="5" customWidth="1"/>
    <col min="26" max="26" width="13.54296875" style="5" bestFit="1" customWidth="1"/>
    <col min="27" max="27" width="32.7265625" style="5" bestFit="1" customWidth="1"/>
    <col min="28" max="28" width="9.453125" style="5" bestFit="1" customWidth="1"/>
    <col min="29" max="29" width="13.54296875" style="5" bestFit="1" customWidth="1"/>
    <col min="30" max="30" width="14.54296875" style="5" bestFit="1" customWidth="1"/>
    <col min="31" max="31" width="11" style="5" customWidth="1"/>
    <col min="32" max="32" width="12.54296875" style="5" hidden="1" customWidth="1"/>
    <col min="33" max="33" width="22" style="5" bestFit="1" customWidth="1"/>
    <col min="34" max="34" width="14.81640625" style="5" hidden="1" customWidth="1"/>
    <col min="35" max="35" width="11" style="1" hidden="1" customWidth="1"/>
    <col min="36" max="36" width="14.453125" style="215" hidden="1" customWidth="1"/>
    <col min="37" max="37" width="11.453125" style="1" hidden="1" customWidth="1"/>
    <col min="38" max="39" width="12" style="1" hidden="1" customWidth="1"/>
    <col min="40" max="40" width="11.26953125" style="1" hidden="1" customWidth="1"/>
    <col min="41" max="41" width="12.1796875" style="1" hidden="1" customWidth="1"/>
    <col min="42" max="42" width="31.7265625" style="5" bestFit="1" customWidth="1"/>
    <col min="43" max="43" width="8.81640625" style="1"/>
    <col min="44" max="44" width="4" style="244" bestFit="1" customWidth="1"/>
    <col min="45" max="45" width="38.26953125" style="1" bestFit="1" customWidth="1"/>
    <col min="46" max="16384" width="8.81640625" style="1"/>
  </cols>
  <sheetData>
    <row r="2" spans="1:44" s="8" customFormat="1" ht="20.5" customHeight="1" x14ac:dyDescent="0.35">
      <c r="B2" s="729"/>
      <c r="C2" s="729"/>
      <c r="D2" s="729"/>
      <c r="E2" s="729"/>
      <c r="F2" s="729" t="s">
        <v>107</v>
      </c>
      <c r="G2" s="729"/>
      <c r="H2" s="729"/>
      <c r="I2" s="729"/>
      <c r="J2" s="729"/>
      <c r="K2" s="9"/>
      <c r="L2" s="9"/>
      <c r="O2" s="730"/>
      <c r="P2" s="730"/>
      <c r="Q2" s="53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24"/>
      <c r="AJ2" s="214"/>
      <c r="AR2" s="53"/>
    </row>
    <row r="3" spans="1:44" s="8" customFormat="1" ht="20.5" customHeight="1" x14ac:dyDescent="0.35">
      <c r="A3" s="9"/>
      <c r="B3" s="729"/>
      <c r="C3" s="729"/>
      <c r="D3" s="729"/>
      <c r="E3" s="729"/>
      <c r="F3" s="729"/>
      <c r="G3" s="729"/>
      <c r="H3" s="729"/>
      <c r="I3" s="729"/>
      <c r="J3" s="729"/>
      <c r="K3" s="9"/>
      <c r="L3" s="9"/>
      <c r="O3" s="730"/>
      <c r="P3" s="730"/>
      <c r="Q3" s="53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24"/>
      <c r="AJ3" s="214"/>
      <c r="AR3" s="53"/>
    </row>
    <row r="4" spans="1:44" s="8" customFormat="1" ht="20.5" customHeight="1" x14ac:dyDescent="0.35">
      <c r="A4" s="9"/>
      <c r="B4" s="729"/>
      <c r="C4" s="729"/>
      <c r="D4" s="729"/>
      <c r="E4" s="729"/>
      <c r="F4" s="729"/>
      <c r="G4" s="729"/>
      <c r="H4" s="729"/>
      <c r="I4" s="729"/>
      <c r="J4" s="729"/>
      <c r="K4" s="9"/>
      <c r="L4" s="9"/>
      <c r="O4" s="730"/>
      <c r="P4" s="730"/>
      <c r="Q4" s="125"/>
      <c r="U4" s="10"/>
      <c r="V4" s="10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24"/>
      <c r="AJ4" s="214"/>
      <c r="AR4" s="53"/>
    </row>
    <row r="5" spans="1:44" s="8" customFormat="1" ht="20.5" customHeight="1" x14ac:dyDescent="0.35">
      <c r="A5" s="9"/>
      <c r="B5" s="24"/>
      <c r="C5" s="24"/>
      <c r="D5" s="24"/>
      <c r="E5" s="24"/>
      <c r="F5" s="24"/>
      <c r="G5" s="24"/>
      <c r="H5" s="24"/>
      <c r="I5" s="24"/>
      <c r="J5" s="24"/>
      <c r="K5" s="9"/>
      <c r="L5" s="9"/>
      <c r="O5" s="9"/>
      <c r="P5" s="9"/>
      <c r="Q5" s="125"/>
      <c r="U5" s="10"/>
      <c r="V5" s="10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24"/>
      <c r="AJ5" s="214"/>
      <c r="AR5" s="53"/>
    </row>
    <row r="6" spans="1:44" s="8" customFormat="1" x14ac:dyDescent="0.25">
      <c r="A6" s="9"/>
      <c r="B6" s="11"/>
      <c r="C6" s="11"/>
      <c r="D6" s="713" t="s">
        <v>108</v>
      </c>
      <c r="E6" s="713"/>
      <c r="F6" s="713"/>
      <c r="G6" s="97"/>
      <c r="H6" s="157" t="s">
        <v>69</v>
      </c>
      <c r="I6" s="150"/>
      <c r="J6" s="15"/>
      <c r="K6" s="166"/>
      <c r="L6" s="162" t="s">
        <v>69</v>
      </c>
      <c r="M6" s="15"/>
      <c r="N6" s="15"/>
      <c r="O6" s="97"/>
      <c r="P6" s="151"/>
      <c r="Q6" s="151"/>
      <c r="R6" s="150"/>
      <c r="S6" s="151"/>
      <c r="T6" s="5"/>
      <c r="U6" s="10"/>
      <c r="V6" s="10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24"/>
      <c r="AJ6" s="214"/>
      <c r="AR6" s="53"/>
    </row>
    <row r="7" spans="1:44" s="8" customFormat="1" x14ac:dyDescent="0.25">
      <c r="A7" s="9"/>
      <c r="B7" s="11"/>
      <c r="C7" s="11"/>
      <c r="D7" s="155" t="s">
        <v>38</v>
      </c>
      <c r="E7" s="156" t="s">
        <v>109</v>
      </c>
      <c r="F7" s="155" t="s">
        <v>110</v>
      </c>
      <c r="G7" s="116"/>
      <c r="H7" s="155" t="s">
        <v>111</v>
      </c>
      <c r="I7" s="150"/>
      <c r="J7" s="12"/>
      <c r="K7" s="166"/>
      <c r="L7" s="21"/>
      <c r="M7" s="151"/>
      <c r="N7" s="131"/>
      <c r="O7" s="127" t="s">
        <v>112</v>
      </c>
      <c r="P7" s="151"/>
      <c r="Q7" s="151"/>
      <c r="R7" s="150"/>
      <c r="S7" s="150"/>
      <c r="T7" s="5"/>
      <c r="U7" s="10"/>
      <c r="V7" s="10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24"/>
      <c r="AJ7" s="214"/>
      <c r="AR7" s="53"/>
    </row>
    <row r="8" spans="1:44" s="8" customFormat="1" x14ac:dyDescent="0.25">
      <c r="A8" s="9"/>
      <c r="B8" s="11"/>
      <c r="C8" s="11"/>
      <c r="D8" s="113" t="s">
        <v>108</v>
      </c>
      <c r="E8" s="112">
        <f>ServExt[[#Totals],[TOTAL4]]/2</f>
        <v>140</v>
      </c>
      <c r="F8" s="20">
        <f>(E8*H8)/O8</f>
        <v>37620.939135828368</v>
      </c>
      <c r="G8" s="117"/>
      <c r="H8" s="103">
        <v>180</v>
      </c>
      <c r="I8" s="118"/>
      <c r="J8" s="13"/>
      <c r="K8" s="166"/>
      <c r="L8" s="19">
        <f>(E8*H8)</f>
        <v>25200</v>
      </c>
      <c r="M8" s="150"/>
      <c r="N8" s="141"/>
      <c r="O8" s="225">
        <f>BASE!$W$60</f>
        <v>0.66983973762634585</v>
      </c>
      <c r="P8" s="150"/>
      <c r="Q8" s="150"/>
      <c r="R8" s="151"/>
      <c r="S8" s="151"/>
      <c r="T8" s="5"/>
      <c r="U8" s="10"/>
      <c r="V8" s="10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24"/>
      <c r="AJ8" s="214"/>
      <c r="AR8" s="53"/>
    </row>
    <row r="9" spans="1:44" s="8" customFormat="1" x14ac:dyDescent="0.25">
      <c r="A9" s="9"/>
      <c r="B9" s="14"/>
      <c r="C9" s="14"/>
      <c r="D9" s="114"/>
      <c r="E9" s="115"/>
      <c r="F9" s="14"/>
      <c r="G9" s="115"/>
      <c r="H9" s="100"/>
      <c r="I9" s="14"/>
      <c r="J9" s="14"/>
      <c r="K9" s="166"/>
      <c r="L9" s="14"/>
      <c r="M9" s="150"/>
      <c r="N9" s="14"/>
      <c r="O9" s="14"/>
      <c r="P9" s="150"/>
      <c r="Q9" s="150"/>
      <c r="R9" s="151"/>
      <c r="S9" s="151"/>
      <c r="T9" s="5"/>
      <c r="U9" s="10"/>
      <c r="V9" s="10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24"/>
      <c r="AJ9" s="214"/>
      <c r="AR9" s="53"/>
    </row>
    <row r="10" spans="1:44" s="8" customFormat="1" x14ac:dyDescent="0.25">
      <c r="A10" s="9"/>
      <c r="B10" s="11"/>
      <c r="C10" s="11"/>
      <c r="D10" s="713" t="s">
        <v>113</v>
      </c>
      <c r="E10" s="713"/>
      <c r="F10" s="713"/>
      <c r="G10" s="115"/>
      <c r="H10" s="157" t="s">
        <v>69</v>
      </c>
      <c r="I10" s="14"/>
      <c r="J10" s="15"/>
      <c r="K10" s="166"/>
      <c r="L10" s="162" t="s">
        <v>69</v>
      </c>
      <c r="M10" s="15"/>
      <c r="N10" s="15"/>
      <c r="O10" s="14"/>
      <c r="P10" s="150"/>
      <c r="Q10" s="150"/>
      <c r="R10" s="151"/>
      <c r="S10" s="151"/>
      <c r="T10" s="5"/>
      <c r="U10" s="10"/>
      <c r="V10" s="10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24"/>
      <c r="AJ10" s="214"/>
      <c r="AR10" s="53"/>
    </row>
    <row r="11" spans="1:44" s="8" customFormat="1" x14ac:dyDescent="0.25">
      <c r="A11" s="9"/>
      <c r="B11" s="11"/>
      <c r="C11" s="11"/>
      <c r="D11" s="155" t="s">
        <v>38</v>
      </c>
      <c r="E11" s="156" t="s">
        <v>109</v>
      </c>
      <c r="F11" s="155" t="s">
        <v>110</v>
      </c>
      <c r="G11" s="115"/>
      <c r="H11" s="155" t="s">
        <v>114</v>
      </c>
      <c r="I11" s="14"/>
      <c r="J11" s="14"/>
      <c r="K11" s="166"/>
      <c r="L11" s="21"/>
      <c r="M11" s="150"/>
      <c r="N11" s="14"/>
      <c r="O11" s="127" t="s">
        <v>112</v>
      </c>
      <c r="P11" s="150"/>
      <c r="Q11" s="150"/>
      <c r="R11" s="151"/>
      <c r="S11" s="151"/>
      <c r="T11" s="5"/>
      <c r="U11" s="10"/>
      <c r="V11" s="10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24"/>
      <c r="AJ11" s="214"/>
      <c r="AR11" s="53"/>
    </row>
    <row r="12" spans="1:44" s="8" customFormat="1" x14ac:dyDescent="0.25">
      <c r="A12" s="9"/>
      <c r="B12" s="11"/>
      <c r="C12" s="11"/>
      <c r="D12" s="113" t="s">
        <v>115</v>
      </c>
      <c r="E12" s="112">
        <f>ServExt[[#Totals],[TOTAL4]]</f>
        <v>280</v>
      </c>
      <c r="F12" s="20">
        <f>(E12*H12)/O12</f>
        <v>16720.417393701497</v>
      </c>
      <c r="G12" s="115"/>
      <c r="H12" s="103">
        <v>40</v>
      </c>
      <c r="I12" s="14"/>
      <c r="J12" s="14"/>
      <c r="K12" s="166"/>
      <c r="L12" s="19">
        <f>(E12*H12)</f>
        <v>11200</v>
      </c>
      <c r="M12" s="150"/>
      <c r="N12" s="14"/>
      <c r="O12" s="225">
        <f>BASE!$W$60</f>
        <v>0.66983973762634585</v>
      </c>
      <c r="P12" s="150"/>
      <c r="Q12" s="150"/>
      <c r="R12" s="151"/>
      <c r="S12" s="151"/>
      <c r="T12" s="5"/>
      <c r="U12" s="10"/>
      <c r="V12" s="10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24"/>
      <c r="AJ12" s="214"/>
      <c r="AR12" s="53"/>
    </row>
    <row r="13" spans="1:44" s="8" customFormat="1" x14ac:dyDescent="0.25">
      <c r="A13" s="9"/>
      <c r="B13" s="14"/>
      <c r="C13" s="14"/>
      <c r="D13" s="114"/>
      <c r="E13" s="115"/>
      <c r="F13" s="14"/>
      <c r="G13" s="115"/>
      <c r="H13" s="115"/>
      <c r="I13" s="14"/>
      <c r="J13" s="14"/>
      <c r="K13" s="166"/>
      <c r="L13" s="14"/>
      <c r="M13" s="14"/>
      <c r="N13" s="14"/>
      <c r="O13" s="102"/>
      <c r="P13" s="150"/>
      <c r="Q13" s="150"/>
      <c r="R13" s="151"/>
      <c r="S13" s="151"/>
      <c r="T13" s="5"/>
      <c r="U13" s="10"/>
      <c r="V13" s="10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24"/>
      <c r="AJ13" s="214"/>
      <c r="AR13" s="53"/>
    </row>
    <row r="14" spans="1:44" s="8" customFormat="1" x14ac:dyDescent="0.25">
      <c r="A14" s="9"/>
      <c r="B14" s="11"/>
      <c r="C14" s="11"/>
      <c r="D14" s="713" t="s">
        <v>116</v>
      </c>
      <c r="E14" s="713"/>
      <c r="F14" s="713"/>
      <c r="G14" s="713"/>
      <c r="H14" s="713"/>
      <c r="I14" s="713"/>
      <c r="J14" s="719" t="s">
        <v>117</v>
      </c>
      <c r="K14" s="166"/>
      <c r="L14" s="162" t="s">
        <v>69</v>
      </c>
      <c r="M14" s="15"/>
      <c r="N14" s="15"/>
      <c r="O14" s="102"/>
      <c r="P14" s="150"/>
      <c r="Q14" s="150"/>
      <c r="R14" s="151"/>
      <c r="S14" s="151"/>
      <c r="T14" s="5"/>
      <c r="U14" s="10"/>
      <c r="V14" s="10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24"/>
      <c r="AJ14" s="214"/>
      <c r="AR14" s="53"/>
    </row>
    <row r="15" spans="1:44" s="8" customFormat="1" x14ac:dyDescent="0.25">
      <c r="A15" s="9"/>
      <c r="B15" s="11"/>
      <c r="C15" s="11"/>
      <c r="D15" s="155" t="s">
        <v>38</v>
      </c>
      <c r="E15" s="156" t="s">
        <v>118</v>
      </c>
      <c r="F15" s="155" t="s">
        <v>119</v>
      </c>
      <c r="G15" s="155" t="s">
        <v>120</v>
      </c>
      <c r="H15" s="725" t="s">
        <v>110</v>
      </c>
      <c r="I15" s="725"/>
      <c r="J15" s="720"/>
      <c r="K15" s="166"/>
      <c r="L15" s="16"/>
      <c r="M15" s="150"/>
      <c r="N15" s="14"/>
      <c r="O15" s="127" t="s">
        <v>112</v>
      </c>
      <c r="P15" s="150"/>
      <c r="Q15" s="150"/>
      <c r="R15" s="151"/>
      <c r="S15" s="151"/>
      <c r="T15" s="5"/>
      <c r="U15" s="10"/>
      <c r="V15" s="10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24"/>
      <c r="AJ15" s="214"/>
      <c r="AR15" s="53"/>
    </row>
    <row r="16" spans="1:44" s="8" customFormat="1" x14ac:dyDescent="0.25">
      <c r="A16" s="9"/>
      <c r="B16" s="11"/>
      <c r="C16" s="11"/>
      <c r="D16" s="113" t="s">
        <v>121</v>
      </c>
      <c r="E16" s="119">
        <v>6</v>
      </c>
      <c r="F16" s="120">
        <v>75</v>
      </c>
      <c r="G16" s="104">
        <v>234</v>
      </c>
      <c r="H16" s="716">
        <f>(((G16*E16*BASE!M3)+(F16*E16))/O16)</f>
        <v>2767.8262364216585</v>
      </c>
      <c r="I16" s="716"/>
      <c r="J16" s="724">
        <v>2</v>
      </c>
      <c r="K16" s="166"/>
      <c r="L16" s="18">
        <f>((G16*E16*BASE!M3)+(F16*E16))</f>
        <v>1854</v>
      </c>
      <c r="M16" s="150"/>
      <c r="N16" s="14"/>
      <c r="O16" s="225">
        <f>BASE!$W$60</f>
        <v>0.66983973762634585</v>
      </c>
      <c r="P16" s="150"/>
      <c r="Q16" s="150"/>
      <c r="R16" s="151"/>
      <c r="S16" s="151"/>
      <c r="T16" s="5"/>
      <c r="U16" s="10"/>
      <c r="V16" s="10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24"/>
      <c r="AJ16" s="214"/>
      <c r="AR16" s="53"/>
    </row>
    <row r="17" spans="1:45" s="8" customFormat="1" x14ac:dyDescent="0.25">
      <c r="A17" s="9"/>
      <c r="B17" s="14"/>
      <c r="C17" s="14"/>
      <c r="D17" s="113" t="s">
        <v>122</v>
      </c>
      <c r="E17" s="119">
        <v>120</v>
      </c>
      <c r="F17" s="120"/>
      <c r="G17" s="104">
        <v>15</v>
      </c>
      <c r="H17" s="716">
        <f>(((G17*E17*BASE!M4)+(F17*E17))/O17)</f>
        <v>2284.1284475324364</v>
      </c>
      <c r="I17" s="716"/>
      <c r="J17" s="724"/>
      <c r="K17" s="166"/>
      <c r="L17" s="18">
        <f>((G17*E17*BASE!M4)+(F17*E17))</f>
        <v>1530</v>
      </c>
      <c r="M17" s="150"/>
      <c r="N17" s="14"/>
      <c r="O17" s="225">
        <f>BASE!$W$60</f>
        <v>0.66983973762634585</v>
      </c>
      <c r="P17" s="150"/>
      <c r="Q17" s="150"/>
      <c r="R17" s="151"/>
      <c r="S17" s="151"/>
      <c r="T17" s="5"/>
      <c r="U17" s="10"/>
      <c r="V17" s="10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24"/>
      <c r="AJ17" s="214"/>
      <c r="AR17" s="53"/>
    </row>
    <row r="18" spans="1:45" s="8" customFormat="1" x14ac:dyDescent="0.25">
      <c r="A18" s="9"/>
      <c r="B18" s="14"/>
      <c r="C18" s="14"/>
      <c r="D18" s="113" t="s">
        <v>123</v>
      </c>
      <c r="E18" s="717" t="s">
        <v>124</v>
      </c>
      <c r="F18" s="717"/>
      <c r="G18" s="153">
        <f>ROUNDUP(ServExt[[#Totals],[Coluna1]]/4,0)</f>
        <v>2</v>
      </c>
      <c r="H18" s="716">
        <f>(L18/O18)*G18</f>
        <v>15227.522983549577</v>
      </c>
      <c r="I18" s="716"/>
      <c r="J18" s="724"/>
      <c r="K18" s="166"/>
      <c r="L18" s="18">
        <f>IF(ServExt[[#Totals],[DIAS]]&gt;=30,BASE!W3*(J16),ServExt[[#Totals],[DIAS]]*BASE!W4*1.3)</f>
        <v>5100</v>
      </c>
      <c r="M18" s="150"/>
      <c r="N18" s="14"/>
      <c r="O18" s="225">
        <f>BASE!$W$60</f>
        <v>0.66983973762634585</v>
      </c>
      <c r="P18" s="150"/>
      <c r="Q18" s="150"/>
      <c r="R18" s="151"/>
      <c r="S18" s="151"/>
      <c r="T18" s="5"/>
      <c r="U18" s="10"/>
      <c r="V18" s="10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24"/>
      <c r="AJ18" s="214"/>
      <c r="AR18" s="53"/>
    </row>
    <row r="19" spans="1:45" s="8" customFormat="1" x14ac:dyDescent="0.25">
      <c r="A19" s="9"/>
      <c r="B19" s="14"/>
      <c r="C19" s="14"/>
      <c r="D19" s="113" t="s">
        <v>125</v>
      </c>
      <c r="E19" s="119"/>
      <c r="F19" s="718"/>
      <c r="G19" s="718"/>
      <c r="H19" s="716">
        <f>L19/O19</f>
        <v>0</v>
      </c>
      <c r="I19" s="716"/>
      <c r="J19" s="724"/>
      <c r="K19" s="166"/>
      <c r="L19" s="18">
        <f>F19*E19</f>
        <v>0</v>
      </c>
      <c r="M19" s="150"/>
      <c r="N19" s="14"/>
      <c r="O19" s="225">
        <f>BASE!$W$60</f>
        <v>0.66983973762634585</v>
      </c>
      <c r="P19" s="150"/>
      <c r="Q19" s="150"/>
      <c r="R19" s="151"/>
      <c r="S19" s="151"/>
      <c r="T19" s="5"/>
      <c r="U19" s="10"/>
      <c r="V19" s="10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24"/>
      <c r="AJ19" s="214"/>
      <c r="AR19" s="53"/>
    </row>
    <row r="20" spans="1:45" x14ac:dyDescent="0.25">
      <c r="B20" s="14"/>
      <c r="C20" s="14"/>
      <c r="D20" s="726" t="s">
        <v>92</v>
      </c>
      <c r="E20" s="726"/>
      <c r="F20" s="726"/>
      <c r="G20" s="726"/>
      <c r="H20" s="727">
        <f>SUM(H16:I19)</f>
        <v>20279.47766750367</v>
      </c>
      <c r="I20" s="728"/>
      <c r="J20" s="724"/>
      <c r="K20" s="166"/>
      <c r="L20" s="20">
        <f>SUM(L16:L19)</f>
        <v>8484</v>
      </c>
      <c r="M20" s="14"/>
      <c r="N20" s="14"/>
      <c r="O20" s="102"/>
      <c r="P20" s="150"/>
      <c r="Q20" s="150"/>
      <c r="R20" s="151"/>
      <c r="S20" s="151"/>
    </row>
    <row r="21" spans="1:45" x14ac:dyDescent="0.2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126"/>
      <c r="L21" s="97"/>
      <c r="M21" s="97"/>
      <c r="N21" s="126"/>
      <c r="O21" s="97"/>
    </row>
    <row r="22" spans="1:45" ht="15" customHeight="1" x14ac:dyDescent="0.25">
      <c r="A22" s="97"/>
      <c r="B22" s="714" t="s">
        <v>126</v>
      </c>
      <c r="C22" s="714"/>
      <c r="D22" s="714"/>
      <c r="E22" s="714"/>
      <c r="F22" s="714"/>
      <c r="G22" s="714"/>
      <c r="H22" s="714"/>
      <c r="I22" s="714"/>
      <c r="J22" s="714"/>
      <c r="K22" s="714"/>
      <c r="L22" s="714"/>
      <c r="M22" s="714"/>
      <c r="N22" s="714"/>
      <c r="O22" s="714"/>
      <c r="P22" s="714"/>
      <c r="Q22" s="714"/>
      <c r="R22" s="714"/>
      <c r="S22" s="714"/>
      <c r="T22" s="714"/>
      <c r="W22" s="714" t="s">
        <v>127</v>
      </c>
      <c r="X22" s="714"/>
      <c r="Y22" s="714"/>
      <c r="Z22" s="714"/>
      <c r="AA22" s="714"/>
      <c r="AB22" s="714"/>
      <c r="AC22" s="714"/>
      <c r="AD22" s="714"/>
      <c r="AE22" s="714"/>
      <c r="AF22" s="714"/>
      <c r="AG22" s="714"/>
      <c r="AH22" s="714"/>
      <c r="AI22" s="714"/>
      <c r="AJ22" s="714"/>
      <c r="AK22" s="714"/>
      <c r="AL22" s="714"/>
      <c r="AM22" s="714"/>
      <c r="AN22" s="714"/>
      <c r="AO22" s="714"/>
      <c r="AP22" s="714"/>
      <c r="AR22" s="721" t="s">
        <v>128</v>
      </c>
      <c r="AS22" s="721"/>
    </row>
    <row r="23" spans="1:45" ht="14.5" customHeight="1" x14ac:dyDescent="0.25">
      <c r="A23" s="97"/>
      <c r="B23" s="714" t="s">
        <v>38</v>
      </c>
      <c r="C23" s="714"/>
      <c r="D23" s="714"/>
      <c r="E23" s="163" t="s">
        <v>129</v>
      </c>
      <c r="F23" s="163" t="s">
        <v>130</v>
      </c>
      <c r="G23" s="722" t="s">
        <v>131</v>
      </c>
      <c r="H23" s="722"/>
      <c r="I23" s="722"/>
      <c r="J23" s="722"/>
      <c r="K23" s="723" t="s">
        <v>69</v>
      </c>
      <c r="L23" s="723"/>
      <c r="M23" s="723"/>
      <c r="N23" s="723"/>
      <c r="P23" s="172"/>
      <c r="Q23" s="172"/>
      <c r="T23" s="171" t="s">
        <v>132</v>
      </c>
      <c r="W23" s="714" t="s">
        <v>38</v>
      </c>
      <c r="X23" s="714"/>
      <c r="Y23" s="714"/>
      <c r="Z23" s="163" t="s">
        <v>129</v>
      </c>
      <c r="AA23" s="163" t="s">
        <v>130</v>
      </c>
      <c r="AB23" s="722" t="s">
        <v>131</v>
      </c>
      <c r="AC23" s="722"/>
      <c r="AD23" s="722"/>
      <c r="AE23" s="722"/>
      <c r="AF23" s="723" t="s">
        <v>69</v>
      </c>
      <c r="AG23" s="723"/>
      <c r="AH23" s="723"/>
      <c r="AI23" s="723"/>
      <c r="AM23" s="11"/>
      <c r="AO23" s="172"/>
      <c r="AP23" s="171" t="s">
        <v>132</v>
      </c>
      <c r="AR23" s="168">
        <v>1</v>
      </c>
      <c r="AS23" s="97" t="s">
        <v>133</v>
      </c>
    </row>
    <row r="24" spans="1:45" s="2" customFormat="1" x14ac:dyDescent="0.25">
      <c r="A24" s="14"/>
      <c r="B24" s="127" t="s">
        <v>134</v>
      </c>
      <c r="C24" s="127" t="s">
        <v>135</v>
      </c>
      <c r="D24" s="127" t="s">
        <v>136</v>
      </c>
      <c r="E24" s="128" t="s">
        <v>137</v>
      </c>
      <c r="F24" s="127" t="s">
        <v>138</v>
      </c>
      <c r="G24" s="128" t="s">
        <v>139</v>
      </c>
      <c r="H24" s="128" t="s">
        <v>140</v>
      </c>
      <c r="I24" s="128" t="s">
        <v>141</v>
      </c>
      <c r="J24" s="128" t="s">
        <v>142</v>
      </c>
      <c r="K24" s="122" t="s">
        <v>143</v>
      </c>
      <c r="L24" s="122" t="s">
        <v>144</v>
      </c>
      <c r="M24" s="129" t="s">
        <v>145</v>
      </c>
      <c r="N24" s="122" t="s">
        <v>110</v>
      </c>
      <c r="O24" s="122" t="s">
        <v>112</v>
      </c>
      <c r="P24" s="129" t="s">
        <v>146</v>
      </c>
      <c r="Q24" s="122" t="s">
        <v>147</v>
      </c>
      <c r="R24" s="122" t="s">
        <v>148</v>
      </c>
      <c r="S24" s="122" t="s">
        <v>149</v>
      </c>
      <c r="T24" s="122" t="s">
        <v>150</v>
      </c>
      <c r="U24" s="11"/>
      <c r="V24" s="11"/>
      <c r="W24" s="130" t="s">
        <v>134</v>
      </c>
      <c r="X24" s="130" t="s">
        <v>135</v>
      </c>
      <c r="Y24" s="130" t="s">
        <v>136</v>
      </c>
      <c r="Z24" s="116" t="s">
        <v>137</v>
      </c>
      <c r="AA24" s="130" t="s">
        <v>138</v>
      </c>
      <c r="AB24" s="116" t="s">
        <v>139</v>
      </c>
      <c r="AC24" s="116" t="s">
        <v>140</v>
      </c>
      <c r="AD24" s="116" t="s">
        <v>141</v>
      </c>
      <c r="AE24" s="116" t="s">
        <v>142</v>
      </c>
      <c r="AF24" s="12" t="s">
        <v>143</v>
      </c>
      <c r="AG24" s="12" t="s">
        <v>144</v>
      </c>
      <c r="AH24" s="131" t="s">
        <v>145</v>
      </c>
      <c r="AI24" s="12" t="s">
        <v>110</v>
      </c>
      <c r="AJ24" s="216" t="s">
        <v>112</v>
      </c>
      <c r="AK24" s="131" t="s">
        <v>146</v>
      </c>
      <c r="AL24" s="12" t="s">
        <v>147</v>
      </c>
      <c r="AM24" s="12" t="s">
        <v>148</v>
      </c>
      <c r="AN24" s="12" t="s">
        <v>149</v>
      </c>
      <c r="AO24" s="12" t="s">
        <v>151</v>
      </c>
      <c r="AP24" s="109" t="s">
        <v>150</v>
      </c>
      <c r="AR24" s="168">
        <v>2</v>
      </c>
      <c r="AS24" s="97" t="s">
        <v>152</v>
      </c>
    </row>
    <row r="25" spans="1:45" s="2" customFormat="1" ht="14.5" x14ac:dyDescent="0.25">
      <c r="A25" s="14"/>
      <c r="B25" s="115">
        <v>1</v>
      </c>
      <c r="C25" s="115" t="s">
        <v>153</v>
      </c>
      <c r="D25" s="114" t="s">
        <v>847</v>
      </c>
      <c r="E25" s="132">
        <v>30</v>
      </c>
      <c r="F25" s="264" t="str">
        <f>LOOKUP('SERVICOS AUTPRO'!$E$25:$E$64,BASE!A$4:A$125,BASE!B$4:B$125)</f>
        <v>Projetista Elétrico V</v>
      </c>
      <c r="G25" s="117">
        <v>40</v>
      </c>
      <c r="H25" s="134">
        <v>1</v>
      </c>
      <c r="I25" s="135">
        <v>9</v>
      </c>
      <c r="J25" s="134" t="s">
        <v>155</v>
      </c>
      <c r="K25" s="136">
        <f>_xlfn.IFS('SERVICOS AUTPRO'!$J$25:$J$64="EXTRA 150%",((1)*2.5),'SERVICOS AUTPRO'!$J$25:$J$64="EXTRA 100%",((1)*2),'SERVICOS AUTPRO'!$J$25:$J$64="EXTRA 75%",((1)*1.75),'SERVICOS AUTPRO'!$J$25:$J$64="EXTRA 50%",((1)*1.5),'SERVICOS AUTPRO'!$J$25:$J$64="NORMAL",((1)))</f>
        <v>1</v>
      </c>
      <c r="L25" s="137">
        <f>ServInt[[#This Row],[DIAS]]*ServInt[[#This Row],[PESSOAS]]*ServInt[[#This Row],[HORAS DIA]]</f>
        <v>360</v>
      </c>
      <c r="M25" s="138">
        <f>(IF(ServInt[[#This Row],[CÓDIGO]]="","",LOOKUP(E25,BASE!A$4:A$125,BASE!G$4:G$125)))*ServInt[[#This Row],[HE CALC]]</f>
        <v>40.799999999999997</v>
      </c>
      <c r="N25" s="102">
        <f>ServInt[[#This Row],[TOTAL HORAS]]*ServInt[[#This Row],[R$ / HORA]]</f>
        <v>14687.999999999998</v>
      </c>
      <c r="O25" s="139">
        <f>BASE!$W$60</f>
        <v>0.66983973762634585</v>
      </c>
      <c r="P25" s="138">
        <f t="shared" ref="P25:P44" si="0">M25/O25</f>
        <v>60.910091934198306</v>
      </c>
      <c r="Q25" s="123">
        <f t="shared" ref="Q25:Q44" si="1">N25/O25</f>
        <v>21927.633096311387</v>
      </c>
      <c r="R25" s="123"/>
      <c r="S25" s="123">
        <f>(IF(E25="","",LOOKUP(E25,BASE!A$4:A$19,BASE!E$4:E$19)))*ServInt[[#This Row],[TOTAL HORAS]]</f>
        <v>1100.8979154833432</v>
      </c>
      <c r="T25" s="143">
        <f>IFERROR(ServInt[[#This Row],[TOTAL3]]*(RESUMO!$F$22/RESUMO!$F$14),0)</f>
        <v>24707.192221195932</v>
      </c>
      <c r="U25" s="11"/>
      <c r="V25" s="11"/>
      <c r="W25" s="115">
        <v>1</v>
      </c>
      <c r="X25" s="115" t="s">
        <v>156</v>
      </c>
      <c r="Y25" s="114" t="s">
        <v>154</v>
      </c>
      <c r="Z25" s="132">
        <v>50</v>
      </c>
      <c r="AA25" s="14" t="str">
        <f>LOOKUP(Z25,BASE!A$4:A$125,BASE!B$4:B$125)</f>
        <v>Eletricista Força e Comando V</v>
      </c>
      <c r="AB25" s="117">
        <v>20</v>
      </c>
      <c r="AC25" s="134">
        <v>1</v>
      </c>
      <c r="AD25" s="135">
        <v>10</v>
      </c>
      <c r="AE25" s="134" t="s">
        <v>155</v>
      </c>
      <c r="AF25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25" s="13">
        <f>ServExt[[#This Row],[DIAS]]*ServExt[[#This Row],[PESSOAS]]*ServExt[[#This Row],[HORAS DIA]]</f>
        <v>200</v>
      </c>
      <c r="AH25" s="141">
        <f>(IF(Z25="","",LOOKUP(Z25,BASE!A$4:A$125,BASE!H$4:H$125)))*ServExt[[#This Row],[HE CALC]]</f>
        <v>39</v>
      </c>
      <c r="AI25" s="102">
        <f>ServExt[[#This Row],[TOTAL HORAS]]*ServExt[[#This Row],[R$ / HORA]]</f>
        <v>7800</v>
      </c>
      <c r="AJ25" s="139">
        <f>BASE!$W$60</f>
        <v>0.66983973762634585</v>
      </c>
      <c r="AK25" s="141">
        <f t="shared" ref="AK25" si="2">AH25/AJ25</f>
        <v>58.222881995924851</v>
      </c>
      <c r="AL25" s="143">
        <f t="shared" ref="AL25" si="3">AI25/AJ25</f>
        <v>11644.576399184971</v>
      </c>
      <c r="AM25" s="144">
        <f>IF(OR(ServExt[[#This Row],[TIPO H]]="NORMAL",ServExt[[#This Row],[HORAS DIA]]&gt;=8),ServExt[[#This Row],[PESSOAS]]*ServExt[[#This Row],[DIAS]]*2,0)</f>
        <v>40</v>
      </c>
      <c r="AN25" s="144">
        <f>(IF(Z25="","",LOOKUP(Z25,BASE!A$4:A$19,BASE!E$4:E$19)))*ServExt[[#This Row],[TOTAL HORAS]]</f>
        <v>611.60995304630183</v>
      </c>
      <c r="AO25" s="11">
        <f>IF(ServExt[[#This Row],[TIPO H]]="NORMAL",ServExt[[#This Row],[PESSOAS]],0)</f>
        <v>1</v>
      </c>
      <c r="AP25" s="174">
        <f>IFERROR(ServExt[[#This Row],[TOTAL3]]*(RESUMO!$F$22/RESUMO!$F$14),0)</f>
        <v>13120.64946387039</v>
      </c>
      <c r="AR25" s="168">
        <v>3</v>
      </c>
      <c r="AS25" s="97" t="s">
        <v>157</v>
      </c>
    </row>
    <row r="26" spans="1:45" s="2" customFormat="1" ht="14.5" x14ac:dyDescent="0.25">
      <c r="A26" s="14"/>
      <c r="B26" s="115">
        <v>2</v>
      </c>
      <c r="C26" s="115" t="s">
        <v>153</v>
      </c>
      <c r="D26" s="114" t="s">
        <v>154</v>
      </c>
      <c r="E26" s="132">
        <v>0</v>
      </c>
      <c r="F26" s="264">
        <f>LOOKUP('SERVICOS AUTPRO'!$E$25:$E$64,BASE!A$4:A$125,BASE!B$4:B$125)</f>
        <v>0</v>
      </c>
      <c r="G26" s="117"/>
      <c r="H26" s="134"/>
      <c r="I26" s="135">
        <v>80</v>
      </c>
      <c r="J26" s="134" t="s">
        <v>155</v>
      </c>
      <c r="K26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26" s="137">
        <f>ServInt[[#This Row],[DIAS]]*ServInt[[#This Row],[PESSOAS]]*ServInt[[#This Row],[HORAS DIA]]</f>
        <v>0</v>
      </c>
      <c r="M26" s="138">
        <f>(IF(ServInt[[#This Row],[CÓDIGO]]="","",LOOKUP(E26,BASE!A$4:A$125,BASE!G$4:G$125)))*ServInt[[#This Row],[HE CALC]]</f>
        <v>0</v>
      </c>
      <c r="N26" s="102">
        <f>ServInt[[#This Row],[TOTAL HORAS]]*ServInt[[#This Row],[R$ / HORA]]</f>
        <v>0</v>
      </c>
      <c r="O26" s="139">
        <f>BASE!$W$60</f>
        <v>0.66983973762634585</v>
      </c>
      <c r="P26" s="138">
        <f t="shared" si="0"/>
        <v>0</v>
      </c>
      <c r="Q26" s="123">
        <f t="shared" si="1"/>
        <v>0</v>
      </c>
      <c r="R26" s="123"/>
      <c r="S26" s="123">
        <f>(IF(E26="","",LOOKUP(E26,BASE!A$4:A$19,BASE!E$4:E$19)))*ServInt[[#This Row],[TOTAL HORAS]]</f>
        <v>0</v>
      </c>
      <c r="T26" s="143">
        <f>IFERROR(ServInt[[#This Row],[TOTAL3]]*(RESUMO!$F$22/RESUMO!$F$14),0)</f>
        <v>0</v>
      </c>
      <c r="U26" s="11"/>
      <c r="V26" s="11"/>
      <c r="W26" s="115">
        <v>2</v>
      </c>
      <c r="X26" s="115" t="s">
        <v>156</v>
      </c>
      <c r="Y26" s="114" t="s">
        <v>154</v>
      </c>
      <c r="Z26" s="132">
        <v>5</v>
      </c>
      <c r="AA26" s="14" t="str">
        <f>LOOKUP(Z26,BASE!A$4:A$125,BASE!B$4:B$125)</f>
        <v>Especialista Eletricista V</v>
      </c>
      <c r="AB26" s="117">
        <v>45</v>
      </c>
      <c r="AC26" s="134">
        <v>1</v>
      </c>
      <c r="AD26" s="135">
        <v>10</v>
      </c>
      <c r="AE26" s="134" t="s">
        <v>155</v>
      </c>
      <c r="AF26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26" s="13">
        <f>ServExt[[#This Row],[DIAS]]*ServExt[[#This Row],[PESSOAS]]*ServExt[[#This Row],[HORAS DIA]]</f>
        <v>450</v>
      </c>
      <c r="AH26" s="141">
        <f>(IF(Z26="","",LOOKUP(Z26,BASE!A$4:A$125,BASE!H$4:H$125)))*ServExt[[#This Row],[HE CALC]]</f>
        <v>84</v>
      </c>
      <c r="AI26" s="102">
        <f>ServExt[[#This Row],[TOTAL HORAS]]*ServExt[[#This Row],[R$ / HORA]]</f>
        <v>37800</v>
      </c>
      <c r="AJ26" s="139">
        <f>BASE!$W$60</f>
        <v>0.66983973762634585</v>
      </c>
      <c r="AK26" s="141">
        <f t="shared" ref="AK26:AK64" si="4">AH26/AJ26</f>
        <v>125.40313045276122</v>
      </c>
      <c r="AL26" s="143">
        <f t="shared" ref="AL26:AL64" si="5">AI26/AJ26</f>
        <v>56431.408703742549</v>
      </c>
      <c r="AM26" s="144">
        <f>IF(OR(ServExt[[#This Row],[TIPO H]]="NORMAL",ServExt[[#This Row],[HORAS DIA]]&gt;=8),ServExt[[#This Row],[PESSOAS]]*ServExt[[#This Row],[DIAS]]*2,0)</f>
        <v>90</v>
      </c>
      <c r="AN26" s="144">
        <f>(IF(Z26="","",LOOKUP(Z26,BASE!A$4:A$19,BASE!E$4:E$19)))*ServExt[[#This Row],[TOTAL HORAS]]</f>
        <v>1376.1223943541791</v>
      </c>
      <c r="AO26" s="11">
        <f>IF(ServExt[[#This Row],[TIPO H]]="NORMAL",ServExt[[#This Row],[PESSOAS]],0)</f>
        <v>1</v>
      </c>
      <c r="AP26" s="174">
        <f>IFERROR(ServExt[[#This Row],[TOTAL3]]*(RESUMO!$F$22/RESUMO!$F$14),0)</f>
        <v>63584.685863371888</v>
      </c>
      <c r="AR26" s="168">
        <v>4</v>
      </c>
      <c r="AS26" s="97" t="s">
        <v>158</v>
      </c>
    </row>
    <row r="27" spans="1:45" s="2" customFormat="1" ht="14.5" x14ac:dyDescent="0.25">
      <c r="A27" s="14"/>
      <c r="B27" s="115">
        <v>3</v>
      </c>
      <c r="C27" s="115" t="s">
        <v>153</v>
      </c>
      <c r="D27" s="114" t="s">
        <v>154</v>
      </c>
      <c r="E27" s="132">
        <v>0</v>
      </c>
      <c r="F27" s="264">
        <f>LOOKUP('SERVICOS AUTPRO'!$E$25:$E$64,BASE!A$4:A$125,BASE!B$4:B$125)</f>
        <v>0</v>
      </c>
      <c r="G27" s="117"/>
      <c r="H27" s="134"/>
      <c r="I27" s="135">
        <v>8.8000000000000007</v>
      </c>
      <c r="J27" s="134" t="s">
        <v>155</v>
      </c>
      <c r="K27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27" s="137">
        <f>ServInt[[#This Row],[DIAS]]*ServInt[[#This Row],[PESSOAS]]*ServInt[[#This Row],[HORAS DIA]]</f>
        <v>0</v>
      </c>
      <c r="M27" s="138">
        <f>(IF(ServInt[[#This Row],[CÓDIGO]]="","",LOOKUP(E27,BASE!A$4:A$125,BASE!G$4:G$125)))*ServInt[[#This Row],[HE CALC]]</f>
        <v>0</v>
      </c>
      <c r="N27" s="102">
        <f>ServInt[[#This Row],[TOTAL HORAS]]*ServInt[[#This Row],[R$ / HORA]]</f>
        <v>0</v>
      </c>
      <c r="O27" s="139">
        <f>BASE!$W$60</f>
        <v>0.66983973762634585</v>
      </c>
      <c r="P27" s="138">
        <f t="shared" si="0"/>
        <v>0</v>
      </c>
      <c r="Q27" s="123">
        <f t="shared" si="1"/>
        <v>0</v>
      </c>
      <c r="R27" s="123"/>
      <c r="S27" s="123">
        <f>(IF(E27="","",LOOKUP(E27,BASE!A$4:A$19,BASE!E$4:E$19)))*ServInt[[#This Row],[TOTAL HORAS]]</f>
        <v>0</v>
      </c>
      <c r="T27" s="143">
        <f>IFERROR(ServInt[[#This Row],[TOTAL3]]*(RESUMO!$F$22/RESUMO!$F$14),0)</f>
        <v>0</v>
      </c>
      <c r="U27" s="11"/>
      <c r="V27" s="11"/>
      <c r="W27" s="115">
        <v>3</v>
      </c>
      <c r="X27" s="115" t="s">
        <v>156</v>
      </c>
      <c r="Y27" s="114" t="s">
        <v>154</v>
      </c>
      <c r="Z27" s="132">
        <v>65</v>
      </c>
      <c r="AA27" s="14" t="str">
        <f>LOOKUP(Z27,BASE!A$4:A$125,BASE!B$4:B$125)</f>
        <v>Instrumentista Tubista V</v>
      </c>
      <c r="AB27" s="117">
        <v>45</v>
      </c>
      <c r="AC27" s="134">
        <v>1</v>
      </c>
      <c r="AD27" s="135">
        <v>10</v>
      </c>
      <c r="AE27" s="134" t="s">
        <v>155</v>
      </c>
      <c r="AF27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27" s="13">
        <f>ServExt[[#This Row],[DIAS]]*ServExt[[#This Row],[PESSOAS]]*ServExt[[#This Row],[HORAS DIA]]</f>
        <v>450</v>
      </c>
      <c r="AH27" s="141">
        <f>(IF(Z27="","",LOOKUP(Z27,BASE!A$4:A$125,BASE!H$4:H$125)))*ServExt[[#This Row],[HE CALC]]</f>
        <v>42</v>
      </c>
      <c r="AI27" s="102">
        <f>ServExt[[#This Row],[TOTAL HORAS]]*ServExt[[#This Row],[R$ / HORA]]</f>
        <v>18900</v>
      </c>
      <c r="AJ27" s="139">
        <f>BASE!$W$60</f>
        <v>0.66983973762634585</v>
      </c>
      <c r="AK27" s="141">
        <f t="shared" si="4"/>
        <v>62.701565226380609</v>
      </c>
      <c r="AL27" s="143">
        <f t="shared" si="5"/>
        <v>28215.704351871274</v>
      </c>
      <c r="AM27" s="144">
        <f>IF(OR(ServExt[[#This Row],[TIPO H]]="NORMAL",ServExt[[#This Row],[HORAS DIA]]&gt;=8),ServExt[[#This Row],[PESSOAS]]*ServExt[[#This Row],[DIAS]]*2,0)</f>
        <v>90</v>
      </c>
      <c r="AN27" s="144">
        <f>(IF(Z27="","",LOOKUP(Z27,BASE!A$4:A$19,BASE!E$4:E$19)))*ServExt[[#This Row],[TOTAL HORAS]]</f>
        <v>1376.1223943541791</v>
      </c>
      <c r="AO27" s="11">
        <f>IF(ServExt[[#This Row],[TIPO H]]="NORMAL",ServExt[[#This Row],[PESSOAS]],0)</f>
        <v>1</v>
      </c>
      <c r="AP27" s="174">
        <f>IFERROR(ServExt[[#This Row],[TOTAL3]]*(RESUMO!$F$22/RESUMO!$F$14),0)</f>
        <v>31792.342931685944</v>
      </c>
      <c r="AR27" s="168">
        <v>5</v>
      </c>
      <c r="AS27" s="97" t="s">
        <v>159</v>
      </c>
    </row>
    <row r="28" spans="1:45" s="2" customFormat="1" ht="14.5" x14ac:dyDescent="0.25">
      <c r="A28" s="14"/>
      <c r="B28" s="115">
        <v>4</v>
      </c>
      <c r="C28" s="115" t="s">
        <v>153</v>
      </c>
      <c r="D28" s="114" t="s">
        <v>154</v>
      </c>
      <c r="E28" s="132">
        <v>0</v>
      </c>
      <c r="F28" s="264">
        <f>LOOKUP('SERVICOS AUTPRO'!$E$25:$E$64,BASE!A$4:A$125,BASE!B$4:B$125)</f>
        <v>0</v>
      </c>
      <c r="G28" s="117"/>
      <c r="H28" s="134"/>
      <c r="I28" s="135">
        <v>8.8000000000000007</v>
      </c>
      <c r="J28" s="134" t="s">
        <v>155</v>
      </c>
      <c r="K28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28" s="137">
        <f>ServInt[[#This Row],[DIAS]]*ServInt[[#This Row],[PESSOAS]]*ServInt[[#This Row],[HORAS DIA]]</f>
        <v>0</v>
      </c>
      <c r="M28" s="138">
        <f>(IF(ServInt[[#This Row],[CÓDIGO]]="","",LOOKUP(E28,BASE!A$4:A$125,BASE!G$4:G$125)))*ServInt[[#This Row],[HE CALC]]</f>
        <v>0</v>
      </c>
      <c r="N28" s="102">
        <f>ServInt[[#This Row],[TOTAL HORAS]]*ServInt[[#This Row],[R$ / HORA]]</f>
        <v>0</v>
      </c>
      <c r="O28" s="139">
        <f>BASE!$W$60</f>
        <v>0.66983973762634585</v>
      </c>
      <c r="P28" s="138">
        <f t="shared" si="0"/>
        <v>0</v>
      </c>
      <c r="Q28" s="123">
        <f t="shared" si="1"/>
        <v>0</v>
      </c>
      <c r="R28" s="123"/>
      <c r="S28" s="123">
        <f>(IF(E28="","",LOOKUP(E28,BASE!A$4:A$19,BASE!E$4:E$19)))*ServInt[[#This Row],[TOTAL HORAS]]</f>
        <v>0</v>
      </c>
      <c r="T28" s="143">
        <f>IFERROR(ServInt[[#This Row],[TOTAL3]]*(RESUMO!$F$22/RESUMO!$F$14),0)</f>
        <v>0</v>
      </c>
      <c r="U28" s="11"/>
      <c r="V28" s="11"/>
      <c r="W28" s="115">
        <v>4</v>
      </c>
      <c r="X28" s="115" t="s">
        <v>156</v>
      </c>
      <c r="Y28" s="114" t="s">
        <v>154</v>
      </c>
      <c r="Z28" s="132">
        <v>68</v>
      </c>
      <c r="AA28" s="14" t="str">
        <f>LOOKUP(Z28,BASE!A$4:A$125,BASE!B$4:B$125)</f>
        <v>Coodernador de Obras</v>
      </c>
      <c r="AB28" s="117">
        <v>20</v>
      </c>
      <c r="AC28" s="134">
        <v>1</v>
      </c>
      <c r="AD28" s="135">
        <v>10</v>
      </c>
      <c r="AE28" s="134" t="s">
        <v>155</v>
      </c>
      <c r="AF28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28" s="13">
        <f>ServExt[[#This Row],[DIAS]]*ServExt[[#This Row],[PESSOAS]]*ServExt[[#This Row],[HORAS DIA]]</f>
        <v>200</v>
      </c>
      <c r="AH28" s="141">
        <f>(IF(Z28="","",LOOKUP(Z28,BASE!A$4:A$125,BASE!H$4:H$125)))*ServExt[[#This Row],[HE CALC]]</f>
        <v>69</v>
      </c>
      <c r="AI28" s="102">
        <f>ServExt[[#This Row],[TOTAL HORAS]]*ServExt[[#This Row],[R$ / HORA]]</f>
        <v>13800</v>
      </c>
      <c r="AJ28" s="139">
        <f>BASE!$W$60</f>
        <v>0.66983973762634585</v>
      </c>
      <c r="AK28" s="141">
        <f t="shared" si="4"/>
        <v>103.00971430048243</v>
      </c>
      <c r="AL28" s="143">
        <f t="shared" si="5"/>
        <v>20601.942860096486</v>
      </c>
      <c r="AM28" s="144">
        <f>IF(OR(ServExt[[#This Row],[TIPO H]]="NORMAL",ServExt[[#This Row],[HORAS DIA]]&gt;=8),ServExt[[#This Row],[PESSOAS]]*ServExt[[#This Row],[DIAS]]*2,0)</f>
        <v>40</v>
      </c>
      <c r="AN28" s="144">
        <f>(IF(Z28="","",LOOKUP(Z28,BASE!A$4:A$19,BASE!E$4:E$19)))*ServExt[[#This Row],[TOTAL HORAS]]</f>
        <v>611.60995304630183</v>
      </c>
      <c r="AO28" s="11">
        <f>IF(ServExt[[#This Row],[TIPO H]]="NORMAL",ServExt[[#This Row],[PESSOAS]],0)</f>
        <v>1</v>
      </c>
      <c r="AP28" s="174">
        <f>IFERROR(ServExt[[#This Row],[TOTAL3]]*(RESUMO!$F$22/RESUMO!$F$14),0)</f>
        <v>23213.45674377069</v>
      </c>
      <c r="AR28" s="168">
        <v>6</v>
      </c>
      <c r="AS28" s="97" t="s">
        <v>160</v>
      </c>
    </row>
    <row r="29" spans="1:45" s="2" customFormat="1" ht="15" customHeight="1" x14ac:dyDescent="0.25">
      <c r="A29" s="14"/>
      <c r="B29" s="115">
        <v>5</v>
      </c>
      <c r="C29" s="115" t="s">
        <v>153</v>
      </c>
      <c r="D29" s="114" t="s">
        <v>154</v>
      </c>
      <c r="E29" s="132">
        <v>0</v>
      </c>
      <c r="F29" s="264">
        <f>LOOKUP('SERVICOS AUTPRO'!$E$25:$E$64,BASE!A$4:A$125,BASE!B$4:B$125)</f>
        <v>0</v>
      </c>
      <c r="G29" s="117"/>
      <c r="H29" s="134"/>
      <c r="I29" s="135">
        <v>8.8000000000000007</v>
      </c>
      <c r="J29" s="134" t="s">
        <v>155</v>
      </c>
      <c r="K29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29" s="137">
        <f>ServInt[[#This Row],[DIAS]]*ServInt[[#This Row],[PESSOAS]]*ServInt[[#This Row],[HORAS DIA]]</f>
        <v>0</v>
      </c>
      <c r="M29" s="138">
        <f>(IF(ServInt[[#This Row],[CÓDIGO]]="","",LOOKUP(E29,BASE!A$4:A$125,BASE!G$4:G$125)))*ServInt[[#This Row],[HE CALC]]</f>
        <v>0</v>
      </c>
      <c r="N29" s="102">
        <f>ServInt[[#This Row],[TOTAL HORAS]]*ServInt[[#This Row],[R$ / HORA]]</f>
        <v>0</v>
      </c>
      <c r="O29" s="139">
        <f>BASE!$W$60</f>
        <v>0.66983973762634585</v>
      </c>
      <c r="P29" s="138">
        <f t="shared" si="0"/>
        <v>0</v>
      </c>
      <c r="Q29" s="123">
        <f t="shared" si="1"/>
        <v>0</v>
      </c>
      <c r="R29" s="123"/>
      <c r="S29" s="123">
        <f>(IF(E29="","",LOOKUP(E29,BASE!A$4:A$19,BASE!E$4:E$19)))*ServInt[[#This Row],[TOTAL HORAS]]</f>
        <v>0</v>
      </c>
      <c r="T29" s="143">
        <f>IFERROR(ServInt[[#This Row],[TOTAL3]]*(RESUMO!$F$22/RESUMO!$F$14),0)</f>
        <v>0</v>
      </c>
      <c r="U29" s="11"/>
      <c r="V29" s="11"/>
      <c r="W29" s="115">
        <v>5</v>
      </c>
      <c r="X29" s="115" t="s">
        <v>156</v>
      </c>
      <c r="Y29" s="114" t="s">
        <v>154</v>
      </c>
      <c r="Z29" s="132">
        <v>30</v>
      </c>
      <c r="AA29" s="14" t="str">
        <f>LOOKUP(Z29,BASE!A$4:A$125,BASE!B$4:B$125)</f>
        <v>Projetista Elétrico V</v>
      </c>
      <c r="AB29" s="117">
        <v>10</v>
      </c>
      <c r="AC29" s="134">
        <v>1</v>
      </c>
      <c r="AD29" s="135">
        <v>10</v>
      </c>
      <c r="AE29" s="134" t="s">
        <v>155</v>
      </c>
      <c r="AF29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29" s="13">
        <f>ServExt[[#This Row],[DIAS]]*ServExt[[#This Row],[PESSOAS]]*ServExt[[#This Row],[HORAS DIA]]</f>
        <v>100</v>
      </c>
      <c r="AH29" s="141">
        <f>(IF(Z29="","",LOOKUP(Z29,BASE!A$4:A$125,BASE!H$4:H$125)))*ServExt[[#This Row],[HE CALC]]</f>
        <v>45</v>
      </c>
      <c r="AI29" s="102">
        <f>ServExt[[#This Row],[TOTAL HORAS]]*ServExt[[#This Row],[R$ / HORA]]</f>
        <v>4500</v>
      </c>
      <c r="AJ29" s="139">
        <f>BASE!$W$60</f>
        <v>0.66983973762634585</v>
      </c>
      <c r="AK29" s="141">
        <f t="shared" si="4"/>
        <v>67.180248456836367</v>
      </c>
      <c r="AL29" s="143">
        <f t="shared" si="5"/>
        <v>6718.0248456836371</v>
      </c>
      <c r="AM29" s="144">
        <f>IF(OR(ServExt[[#This Row],[TIPO H]]="NORMAL",ServExt[[#This Row],[HORAS DIA]]&gt;=8),ServExt[[#This Row],[PESSOAS]]*ServExt[[#This Row],[DIAS]]*2,0)</f>
        <v>20</v>
      </c>
      <c r="AN29" s="144">
        <f>(IF(Z29="","",LOOKUP(Z29,BASE!A$4:A$19,BASE!E$4:E$19)))*ServExt[[#This Row],[TOTAL HORAS]]</f>
        <v>305.80497652315091</v>
      </c>
      <c r="AO29" s="11">
        <f>IF(ServExt[[#This Row],[TIPO H]]="NORMAL",ServExt[[#This Row],[PESSOAS]],0)</f>
        <v>1</v>
      </c>
      <c r="AP29" s="174">
        <f>IFERROR(ServExt[[#This Row],[TOTAL3]]*(RESUMO!$F$22/RESUMO!$F$14),0)</f>
        <v>7569.6054599252257</v>
      </c>
      <c r="AR29" s="168">
        <v>7</v>
      </c>
      <c r="AS29" s="97" t="s">
        <v>161</v>
      </c>
    </row>
    <row r="30" spans="1:45" s="2" customFormat="1" ht="14.5" customHeight="1" x14ac:dyDescent="0.25">
      <c r="A30" s="14"/>
      <c r="B30" s="115">
        <v>6</v>
      </c>
      <c r="C30" s="115" t="s">
        <v>153</v>
      </c>
      <c r="D30" s="114" t="s">
        <v>154</v>
      </c>
      <c r="E30" s="132">
        <v>0</v>
      </c>
      <c r="F30" s="264">
        <f>LOOKUP('SERVICOS AUTPRO'!$E$25:$E$64,BASE!A$4:A$125,BASE!B$4:B$125)</f>
        <v>0</v>
      </c>
      <c r="G30" s="117"/>
      <c r="H30" s="134"/>
      <c r="I30" s="135">
        <v>8.8000000000000007</v>
      </c>
      <c r="J30" s="134" t="s">
        <v>155</v>
      </c>
      <c r="K30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0" s="137">
        <f>ServInt[[#This Row],[DIAS]]*ServInt[[#This Row],[PESSOAS]]*ServInt[[#This Row],[HORAS DIA]]</f>
        <v>0</v>
      </c>
      <c r="M30" s="138">
        <f>(IF(ServInt[[#This Row],[CÓDIGO]]="","",LOOKUP(E30,BASE!A$4:A$125,BASE!G$4:G$125)))*ServInt[[#This Row],[HE CALC]]</f>
        <v>0</v>
      </c>
      <c r="N30" s="102">
        <f>ServInt[[#This Row],[TOTAL HORAS]]*ServInt[[#This Row],[R$ / HORA]]</f>
        <v>0</v>
      </c>
      <c r="O30" s="139">
        <f>BASE!$W$60</f>
        <v>0.66983973762634585</v>
      </c>
      <c r="P30" s="138">
        <f t="shared" si="0"/>
        <v>0</v>
      </c>
      <c r="Q30" s="123">
        <f t="shared" si="1"/>
        <v>0</v>
      </c>
      <c r="R30" s="123"/>
      <c r="S30" s="123">
        <f>(IF(E30="","",LOOKUP(E30,BASE!A$4:A$19,BASE!E$4:E$19)))*ServInt[[#This Row],[TOTAL HORAS]]</f>
        <v>0</v>
      </c>
      <c r="T30" s="143">
        <f>IFERROR(ServInt[[#This Row],[TOTAL3]]*(RESUMO!$F$22/RESUMO!$F$14),0)</f>
        <v>0</v>
      </c>
      <c r="U30" s="11"/>
      <c r="V30" s="11"/>
      <c r="W30" s="115">
        <v>6</v>
      </c>
      <c r="X30" s="115" t="s">
        <v>156</v>
      </c>
      <c r="Y30" s="114" t="s">
        <v>154</v>
      </c>
      <c r="Z30" s="132">
        <v>0</v>
      </c>
      <c r="AA30" s="14">
        <f>LOOKUP(Z30,BASE!A$4:A$125,BASE!B$4:B$125)</f>
        <v>0</v>
      </c>
      <c r="AB30" s="117"/>
      <c r="AC30" s="134"/>
      <c r="AD30" s="135">
        <v>8.8000000000000007</v>
      </c>
      <c r="AE30" s="134" t="s">
        <v>155</v>
      </c>
      <c r="AF30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0" s="13">
        <f>ServExt[[#This Row],[DIAS]]*ServExt[[#This Row],[PESSOAS]]*ServExt[[#This Row],[HORAS DIA]]</f>
        <v>0</v>
      </c>
      <c r="AH30" s="141">
        <f>(IF(Z30="","",LOOKUP(Z30,BASE!A$4:A$125,BASE!H$4:H$125)))*ServExt[[#This Row],[HE CALC]]</f>
        <v>0</v>
      </c>
      <c r="AI30" s="102">
        <f>ServExt[[#This Row],[TOTAL HORAS]]*ServExt[[#This Row],[R$ / HORA]]</f>
        <v>0</v>
      </c>
      <c r="AJ30" s="139">
        <f>BASE!$W$60</f>
        <v>0.66983973762634585</v>
      </c>
      <c r="AK30" s="141">
        <f t="shared" si="4"/>
        <v>0</v>
      </c>
      <c r="AL30" s="143">
        <f t="shared" si="5"/>
        <v>0</v>
      </c>
      <c r="AM30" s="144">
        <f>IF(OR(ServExt[[#This Row],[TIPO H]]="NORMAL",ServExt[[#This Row],[HORAS DIA]]&gt;=8),ServExt[[#This Row],[PESSOAS]]*ServExt[[#This Row],[DIAS]]*2,0)</f>
        <v>0</v>
      </c>
      <c r="AN30" s="144">
        <f>(IF(Z30="","",LOOKUP(Z30,BASE!A$4:A$19,BASE!E$4:E$19)))*ServExt[[#This Row],[TOTAL HORAS]]</f>
        <v>0</v>
      </c>
      <c r="AO30" s="11">
        <f>IF(ServExt[[#This Row],[TIPO H]]="NORMAL",ServExt[[#This Row],[PESSOAS]],0)</f>
        <v>0</v>
      </c>
      <c r="AP30" s="174">
        <f>IFERROR(ServExt[[#This Row],[TOTAL3]]*(RESUMO!$F$22/RESUMO!$F$14),0)</f>
        <v>0</v>
      </c>
      <c r="AR30" s="168">
        <v>8</v>
      </c>
      <c r="AS30" s="97" t="s">
        <v>162</v>
      </c>
    </row>
    <row r="31" spans="1:45" s="2" customFormat="1" ht="14.5" x14ac:dyDescent="0.25">
      <c r="A31" s="14"/>
      <c r="B31" s="115">
        <v>7</v>
      </c>
      <c r="C31" s="115" t="s">
        <v>153</v>
      </c>
      <c r="D31" s="114" t="s">
        <v>154</v>
      </c>
      <c r="E31" s="132">
        <v>0</v>
      </c>
      <c r="F31" s="264">
        <f>LOOKUP('SERVICOS AUTPRO'!$E$25:$E$64,BASE!A$4:A$125,BASE!B$4:B$125)</f>
        <v>0</v>
      </c>
      <c r="G31" s="117"/>
      <c r="H31" s="134"/>
      <c r="I31" s="135">
        <v>8.8000000000000007</v>
      </c>
      <c r="J31" s="134" t="s">
        <v>155</v>
      </c>
      <c r="K31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1" s="137">
        <f>ServInt[[#This Row],[DIAS]]*ServInt[[#This Row],[PESSOAS]]*ServInt[[#This Row],[HORAS DIA]]</f>
        <v>0</v>
      </c>
      <c r="M31" s="138">
        <f>(IF(ServInt[[#This Row],[CÓDIGO]]="","",LOOKUP(E31,BASE!A$4:A$125,BASE!G$4:G$125)))*ServInt[[#This Row],[HE CALC]]</f>
        <v>0</v>
      </c>
      <c r="N31" s="102">
        <f>ServInt[[#This Row],[TOTAL HORAS]]*ServInt[[#This Row],[R$ / HORA]]</f>
        <v>0</v>
      </c>
      <c r="O31" s="139">
        <f>BASE!$W$60</f>
        <v>0.66983973762634585</v>
      </c>
      <c r="P31" s="138">
        <f t="shared" si="0"/>
        <v>0</v>
      </c>
      <c r="Q31" s="123">
        <f t="shared" si="1"/>
        <v>0</v>
      </c>
      <c r="R31" s="123"/>
      <c r="S31" s="123">
        <f>(IF(E31="","",LOOKUP(E31,BASE!A$4:A$19,BASE!E$4:E$19)))*ServInt[[#This Row],[TOTAL HORAS]]</f>
        <v>0</v>
      </c>
      <c r="T31" s="143">
        <f>IFERROR(ServInt[[#This Row],[TOTAL3]]*(RESUMO!$F$22/RESUMO!$F$14),0)</f>
        <v>0</v>
      </c>
      <c r="U31" s="11"/>
      <c r="V31" s="11"/>
      <c r="W31" s="115">
        <v>7</v>
      </c>
      <c r="X31" s="115" t="s">
        <v>156</v>
      </c>
      <c r="Y31" s="114" t="s">
        <v>154</v>
      </c>
      <c r="Z31" s="132">
        <v>0</v>
      </c>
      <c r="AA31" s="14">
        <f>LOOKUP(Z31,BASE!A$4:A$125,BASE!B$4:B$125)</f>
        <v>0</v>
      </c>
      <c r="AB31" s="117"/>
      <c r="AC31" s="134"/>
      <c r="AD31" s="135">
        <v>8.8000000000000007</v>
      </c>
      <c r="AE31" s="134" t="s">
        <v>155</v>
      </c>
      <c r="AF31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1" s="13">
        <f>ServExt[[#This Row],[DIAS]]*ServExt[[#This Row],[PESSOAS]]*ServExt[[#This Row],[HORAS DIA]]</f>
        <v>0</v>
      </c>
      <c r="AH31" s="141">
        <f>(IF(Z31="","",LOOKUP(Z31,BASE!A$4:A$125,BASE!H$4:H$125)))*ServExt[[#This Row],[HE CALC]]</f>
        <v>0</v>
      </c>
      <c r="AI31" s="102">
        <f>ServExt[[#This Row],[TOTAL HORAS]]*ServExt[[#This Row],[R$ / HORA]]</f>
        <v>0</v>
      </c>
      <c r="AJ31" s="139">
        <f>BASE!$W$60</f>
        <v>0.66983973762634585</v>
      </c>
      <c r="AK31" s="141">
        <f t="shared" si="4"/>
        <v>0</v>
      </c>
      <c r="AL31" s="143">
        <f t="shared" si="5"/>
        <v>0</v>
      </c>
      <c r="AM31" s="144">
        <f>IF(OR(ServExt[[#This Row],[TIPO H]]="NORMAL",ServExt[[#This Row],[HORAS DIA]]&gt;=8),ServExt[[#This Row],[PESSOAS]]*ServExt[[#This Row],[DIAS]]*2,0)</f>
        <v>0</v>
      </c>
      <c r="AN31" s="144">
        <f>(IF(Z31="","",LOOKUP(Z31,BASE!A$4:A$19,BASE!E$4:E$19)))*ServExt[[#This Row],[TOTAL HORAS]]</f>
        <v>0</v>
      </c>
      <c r="AO31" s="11">
        <f>IF(ServExt[[#This Row],[TIPO H]]="NORMAL",ServExt[[#This Row],[PESSOAS]],0)</f>
        <v>0</v>
      </c>
      <c r="AP31" s="174">
        <f>IFERROR(ServExt[[#This Row],[TOTAL3]]*(RESUMO!$F$22/RESUMO!$F$14),0)</f>
        <v>0</v>
      </c>
      <c r="AR31" s="168">
        <v>9</v>
      </c>
      <c r="AS31" s="97" t="s">
        <v>163</v>
      </c>
    </row>
    <row r="32" spans="1:45" s="2" customFormat="1" ht="14.5" x14ac:dyDescent="0.25">
      <c r="A32" s="14"/>
      <c r="B32" s="115">
        <v>8</v>
      </c>
      <c r="C32" s="115" t="s">
        <v>153</v>
      </c>
      <c r="D32" s="114" t="s">
        <v>154</v>
      </c>
      <c r="E32" s="132">
        <v>0</v>
      </c>
      <c r="F32" s="264">
        <f>LOOKUP('SERVICOS AUTPRO'!$E$25:$E$64,BASE!A$4:A$125,BASE!B$4:B$125)</f>
        <v>0</v>
      </c>
      <c r="G32" s="117">
        <v>0</v>
      </c>
      <c r="H32" s="134"/>
      <c r="I32" s="135">
        <v>8.8000000000000007</v>
      </c>
      <c r="J32" s="134" t="s">
        <v>155</v>
      </c>
      <c r="K32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2" s="137">
        <f>ServInt[[#This Row],[DIAS]]*ServInt[[#This Row],[PESSOAS]]*ServInt[[#This Row],[HORAS DIA]]</f>
        <v>0</v>
      </c>
      <c r="M32" s="138">
        <f>(IF(ServInt[[#This Row],[CÓDIGO]]="","",LOOKUP(E32,BASE!A$4:A$125,BASE!G$4:G$125)))*ServInt[[#This Row],[HE CALC]]</f>
        <v>0</v>
      </c>
      <c r="N32" s="102">
        <f>ServInt[[#This Row],[TOTAL HORAS]]*ServInt[[#This Row],[R$ / HORA]]</f>
        <v>0</v>
      </c>
      <c r="O32" s="139">
        <f>BASE!$W$60</f>
        <v>0.66983973762634585</v>
      </c>
      <c r="P32" s="138">
        <f t="shared" si="0"/>
        <v>0</v>
      </c>
      <c r="Q32" s="123">
        <f t="shared" si="1"/>
        <v>0</v>
      </c>
      <c r="R32" s="123"/>
      <c r="S32" s="123">
        <f>(IF(E32="","",LOOKUP(E32,BASE!A$4:A$19,BASE!E$4:E$19)))*ServInt[[#This Row],[TOTAL HORAS]]</f>
        <v>0</v>
      </c>
      <c r="T32" s="143">
        <f>IFERROR(ServInt[[#This Row],[TOTAL3]]*(RESUMO!$F$22/RESUMO!$F$14),0)</f>
        <v>0</v>
      </c>
      <c r="U32" s="11"/>
      <c r="V32" s="11"/>
      <c r="W32" s="115">
        <v>8</v>
      </c>
      <c r="X32" s="115" t="s">
        <v>156</v>
      </c>
      <c r="Y32" s="114" t="s">
        <v>154</v>
      </c>
      <c r="Z32" s="132">
        <v>0</v>
      </c>
      <c r="AA32" s="14">
        <f>LOOKUP(Z32,BASE!A$4:A$125,BASE!B$4:B$125)</f>
        <v>0</v>
      </c>
      <c r="AB32" s="117"/>
      <c r="AC32" s="134"/>
      <c r="AD32" s="135">
        <v>8.8000000000000007</v>
      </c>
      <c r="AE32" s="134" t="s">
        <v>155</v>
      </c>
      <c r="AF32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2" s="13">
        <f>ServExt[[#This Row],[DIAS]]*ServExt[[#This Row],[PESSOAS]]*ServExt[[#This Row],[HORAS DIA]]</f>
        <v>0</v>
      </c>
      <c r="AH32" s="141">
        <f>(IF(Z32="","",LOOKUP(Z32,BASE!A$4:A$125,BASE!H$4:H$125)))*ServExt[[#This Row],[HE CALC]]</f>
        <v>0</v>
      </c>
      <c r="AI32" s="102">
        <f>ServExt[[#This Row],[TOTAL HORAS]]*ServExt[[#This Row],[R$ / HORA]]</f>
        <v>0</v>
      </c>
      <c r="AJ32" s="139">
        <f>BASE!$W$60</f>
        <v>0.66983973762634585</v>
      </c>
      <c r="AK32" s="141">
        <f t="shared" si="4"/>
        <v>0</v>
      </c>
      <c r="AL32" s="143">
        <f t="shared" si="5"/>
        <v>0</v>
      </c>
      <c r="AM32" s="144">
        <f>IF(OR(ServExt[[#This Row],[TIPO H]]="NORMAL",ServExt[[#This Row],[HORAS DIA]]&gt;=8),ServExt[[#This Row],[PESSOAS]]*ServExt[[#This Row],[DIAS]]*2,0)</f>
        <v>0</v>
      </c>
      <c r="AN32" s="144">
        <f>(IF(Z32="","",LOOKUP(Z32,BASE!A$4:A$19,BASE!E$4:E$19)))*ServExt[[#This Row],[TOTAL HORAS]]</f>
        <v>0</v>
      </c>
      <c r="AO32" s="11">
        <f>IF(ServExt[[#This Row],[TIPO H]]="NORMAL",ServExt[[#This Row],[PESSOAS]],0)</f>
        <v>0</v>
      </c>
      <c r="AP32" s="174">
        <f>IFERROR(ServExt[[#This Row],[TOTAL3]]*(RESUMO!$F$22/RESUMO!$F$14),0)</f>
        <v>0</v>
      </c>
      <c r="AR32" s="168">
        <v>10</v>
      </c>
      <c r="AS32" s="97" t="s">
        <v>164</v>
      </c>
    </row>
    <row r="33" spans="1:45" s="2" customFormat="1" ht="14.5" x14ac:dyDescent="0.25">
      <c r="A33" s="14"/>
      <c r="B33" s="115">
        <v>9</v>
      </c>
      <c r="C33" s="115" t="s">
        <v>153</v>
      </c>
      <c r="D33" s="114" t="s">
        <v>154</v>
      </c>
      <c r="E33" s="132">
        <v>0</v>
      </c>
      <c r="F33" s="264">
        <f>LOOKUP('SERVICOS AUTPRO'!$E$25:$E$64,BASE!A$4:A$125,BASE!B$4:B$125)</f>
        <v>0</v>
      </c>
      <c r="G33" s="117"/>
      <c r="H33" s="134"/>
      <c r="I33" s="135">
        <v>8.8000000000000007</v>
      </c>
      <c r="J33" s="134" t="s">
        <v>155</v>
      </c>
      <c r="K33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3" s="137">
        <f>ServInt[[#This Row],[DIAS]]*ServInt[[#This Row],[PESSOAS]]*ServInt[[#This Row],[HORAS DIA]]</f>
        <v>0</v>
      </c>
      <c r="M33" s="138">
        <f>(IF(ServInt[[#This Row],[CÓDIGO]]="","",LOOKUP(E33,BASE!A$4:A$125,BASE!G$4:G$125)))*ServInt[[#This Row],[HE CALC]]</f>
        <v>0</v>
      </c>
      <c r="N33" s="102">
        <f>ServInt[[#This Row],[TOTAL HORAS]]*ServInt[[#This Row],[R$ / HORA]]</f>
        <v>0</v>
      </c>
      <c r="O33" s="139">
        <f>BASE!$W$60</f>
        <v>0.66983973762634585</v>
      </c>
      <c r="P33" s="138">
        <f t="shared" si="0"/>
        <v>0</v>
      </c>
      <c r="Q33" s="123">
        <f t="shared" si="1"/>
        <v>0</v>
      </c>
      <c r="R33" s="123"/>
      <c r="S33" s="123">
        <f>(IF(E33="","",LOOKUP(E33,BASE!A$4:A$19,BASE!E$4:E$19)))*ServInt[[#This Row],[TOTAL HORAS]]</f>
        <v>0</v>
      </c>
      <c r="T33" s="143">
        <f>IFERROR(ServInt[[#This Row],[TOTAL3]]*(RESUMO!$F$22/RESUMO!$F$14),0)</f>
        <v>0</v>
      </c>
      <c r="U33" s="11"/>
      <c r="V33" s="11"/>
      <c r="W33" s="115">
        <v>9</v>
      </c>
      <c r="X33" s="115" t="s">
        <v>156</v>
      </c>
      <c r="Y33" s="114" t="s">
        <v>154</v>
      </c>
      <c r="Z33" s="132">
        <v>0</v>
      </c>
      <c r="AA33" s="14">
        <f>LOOKUP(Z33,BASE!A$4:A$125,BASE!B$4:B$125)</f>
        <v>0</v>
      </c>
      <c r="AB33" s="117"/>
      <c r="AC33" s="134"/>
      <c r="AD33" s="135">
        <v>8.8000000000000007</v>
      </c>
      <c r="AE33" s="134" t="s">
        <v>155</v>
      </c>
      <c r="AF33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3" s="13">
        <f>ServExt[[#This Row],[DIAS]]*ServExt[[#This Row],[PESSOAS]]*ServExt[[#This Row],[HORAS DIA]]</f>
        <v>0</v>
      </c>
      <c r="AH33" s="141">
        <f>(IF(Z33="","",LOOKUP(Z33,BASE!A$4:A$125,BASE!H$4:H$125)))*ServExt[[#This Row],[HE CALC]]</f>
        <v>0</v>
      </c>
      <c r="AI33" s="102">
        <f>ServExt[[#This Row],[TOTAL HORAS]]*ServExt[[#This Row],[R$ / HORA]]</f>
        <v>0</v>
      </c>
      <c r="AJ33" s="139">
        <f>BASE!$W$60</f>
        <v>0.66983973762634585</v>
      </c>
      <c r="AK33" s="141">
        <f t="shared" si="4"/>
        <v>0</v>
      </c>
      <c r="AL33" s="143">
        <f t="shared" si="5"/>
        <v>0</v>
      </c>
      <c r="AM33" s="144">
        <f>IF(OR(ServExt[[#This Row],[TIPO H]]="NORMAL",ServExt[[#This Row],[HORAS DIA]]&gt;=8),ServExt[[#This Row],[PESSOAS]]*ServExt[[#This Row],[DIAS]]*2,0)</f>
        <v>0</v>
      </c>
      <c r="AN33" s="144">
        <f>(IF(Z33="","",LOOKUP(Z33,BASE!A$4:A$19,BASE!E$4:E$19)))*ServExt[[#This Row],[TOTAL HORAS]]</f>
        <v>0</v>
      </c>
      <c r="AO33" s="11">
        <f>IF(ServExt[[#This Row],[TIPO H]]="NORMAL",ServExt[[#This Row],[PESSOAS]],0)</f>
        <v>0</v>
      </c>
      <c r="AP33" s="174">
        <f>IFERROR(ServExt[[#This Row],[TOTAL3]]*(RESUMO!$F$22/RESUMO!$F$14),0)</f>
        <v>0</v>
      </c>
      <c r="AR33" s="168">
        <v>11</v>
      </c>
      <c r="AS33" s="97" t="s">
        <v>165</v>
      </c>
    </row>
    <row r="34" spans="1:45" s="2" customFormat="1" ht="14.5" x14ac:dyDescent="0.25">
      <c r="A34" s="14"/>
      <c r="B34" s="115">
        <v>10</v>
      </c>
      <c r="C34" s="115" t="s">
        <v>153</v>
      </c>
      <c r="D34" s="114" t="s">
        <v>154</v>
      </c>
      <c r="E34" s="132">
        <v>0</v>
      </c>
      <c r="F34" s="264">
        <f>LOOKUP('SERVICOS AUTPRO'!$E$25:$E$64,BASE!A$4:A$125,BASE!B$4:B$125)</f>
        <v>0</v>
      </c>
      <c r="G34" s="117"/>
      <c r="H34" s="134"/>
      <c r="I34" s="135">
        <v>8.8000000000000007</v>
      </c>
      <c r="J34" s="134" t="s">
        <v>155</v>
      </c>
      <c r="K34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4" s="137">
        <f>ServInt[[#This Row],[DIAS]]*ServInt[[#This Row],[PESSOAS]]*ServInt[[#This Row],[HORAS DIA]]</f>
        <v>0</v>
      </c>
      <c r="M34" s="138">
        <f>(IF(ServInt[[#This Row],[CÓDIGO]]="","",LOOKUP(E34,BASE!A$4:A$125,BASE!G$4:G$125)))*ServInt[[#This Row],[HE CALC]]</f>
        <v>0</v>
      </c>
      <c r="N34" s="102">
        <f>ServInt[[#This Row],[TOTAL HORAS]]*ServInt[[#This Row],[R$ / HORA]]</f>
        <v>0</v>
      </c>
      <c r="O34" s="139">
        <f>BASE!$W$60</f>
        <v>0.66983973762634585</v>
      </c>
      <c r="P34" s="138">
        <f t="shared" si="0"/>
        <v>0</v>
      </c>
      <c r="Q34" s="123">
        <f t="shared" si="1"/>
        <v>0</v>
      </c>
      <c r="R34" s="123"/>
      <c r="S34" s="123">
        <f>(IF(E34="","",LOOKUP(E34,BASE!A$4:A$19,BASE!E$4:E$19)))*ServInt[[#This Row],[TOTAL HORAS]]</f>
        <v>0</v>
      </c>
      <c r="T34" s="143">
        <f>IFERROR(ServInt[[#This Row],[TOTAL3]]*(RESUMO!$F$22/RESUMO!$F$14),0)</f>
        <v>0</v>
      </c>
      <c r="U34" s="11"/>
      <c r="V34" s="11"/>
      <c r="W34" s="115">
        <v>10</v>
      </c>
      <c r="X34" s="115" t="s">
        <v>156</v>
      </c>
      <c r="Y34" s="114" t="s">
        <v>154</v>
      </c>
      <c r="Z34" s="132">
        <v>0</v>
      </c>
      <c r="AA34" s="14">
        <f>LOOKUP(Z34,BASE!A$4:A$125,BASE!B$4:B$125)</f>
        <v>0</v>
      </c>
      <c r="AB34" s="117"/>
      <c r="AC34" s="134"/>
      <c r="AD34" s="135">
        <v>8</v>
      </c>
      <c r="AE34" s="134" t="s">
        <v>155</v>
      </c>
      <c r="AF34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4" s="13">
        <f>ServExt[[#This Row],[DIAS]]*ServExt[[#This Row],[PESSOAS]]*ServExt[[#This Row],[HORAS DIA]]</f>
        <v>0</v>
      </c>
      <c r="AH34" s="141">
        <f>(IF(Z34="","",LOOKUP(Z34,BASE!A$4:A$125,BASE!H$4:H$125)))*ServExt[[#This Row],[HE CALC]]</f>
        <v>0</v>
      </c>
      <c r="AI34" s="102">
        <f>ServExt[[#This Row],[TOTAL HORAS]]*ServExt[[#This Row],[R$ / HORA]]</f>
        <v>0</v>
      </c>
      <c r="AJ34" s="139">
        <f>BASE!$W$60</f>
        <v>0.66983973762634585</v>
      </c>
      <c r="AK34" s="141">
        <f t="shared" si="4"/>
        <v>0</v>
      </c>
      <c r="AL34" s="143">
        <f t="shared" si="5"/>
        <v>0</v>
      </c>
      <c r="AM34" s="144">
        <f>IF(OR(ServExt[[#This Row],[TIPO H]]="NORMAL",ServExt[[#This Row],[HORAS DIA]]&gt;=8),ServExt[[#This Row],[PESSOAS]]*ServExt[[#This Row],[DIAS]]*2,0)</f>
        <v>0</v>
      </c>
      <c r="AN34" s="144">
        <f>(IF(Z34="","",LOOKUP(Z34,BASE!A$4:A$19,BASE!E$4:E$19)))*ServExt[[#This Row],[TOTAL HORAS]]</f>
        <v>0</v>
      </c>
      <c r="AO34" s="11">
        <f>IF(ServExt[[#This Row],[TIPO H]]="NORMAL",ServExt[[#This Row],[PESSOAS]],0)</f>
        <v>0</v>
      </c>
      <c r="AP34" s="174">
        <f>IFERROR(ServExt[[#This Row],[TOTAL3]]*(RESUMO!$F$22/RESUMO!$F$14),0)</f>
        <v>0</v>
      </c>
      <c r="AR34" s="168">
        <v>12</v>
      </c>
      <c r="AS34" s="97" t="s">
        <v>166</v>
      </c>
    </row>
    <row r="35" spans="1:45" s="2" customFormat="1" ht="14.5" x14ac:dyDescent="0.25">
      <c r="A35" s="14"/>
      <c r="B35" s="115">
        <v>11</v>
      </c>
      <c r="C35" s="115" t="s">
        <v>153</v>
      </c>
      <c r="D35" s="114" t="s">
        <v>154</v>
      </c>
      <c r="E35" s="132">
        <v>0</v>
      </c>
      <c r="F35" s="264">
        <f>LOOKUP('SERVICOS AUTPRO'!$E$25:$E$64,BASE!A$4:A$125,BASE!B$4:B$125)</f>
        <v>0</v>
      </c>
      <c r="G35" s="117"/>
      <c r="H35" s="134"/>
      <c r="I35" s="135">
        <v>8.8000000000000007</v>
      </c>
      <c r="J35" s="134" t="s">
        <v>155</v>
      </c>
      <c r="K35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5" s="137">
        <f>ServInt[[#This Row],[DIAS]]*ServInt[[#This Row],[PESSOAS]]*ServInt[[#This Row],[HORAS DIA]]</f>
        <v>0</v>
      </c>
      <c r="M35" s="138">
        <f>(IF(ServInt[[#This Row],[CÓDIGO]]="","",LOOKUP(E35,BASE!A$4:A$125,BASE!G$4:G$125)))*ServInt[[#This Row],[HE CALC]]</f>
        <v>0</v>
      </c>
      <c r="N35" s="102">
        <f>ServInt[[#This Row],[TOTAL HORAS]]*ServInt[[#This Row],[R$ / HORA]]</f>
        <v>0</v>
      </c>
      <c r="O35" s="139">
        <f>BASE!$W$60</f>
        <v>0.66983973762634585</v>
      </c>
      <c r="P35" s="138">
        <f t="shared" si="0"/>
        <v>0</v>
      </c>
      <c r="Q35" s="123">
        <f t="shared" si="1"/>
        <v>0</v>
      </c>
      <c r="R35" s="123"/>
      <c r="S35" s="123">
        <f>(IF(E35="","",LOOKUP(E35,BASE!A$4:A$19,BASE!E$4:E$19)))*ServInt[[#This Row],[TOTAL HORAS]]</f>
        <v>0</v>
      </c>
      <c r="T35" s="143">
        <f>IFERROR(ServInt[[#This Row],[TOTAL3]]*(RESUMO!$F$22/RESUMO!$F$14),0)</f>
        <v>0</v>
      </c>
      <c r="U35" s="11"/>
      <c r="V35" s="11"/>
      <c r="W35" s="115">
        <v>11</v>
      </c>
      <c r="X35" s="115" t="s">
        <v>156</v>
      </c>
      <c r="Y35" s="114" t="s">
        <v>154</v>
      </c>
      <c r="Z35" s="132">
        <v>0</v>
      </c>
      <c r="AA35" s="14">
        <f>LOOKUP(Z35,BASE!A$4:A$125,BASE!B$4:B$125)</f>
        <v>0</v>
      </c>
      <c r="AB35" s="117"/>
      <c r="AC35" s="134"/>
      <c r="AD35" s="135">
        <v>8.8000000000000007</v>
      </c>
      <c r="AE35" s="134" t="s">
        <v>155</v>
      </c>
      <c r="AF35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5" s="13">
        <f>ServExt[[#This Row],[DIAS]]*ServExt[[#This Row],[PESSOAS]]*ServExt[[#This Row],[HORAS DIA]]</f>
        <v>0</v>
      </c>
      <c r="AH35" s="141">
        <f>(IF(Z35="","",LOOKUP(Z35,BASE!A$4:A$125,BASE!H$4:H$125)))*ServExt[[#This Row],[HE CALC]]</f>
        <v>0</v>
      </c>
      <c r="AI35" s="102">
        <f>ServExt[[#This Row],[TOTAL HORAS]]*ServExt[[#This Row],[R$ / HORA]]</f>
        <v>0</v>
      </c>
      <c r="AJ35" s="139">
        <f>BASE!$W$60</f>
        <v>0.66983973762634585</v>
      </c>
      <c r="AK35" s="141">
        <f t="shared" si="4"/>
        <v>0</v>
      </c>
      <c r="AL35" s="143">
        <f t="shared" si="5"/>
        <v>0</v>
      </c>
      <c r="AM35" s="144">
        <f>IF(OR(ServExt[[#This Row],[TIPO H]]="NORMAL",ServExt[[#This Row],[HORAS DIA]]&gt;=8),ServExt[[#This Row],[PESSOAS]]*ServExt[[#This Row],[DIAS]]*2,0)</f>
        <v>0</v>
      </c>
      <c r="AN35" s="144">
        <f>(IF(Z35="","",LOOKUP(Z35,BASE!A$4:A$19,BASE!E$4:E$19)))*ServExt[[#This Row],[TOTAL HORAS]]</f>
        <v>0</v>
      </c>
      <c r="AO35" s="11">
        <f>IF(ServExt[[#This Row],[TIPO H]]="NORMAL",ServExt[[#This Row],[PESSOAS]],0)</f>
        <v>0</v>
      </c>
      <c r="AP35" s="174">
        <f>IFERROR(ServExt[[#This Row],[TOTAL3]]*(RESUMO!$F$22/RESUMO!$F$14),0)</f>
        <v>0</v>
      </c>
      <c r="AR35" s="168">
        <v>13</v>
      </c>
      <c r="AS35" s="97" t="s">
        <v>167</v>
      </c>
    </row>
    <row r="36" spans="1:45" s="2" customFormat="1" ht="14.5" x14ac:dyDescent="0.25">
      <c r="A36" s="14"/>
      <c r="B36" s="115">
        <v>12</v>
      </c>
      <c r="C36" s="115" t="s">
        <v>153</v>
      </c>
      <c r="D36" s="114" t="s">
        <v>154</v>
      </c>
      <c r="E36" s="132">
        <v>0</v>
      </c>
      <c r="F36" s="264">
        <f>LOOKUP('SERVICOS AUTPRO'!$E$25:$E$64,BASE!A$4:A$125,BASE!B$4:B$125)</f>
        <v>0</v>
      </c>
      <c r="G36" s="117"/>
      <c r="H36" s="134"/>
      <c r="I36" s="135">
        <v>8.8000000000000007</v>
      </c>
      <c r="J36" s="134" t="s">
        <v>155</v>
      </c>
      <c r="K36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6" s="137">
        <f>ServInt[[#This Row],[DIAS]]*ServInt[[#This Row],[PESSOAS]]*ServInt[[#This Row],[HORAS DIA]]</f>
        <v>0</v>
      </c>
      <c r="M36" s="138">
        <f>(IF(ServInt[[#This Row],[CÓDIGO]]="","",LOOKUP(E36,BASE!A$4:A$125,BASE!G$4:G$125)))*ServInt[[#This Row],[HE CALC]]</f>
        <v>0</v>
      </c>
      <c r="N36" s="102">
        <f>ServInt[[#This Row],[TOTAL HORAS]]*ServInt[[#This Row],[R$ / HORA]]</f>
        <v>0</v>
      </c>
      <c r="O36" s="139">
        <f>BASE!$W$60</f>
        <v>0.66983973762634585</v>
      </c>
      <c r="P36" s="138">
        <f t="shared" si="0"/>
        <v>0</v>
      </c>
      <c r="Q36" s="123">
        <f t="shared" si="1"/>
        <v>0</v>
      </c>
      <c r="R36" s="123"/>
      <c r="S36" s="123">
        <f>(IF(E36="","",LOOKUP(E36,BASE!A$4:A$19,BASE!E$4:E$19)))*ServInt[[#This Row],[TOTAL HORAS]]</f>
        <v>0</v>
      </c>
      <c r="T36" s="143">
        <f>IFERROR(ServInt[[#This Row],[TOTAL3]]*(RESUMO!$F$22/RESUMO!$F$14),0)</f>
        <v>0</v>
      </c>
      <c r="U36" s="11"/>
      <c r="V36" s="11"/>
      <c r="W36" s="115">
        <v>12</v>
      </c>
      <c r="X36" s="115" t="s">
        <v>156</v>
      </c>
      <c r="Y36" s="114" t="s">
        <v>154</v>
      </c>
      <c r="Z36" s="132">
        <v>0</v>
      </c>
      <c r="AA36" s="14">
        <f>LOOKUP(Z36,BASE!A$4:A$125,BASE!B$4:B$125)</f>
        <v>0</v>
      </c>
      <c r="AB36" s="117"/>
      <c r="AC36" s="134"/>
      <c r="AD36" s="135">
        <v>8.8000000000000007</v>
      </c>
      <c r="AE36" s="134" t="s">
        <v>155</v>
      </c>
      <c r="AF36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6" s="13">
        <f>ServExt[[#This Row],[DIAS]]*ServExt[[#This Row],[PESSOAS]]*ServExt[[#This Row],[HORAS DIA]]</f>
        <v>0</v>
      </c>
      <c r="AH36" s="141">
        <f>(IF(Z36="","",LOOKUP(Z36,BASE!A$4:A$125,BASE!H$4:H$125)))*ServExt[[#This Row],[HE CALC]]</f>
        <v>0</v>
      </c>
      <c r="AI36" s="102">
        <f>ServExt[[#This Row],[TOTAL HORAS]]*ServExt[[#This Row],[R$ / HORA]]</f>
        <v>0</v>
      </c>
      <c r="AJ36" s="139">
        <f>BASE!$W$60</f>
        <v>0.66983973762634585</v>
      </c>
      <c r="AK36" s="141">
        <f t="shared" si="4"/>
        <v>0</v>
      </c>
      <c r="AL36" s="143">
        <f t="shared" si="5"/>
        <v>0</v>
      </c>
      <c r="AM36" s="144">
        <f>IF(OR(ServExt[[#This Row],[TIPO H]]="NORMAL",ServExt[[#This Row],[HORAS DIA]]&gt;=8),ServExt[[#This Row],[PESSOAS]]*ServExt[[#This Row],[DIAS]]*2,0)</f>
        <v>0</v>
      </c>
      <c r="AN36" s="144">
        <f>(IF(Z36="","",LOOKUP(Z36,BASE!A$4:A$19,BASE!E$4:E$19)))*ServExt[[#This Row],[TOTAL HORAS]]</f>
        <v>0</v>
      </c>
      <c r="AO36" s="11">
        <f>IF(ServExt[[#This Row],[TIPO H]]="NORMAL",ServExt[[#This Row],[PESSOAS]],0)</f>
        <v>0</v>
      </c>
      <c r="AP36" s="174">
        <f>IFERROR(ServExt[[#This Row],[TOTAL3]]*(RESUMO!$F$22/RESUMO!$F$14),0)</f>
        <v>0</v>
      </c>
      <c r="AR36" s="168">
        <v>14</v>
      </c>
      <c r="AS36" s="97" t="s">
        <v>168</v>
      </c>
    </row>
    <row r="37" spans="1:45" ht="14.5" x14ac:dyDescent="0.25">
      <c r="A37" s="97"/>
      <c r="B37" s="115">
        <v>13</v>
      </c>
      <c r="C37" s="115" t="s">
        <v>153</v>
      </c>
      <c r="D37" s="114" t="s">
        <v>154</v>
      </c>
      <c r="E37" s="132">
        <v>0</v>
      </c>
      <c r="F37" s="264">
        <f>LOOKUP('SERVICOS AUTPRO'!$E$25:$E$64,BASE!A$4:A$125,BASE!B$4:B$125)</f>
        <v>0</v>
      </c>
      <c r="G37" s="117"/>
      <c r="H37" s="134"/>
      <c r="I37" s="135">
        <v>8.8000000000000007</v>
      </c>
      <c r="J37" s="134" t="s">
        <v>155</v>
      </c>
      <c r="K37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7" s="137">
        <f>ServInt[[#This Row],[DIAS]]*ServInt[[#This Row],[PESSOAS]]*ServInt[[#This Row],[HORAS DIA]]</f>
        <v>0</v>
      </c>
      <c r="M37" s="138">
        <f>(IF(ServInt[[#This Row],[CÓDIGO]]="","",LOOKUP(E37,BASE!A$4:A$125,BASE!G$4:G$125)))*ServInt[[#This Row],[HE CALC]]</f>
        <v>0</v>
      </c>
      <c r="N37" s="102">
        <f>ServInt[[#This Row],[TOTAL HORAS]]*ServInt[[#This Row],[R$ / HORA]]</f>
        <v>0</v>
      </c>
      <c r="O37" s="139">
        <f>BASE!$W$60</f>
        <v>0.66983973762634585</v>
      </c>
      <c r="P37" s="138">
        <f t="shared" si="0"/>
        <v>0</v>
      </c>
      <c r="Q37" s="123">
        <f t="shared" si="1"/>
        <v>0</v>
      </c>
      <c r="R37" s="123"/>
      <c r="S37" s="123">
        <f>(IF(E37="","",LOOKUP(E37,BASE!A$4:A$19,BASE!E$4:E$19)))*ServInt[[#This Row],[TOTAL HORAS]]</f>
        <v>0</v>
      </c>
      <c r="T37" s="143">
        <f>IFERROR(ServInt[[#This Row],[TOTAL3]]*(RESUMO!$F$22/RESUMO!$F$14),0)</f>
        <v>0</v>
      </c>
      <c r="W37" s="115">
        <v>13</v>
      </c>
      <c r="X37" s="115" t="s">
        <v>156</v>
      </c>
      <c r="Y37" s="114" t="s">
        <v>154</v>
      </c>
      <c r="Z37" s="132">
        <v>0</v>
      </c>
      <c r="AA37" s="14">
        <f>LOOKUP(Z37,BASE!A$4:A$125,BASE!B$4:B$125)</f>
        <v>0</v>
      </c>
      <c r="AB37" s="117"/>
      <c r="AC37" s="134"/>
      <c r="AD37" s="135">
        <v>8.8000000000000007</v>
      </c>
      <c r="AE37" s="134" t="s">
        <v>155</v>
      </c>
      <c r="AF37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7" s="13">
        <f>ServExt[[#This Row],[DIAS]]*ServExt[[#This Row],[PESSOAS]]*ServExt[[#This Row],[HORAS DIA]]</f>
        <v>0</v>
      </c>
      <c r="AH37" s="141">
        <f>(IF(Z37="","",LOOKUP(Z37,BASE!A$4:A$125,BASE!H$4:H$125)))*ServExt[[#This Row],[HE CALC]]</f>
        <v>0</v>
      </c>
      <c r="AI37" s="102">
        <f>ServExt[[#This Row],[TOTAL HORAS]]*ServExt[[#This Row],[R$ / HORA]]</f>
        <v>0</v>
      </c>
      <c r="AJ37" s="139">
        <f>BASE!$W$60</f>
        <v>0.66983973762634585</v>
      </c>
      <c r="AK37" s="141">
        <f t="shared" si="4"/>
        <v>0</v>
      </c>
      <c r="AL37" s="143">
        <f t="shared" si="5"/>
        <v>0</v>
      </c>
      <c r="AM37" s="144">
        <f>IF(OR(ServExt[[#This Row],[TIPO H]]="NORMAL",ServExt[[#This Row],[HORAS DIA]]&gt;=8),ServExt[[#This Row],[PESSOAS]]*ServExt[[#This Row],[DIAS]]*2,0)</f>
        <v>0</v>
      </c>
      <c r="AN37" s="144">
        <f>(IF(Z37="","",LOOKUP(Z37,BASE!A$4:A$19,BASE!E$4:E$19)))*ServExt[[#This Row],[TOTAL HORAS]]</f>
        <v>0</v>
      </c>
      <c r="AO37" s="11">
        <f>IF(ServExt[[#This Row],[TIPO H]]="NORMAL",ServExt[[#This Row],[PESSOAS]],0)</f>
        <v>0</v>
      </c>
      <c r="AP37" s="174">
        <f>IFERROR(ServExt[[#This Row],[TOTAL3]]*(RESUMO!$F$22/RESUMO!$F$14),0)</f>
        <v>0</v>
      </c>
      <c r="AR37" s="168">
        <v>15</v>
      </c>
      <c r="AS37" s="97" t="s">
        <v>169</v>
      </c>
    </row>
    <row r="38" spans="1:45" ht="14.5" x14ac:dyDescent="0.25">
      <c r="A38" s="97"/>
      <c r="B38" s="115">
        <v>14</v>
      </c>
      <c r="C38" s="115" t="s">
        <v>153</v>
      </c>
      <c r="D38" s="114" t="s">
        <v>154</v>
      </c>
      <c r="E38" s="132">
        <v>0</v>
      </c>
      <c r="F38" s="264">
        <f>LOOKUP('SERVICOS AUTPRO'!$E$25:$E$64,BASE!A$4:A$125,BASE!B$4:B$125)</f>
        <v>0</v>
      </c>
      <c r="G38" s="117"/>
      <c r="H38" s="134"/>
      <c r="I38" s="135">
        <v>8.8000000000000007</v>
      </c>
      <c r="J38" s="134" t="s">
        <v>155</v>
      </c>
      <c r="K38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8" s="137">
        <f>ServInt[[#This Row],[DIAS]]*ServInt[[#This Row],[PESSOAS]]*ServInt[[#This Row],[HORAS DIA]]</f>
        <v>0</v>
      </c>
      <c r="M38" s="138">
        <f>(IF(ServInt[[#This Row],[CÓDIGO]]="","",LOOKUP(E38,BASE!A$4:A$125,BASE!G$4:G$125)))*ServInt[[#This Row],[HE CALC]]</f>
        <v>0</v>
      </c>
      <c r="N38" s="102">
        <f>ServInt[[#This Row],[TOTAL HORAS]]*ServInt[[#This Row],[R$ / HORA]]</f>
        <v>0</v>
      </c>
      <c r="O38" s="139">
        <f>BASE!$W$60</f>
        <v>0.66983973762634585</v>
      </c>
      <c r="P38" s="138">
        <f t="shared" si="0"/>
        <v>0</v>
      </c>
      <c r="Q38" s="123">
        <f t="shared" si="1"/>
        <v>0</v>
      </c>
      <c r="R38" s="123"/>
      <c r="S38" s="123">
        <f>(IF(E38="","",LOOKUP(E38,BASE!A$4:A$19,BASE!E$4:E$19)))*ServInt[[#This Row],[TOTAL HORAS]]</f>
        <v>0</v>
      </c>
      <c r="T38" s="143">
        <f>IFERROR(ServInt[[#This Row],[TOTAL3]]*(RESUMO!$F$22/RESUMO!$F$14),0)</f>
        <v>0</v>
      </c>
      <c r="W38" s="115">
        <v>14</v>
      </c>
      <c r="X38" s="115" t="s">
        <v>156</v>
      </c>
      <c r="Y38" s="114" t="s">
        <v>154</v>
      </c>
      <c r="Z38" s="132">
        <v>0</v>
      </c>
      <c r="AA38" s="14">
        <f>LOOKUP(Z38,BASE!A$4:A$125,BASE!B$4:B$125)</f>
        <v>0</v>
      </c>
      <c r="AB38" s="117"/>
      <c r="AC38" s="134"/>
      <c r="AD38" s="135">
        <v>8.8000000000000007</v>
      </c>
      <c r="AE38" s="134" t="s">
        <v>155</v>
      </c>
      <c r="AF38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8" s="13">
        <f>ServExt[[#This Row],[DIAS]]*ServExt[[#This Row],[PESSOAS]]*ServExt[[#This Row],[HORAS DIA]]</f>
        <v>0</v>
      </c>
      <c r="AH38" s="141">
        <f>(IF(Z38="","",LOOKUP(Z38,BASE!A$4:A$125,BASE!H$4:H$125)))*ServExt[[#This Row],[HE CALC]]</f>
        <v>0</v>
      </c>
      <c r="AI38" s="102">
        <f>ServExt[[#This Row],[TOTAL HORAS]]*ServExt[[#This Row],[R$ / HORA]]</f>
        <v>0</v>
      </c>
      <c r="AJ38" s="139">
        <f>BASE!$W$60</f>
        <v>0.66983973762634585</v>
      </c>
      <c r="AK38" s="141">
        <f t="shared" si="4"/>
        <v>0</v>
      </c>
      <c r="AL38" s="143">
        <f t="shared" si="5"/>
        <v>0</v>
      </c>
      <c r="AM38" s="144">
        <f>IF(OR(ServExt[[#This Row],[TIPO H]]="NORMAL",ServExt[[#This Row],[HORAS DIA]]&gt;=8),ServExt[[#This Row],[PESSOAS]]*ServExt[[#This Row],[DIAS]]*2,0)</f>
        <v>0</v>
      </c>
      <c r="AN38" s="144">
        <f>(IF(Z38="","",LOOKUP(Z38,BASE!A$4:A$19,BASE!E$4:E$19)))*ServExt[[#This Row],[TOTAL HORAS]]</f>
        <v>0</v>
      </c>
      <c r="AO38" s="11">
        <f>IF(ServExt[[#This Row],[TIPO H]]="NORMAL",ServExt[[#This Row],[PESSOAS]],0)</f>
        <v>0</v>
      </c>
      <c r="AP38" s="174">
        <f>IFERROR(ServExt[[#This Row],[TOTAL3]]*(RESUMO!$F$22/RESUMO!$F$14),0)</f>
        <v>0</v>
      </c>
      <c r="AR38" s="168">
        <v>16</v>
      </c>
      <c r="AS38" s="97" t="s">
        <v>170</v>
      </c>
    </row>
    <row r="39" spans="1:45" s="2" customFormat="1" ht="14.5" x14ac:dyDescent="0.25">
      <c r="A39" s="14"/>
      <c r="B39" s="115">
        <v>15</v>
      </c>
      <c r="C39" s="115" t="s">
        <v>153</v>
      </c>
      <c r="D39" s="114" t="s">
        <v>154</v>
      </c>
      <c r="E39" s="132">
        <v>0</v>
      </c>
      <c r="F39" s="264">
        <f>LOOKUP('SERVICOS AUTPRO'!$E$25:$E$64,BASE!A$4:A$125,BASE!B$4:B$125)</f>
        <v>0</v>
      </c>
      <c r="G39" s="117"/>
      <c r="H39" s="134"/>
      <c r="I39" s="135">
        <v>8.8000000000000007</v>
      </c>
      <c r="J39" s="134" t="s">
        <v>155</v>
      </c>
      <c r="K39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39" s="137">
        <f>ServInt[[#This Row],[DIAS]]*ServInt[[#This Row],[PESSOAS]]*ServInt[[#This Row],[HORAS DIA]]</f>
        <v>0</v>
      </c>
      <c r="M39" s="138">
        <f>(IF(ServInt[[#This Row],[CÓDIGO]]="","",LOOKUP(E39,BASE!A$4:A$125,BASE!G$4:G$125)))*ServInt[[#This Row],[HE CALC]]</f>
        <v>0</v>
      </c>
      <c r="N39" s="102">
        <f>ServInt[[#This Row],[TOTAL HORAS]]*ServInt[[#This Row],[R$ / HORA]]</f>
        <v>0</v>
      </c>
      <c r="O39" s="139">
        <f>BASE!$W$60</f>
        <v>0.66983973762634585</v>
      </c>
      <c r="P39" s="138">
        <f t="shared" si="0"/>
        <v>0</v>
      </c>
      <c r="Q39" s="123">
        <f t="shared" si="1"/>
        <v>0</v>
      </c>
      <c r="R39" s="123"/>
      <c r="S39" s="123">
        <f>(IF(E39="","",LOOKUP(E39,BASE!A$4:A$19,BASE!E$4:E$19)))*ServInt[[#This Row],[TOTAL HORAS]]</f>
        <v>0</v>
      </c>
      <c r="T39" s="143">
        <f>IFERROR(ServInt[[#This Row],[TOTAL3]]*(RESUMO!$F$22/RESUMO!$F$14),0)</f>
        <v>0</v>
      </c>
      <c r="U39" s="11"/>
      <c r="V39" s="11"/>
      <c r="W39" s="115">
        <v>15</v>
      </c>
      <c r="X39" s="115" t="s">
        <v>156</v>
      </c>
      <c r="Y39" s="114" t="s">
        <v>154</v>
      </c>
      <c r="Z39" s="132">
        <v>0</v>
      </c>
      <c r="AA39" s="14">
        <f>LOOKUP(Z39,BASE!A$4:A$125,BASE!B$4:B$125)</f>
        <v>0</v>
      </c>
      <c r="AB39" s="117"/>
      <c r="AC39" s="134"/>
      <c r="AD39" s="135">
        <v>8.8000000000000007</v>
      </c>
      <c r="AE39" s="134" t="s">
        <v>155</v>
      </c>
      <c r="AF39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39" s="13">
        <f>ServExt[[#This Row],[DIAS]]*ServExt[[#This Row],[PESSOAS]]*ServExt[[#This Row],[HORAS DIA]]</f>
        <v>0</v>
      </c>
      <c r="AH39" s="141">
        <f>(IF(Z39="","",LOOKUP(Z39,BASE!A$4:A$125,BASE!H$4:H$125)))*ServExt[[#This Row],[HE CALC]]</f>
        <v>0</v>
      </c>
      <c r="AI39" s="102">
        <f>ServExt[[#This Row],[TOTAL HORAS]]*ServExt[[#This Row],[R$ / HORA]]</f>
        <v>0</v>
      </c>
      <c r="AJ39" s="139">
        <f>BASE!$W$60</f>
        <v>0.66983973762634585</v>
      </c>
      <c r="AK39" s="141">
        <f t="shared" si="4"/>
        <v>0</v>
      </c>
      <c r="AL39" s="143">
        <f t="shared" si="5"/>
        <v>0</v>
      </c>
      <c r="AM39" s="144">
        <f>IF(OR(ServExt[[#This Row],[TIPO H]]="NORMAL",ServExt[[#This Row],[HORAS DIA]]&gt;=8),ServExt[[#This Row],[PESSOAS]]*ServExt[[#This Row],[DIAS]]*2,0)</f>
        <v>0</v>
      </c>
      <c r="AN39" s="144">
        <f>(IF(Z39="","",LOOKUP(Z39,BASE!A$4:A$19,BASE!E$4:E$19)))*ServExt[[#This Row],[TOTAL HORAS]]</f>
        <v>0</v>
      </c>
      <c r="AO39" s="11">
        <f>IF(ServExt[[#This Row],[TIPO H]]="NORMAL",ServExt[[#This Row],[PESSOAS]],0)</f>
        <v>0</v>
      </c>
      <c r="AP39" s="174">
        <f>IFERROR(ServExt[[#This Row],[TOTAL3]]*(RESUMO!$F$22/RESUMO!$F$14),0)</f>
        <v>0</v>
      </c>
      <c r="AR39" s="168">
        <v>17</v>
      </c>
      <c r="AS39" s="97" t="s">
        <v>171</v>
      </c>
    </row>
    <row r="40" spans="1:45" s="2" customFormat="1" ht="14.5" x14ac:dyDescent="0.25">
      <c r="A40" s="14"/>
      <c r="B40" s="115">
        <v>16</v>
      </c>
      <c r="C40" s="115" t="s">
        <v>153</v>
      </c>
      <c r="D40" s="114" t="s">
        <v>154</v>
      </c>
      <c r="E40" s="132">
        <v>0</v>
      </c>
      <c r="F40" s="264">
        <f>LOOKUP('SERVICOS AUTPRO'!$E$25:$E$64,BASE!A$4:A$125,BASE!B$4:B$125)</f>
        <v>0</v>
      </c>
      <c r="G40" s="117"/>
      <c r="H40" s="134"/>
      <c r="I40" s="135">
        <v>8.8000000000000007</v>
      </c>
      <c r="J40" s="134" t="s">
        <v>155</v>
      </c>
      <c r="K40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40" s="137">
        <f>ServInt[[#This Row],[DIAS]]*ServInt[[#This Row],[PESSOAS]]*ServInt[[#This Row],[HORAS DIA]]</f>
        <v>0</v>
      </c>
      <c r="M40" s="138">
        <f>(IF(ServInt[[#This Row],[CÓDIGO]]="","",LOOKUP(E40,BASE!A$4:A$125,BASE!G$4:G$125)))*ServInt[[#This Row],[HE CALC]]</f>
        <v>0</v>
      </c>
      <c r="N40" s="102">
        <f>ServInt[[#This Row],[TOTAL HORAS]]*ServInt[[#This Row],[R$ / HORA]]</f>
        <v>0</v>
      </c>
      <c r="O40" s="139">
        <f>BASE!$W$60</f>
        <v>0.66983973762634585</v>
      </c>
      <c r="P40" s="138">
        <f t="shared" si="0"/>
        <v>0</v>
      </c>
      <c r="Q40" s="123">
        <f t="shared" si="1"/>
        <v>0</v>
      </c>
      <c r="R40" s="123"/>
      <c r="S40" s="123">
        <f>(IF(E40="","",LOOKUP(E40,BASE!A$4:A$19,BASE!E$4:E$19)))*ServInt[[#This Row],[TOTAL HORAS]]</f>
        <v>0</v>
      </c>
      <c r="T40" s="143">
        <f>IFERROR(ServInt[[#This Row],[TOTAL3]]*(RESUMO!$F$22/RESUMO!$F$14),0)</f>
        <v>0</v>
      </c>
      <c r="U40" s="11"/>
      <c r="V40" s="11"/>
      <c r="W40" s="115">
        <v>16</v>
      </c>
      <c r="X40" s="115" t="s">
        <v>156</v>
      </c>
      <c r="Y40" s="114" t="s">
        <v>154</v>
      </c>
      <c r="Z40" s="132">
        <v>0</v>
      </c>
      <c r="AA40" s="14">
        <f>LOOKUP(Z40,BASE!A$4:A$125,BASE!B$4:B$125)</f>
        <v>0</v>
      </c>
      <c r="AB40" s="117"/>
      <c r="AC40" s="134"/>
      <c r="AD40" s="135">
        <v>8.8000000000000007</v>
      </c>
      <c r="AE40" s="134" t="s">
        <v>155</v>
      </c>
      <c r="AF40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0" s="13">
        <f>ServExt[[#This Row],[DIAS]]*ServExt[[#This Row],[PESSOAS]]*ServExt[[#This Row],[HORAS DIA]]</f>
        <v>0</v>
      </c>
      <c r="AH40" s="141">
        <f>(IF(Z40="","",LOOKUP(Z40,BASE!A$4:A$125,BASE!H$4:H$125)))*ServExt[[#This Row],[HE CALC]]</f>
        <v>0</v>
      </c>
      <c r="AI40" s="102">
        <f>ServExt[[#This Row],[TOTAL HORAS]]*ServExt[[#This Row],[R$ / HORA]]</f>
        <v>0</v>
      </c>
      <c r="AJ40" s="139">
        <f>BASE!$W$60</f>
        <v>0.66983973762634585</v>
      </c>
      <c r="AK40" s="141">
        <f t="shared" si="4"/>
        <v>0</v>
      </c>
      <c r="AL40" s="143">
        <f t="shared" si="5"/>
        <v>0</v>
      </c>
      <c r="AM40" s="144">
        <f>IF(OR(ServExt[[#This Row],[TIPO H]]="NORMAL",ServExt[[#This Row],[HORAS DIA]]&gt;=8),ServExt[[#This Row],[PESSOAS]]*ServExt[[#This Row],[DIAS]]*2,0)</f>
        <v>0</v>
      </c>
      <c r="AN40" s="144">
        <f>(IF(Z40="","",LOOKUP(Z40,BASE!A$4:A$19,BASE!E$4:E$19)))*ServExt[[#This Row],[TOTAL HORAS]]</f>
        <v>0</v>
      </c>
      <c r="AO40" s="11">
        <f>IF(ServExt[[#This Row],[TIPO H]]="NORMAL",ServExt[[#This Row],[PESSOAS]],0)</f>
        <v>0</v>
      </c>
      <c r="AP40" s="174">
        <f>IFERROR(ServExt[[#This Row],[TOTAL3]]*(RESUMO!$F$22/RESUMO!$F$14),0)</f>
        <v>0</v>
      </c>
      <c r="AR40" s="168">
        <v>18</v>
      </c>
      <c r="AS40" s="97" t="s">
        <v>172</v>
      </c>
    </row>
    <row r="41" spans="1:45" s="2" customFormat="1" ht="14.5" x14ac:dyDescent="0.25">
      <c r="A41" s="14"/>
      <c r="B41" s="115">
        <v>17</v>
      </c>
      <c r="C41" s="115" t="s">
        <v>153</v>
      </c>
      <c r="D41" s="114" t="s">
        <v>154</v>
      </c>
      <c r="E41" s="132">
        <v>0</v>
      </c>
      <c r="F41" s="264">
        <f>LOOKUP('SERVICOS AUTPRO'!$E$25:$E$64,BASE!A$4:A$125,BASE!B$4:B$125)</f>
        <v>0</v>
      </c>
      <c r="G41" s="117"/>
      <c r="H41" s="134"/>
      <c r="I41" s="135">
        <v>8.8000000000000007</v>
      </c>
      <c r="J41" s="134" t="s">
        <v>155</v>
      </c>
      <c r="K41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41" s="137">
        <f>ServInt[[#This Row],[DIAS]]*ServInt[[#This Row],[PESSOAS]]*ServInt[[#This Row],[HORAS DIA]]</f>
        <v>0</v>
      </c>
      <c r="M41" s="138">
        <f>(IF(ServInt[[#This Row],[CÓDIGO]]="","",LOOKUP(E41,BASE!A$4:A$125,BASE!G$4:G$125)))*ServInt[[#This Row],[HE CALC]]</f>
        <v>0</v>
      </c>
      <c r="N41" s="102">
        <f>ServInt[[#This Row],[TOTAL HORAS]]*ServInt[[#This Row],[R$ / HORA]]</f>
        <v>0</v>
      </c>
      <c r="O41" s="139">
        <f>BASE!$W$60</f>
        <v>0.66983973762634585</v>
      </c>
      <c r="P41" s="138">
        <f t="shared" si="0"/>
        <v>0</v>
      </c>
      <c r="Q41" s="123">
        <f t="shared" si="1"/>
        <v>0</v>
      </c>
      <c r="R41" s="123"/>
      <c r="S41" s="123">
        <f>(IF(E41="","",LOOKUP(E41,BASE!A$4:A$19,BASE!E$4:E$19)))*ServInt[[#This Row],[TOTAL HORAS]]</f>
        <v>0</v>
      </c>
      <c r="T41" s="143">
        <f>IFERROR(ServInt[[#This Row],[TOTAL3]]*(RESUMO!$F$22/RESUMO!$F$14),0)</f>
        <v>0</v>
      </c>
      <c r="U41" s="11"/>
      <c r="V41" s="11"/>
      <c r="W41" s="115">
        <v>17</v>
      </c>
      <c r="X41" s="115" t="s">
        <v>156</v>
      </c>
      <c r="Y41" s="114" t="s">
        <v>154</v>
      </c>
      <c r="Z41" s="132">
        <v>0</v>
      </c>
      <c r="AA41" s="14">
        <f>LOOKUP(Z41,BASE!A$4:A$125,BASE!B$4:B$125)</f>
        <v>0</v>
      </c>
      <c r="AB41" s="117"/>
      <c r="AC41" s="134"/>
      <c r="AD41" s="135">
        <v>8.8000000000000007</v>
      </c>
      <c r="AE41" s="134" t="s">
        <v>155</v>
      </c>
      <c r="AF41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1" s="13">
        <f>ServExt[[#This Row],[DIAS]]*ServExt[[#This Row],[PESSOAS]]*ServExt[[#This Row],[HORAS DIA]]</f>
        <v>0</v>
      </c>
      <c r="AH41" s="141">
        <f>(IF(Z41="","",LOOKUP(Z41,BASE!A$4:A$125,BASE!H$4:H$125)))*ServExt[[#This Row],[HE CALC]]</f>
        <v>0</v>
      </c>
      <c r="AI41" s="102">
        <f>ServExt[[#This Row],[TOTAL HORAS]]*ServExt[[#This Row],[R$ / HORA]]</f>
        <v>0</v>
      </c>
      <c r="AJ41" s="139">
        <f>BASE!$W$60</f>
        <v>0.66983973762634585</v>
      </c>
      <c r="AK41" s="141">
        <f t="shared" si="4"/>
        <v>0</v>
      </c>
      <c r="AL41" s="143">
        <f t="shared" si="5"/>
        <v>0</v>
      </c>
      <c r="AM41" s="144">
        <f>IF(OR(ServExt[[#This Row],[TIPO H]]="NORMAL",ServExt[[#This Row],[HORAS DIA]]&gt;=8),ServExt[[#This Row],[PESSOAS]]*ServExt[[#This Row],[DIAS]]*2,0)</f>
        <v>0</v>
      </c>
      <c r="AN41" s="144">
        <f>(IF(Z41="","",LOOKUP(Z41,BASE!A$4:A$19,BASE!E$4:E$19)))*ServExt[[#This Row],[TOTAL HORAS]]</f>
        <v>0</v>
      </c>
      <c r="AO41" s="11">
        <f>IF(ServExt[[#This Row],[TIPO H]]="NORMAL",ServExt[[#This Row],[PESSOAS]],0)</f>
        <v>0</v>
      </c>
      <c r="AP41" s="174">
        <f>IFERROR(ServExt[[#This Row],[TOTAL3]]*(RESUMO!$F$22/RESUMO!$F$14),0)</f>
        <v>0</v>
      </c>
      <c r="AR41" s="168">
        <v>19</v>
      </c>
      <c r="AS41" s="97" t="s">
        <v>173</v>
      </c>
    </row>
    <row r="42" spans="1:45" s="2" customFormat="1" ht="14.5" x14ac:dyDescent="0.25">
      <c r="A42" s="14"/>
      <c r="B42" s="115">
        <v>18</v>
      </c>
      <c r="C42" s="115" t="s">
        <v>153</v>
      </c>
      <c r="D42" s="114" t="s">
        <v>154</v>
      </c>
      <c r="E42" s="132">
        <v>0</v>
      </c>
      <c r="F42" s="264">
        <f>LOOKUP('SERVICOS AUTPRO'!$E$25:$E$64,BASE!A$4:A$125,BASE!B$4:B$125)</f>
        <v>0</v>
      </c>
      <c r="G42" s="117"/>
      <c r="H42" s="134"/>
      <c r="I42" s="135">
        <v>8.8000000000000007</v>
      </c>
      <c r="J42" s="134" t="s">
        <v>155</v>
      </c>
      <c r="K42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42" s="137">
        <f>ServInt[[#This Row],[DIAS]]*ServInt[[#This Row],[PESSOAS]]*ServInt[[#This Row],[HORAS DIA]]</f>
        <v>0</v>
      </c>
      <c r="M42" s="138">
        <f>(IF(ServInt[[#This Row],[CÓDIGO]]="","",LOOKUP(E42,BASE!A$4:A$125,BASE!G$4:G$125)))*ServInt[[#This Row],[HE CALC]]</f>
        <v>0</v>
      </c>
      <c r="N42" s="102">
        <f>ServInt[[#This Row],[TOTAL HORAS]]*ServInt[[#This Row],[R$ / HORA]]</f>
        <v>0</v>
      </c>
      <c r="O42" s="139">
        <f>BASE!$W$60</f>
        <v>0.66983973762634585</v>
      </c>
      <c r="P42" s="138">
        <f t="shared" si="0"/>
        <v>0</v>
      </c>
      <c r="Q42" s="123">
        <f t="shared" si="1"/>
        <v>0</v>
      </c>
      <c r="R42" s="123"/>
      <c r="S42" s="123">
        <f>(IF(E42="","",LOOKUP(E42,BASE!A$4:A$19,BASE!E$4:E$19)))*ServInt[[#This Row],[TOTAL HORAS]]</f>
        <v>0</v>
      </c>
      <c r="T42" s="143">
        <f>IFERROR(ServInt[[#This Row],[TOTAL3]]*(RESUMO!$F$22/RESUMO!$F$14),0)</f>
        <v>0</v>
      </c>
      <c r="U42" s="11"/>
      <c r="V42" s="11"/>
      <c r="W42" s="115">
        <v>18</v>
      </c>
      <c r="X42" s="115" t="s">
        <v>156</v>
      </c>
      <c r="Y42" s="114" t="s">
        <v>154</v>
      </c>
      <c r="Z42" s="132">
        <v>0</v>
      </c>
      <c r="AA42" s="14">
        <f>LOOKUP(Z42,BASE!A$4:A$125,BASE!B$4:B$125)</f>
        <v>0</v>
      </c>
      <c r="AB42" s="117"/>
      <c r="AC42" s="134"/>
      <c r="AD42" s="135">
        <v>8.8000000000000007</v>
      </c>
      <c r="AE42" s="134" t="s">
        <v>155</v>
      </c>
      <c r="AF42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2" s="13">
        <f>ServExt[[#This Row],[DIAS]]*ServExt[[#This Row],[PESSOAS]]*ServExt[[#This Row],[HORAS DIA]]</f>
        <v>0</v>
      </c>
      <c r="AH42" s="141">
        <f>(IF(Z42="","",LOOKUP(Z42,BASE!A$4:A$125,BASE!H$4:H$125)))*ServExt[[#This Row],[HE CALC]]</f>
        <v>0</v>
      </c>
      <c r="AI42" s="102">
        <f>ServExt[[#This Row],[TOTAL HORAS]]*ServExt[[#This Row],[R$ / HORA]]</f>
        <v>0</v>
      </c>
      <c r="AJ42" s="139">
        <f>BASE!$W$60</f>
        <v>0.66983973762634585</v>
      </c>
      <c r="AK42" s="141">
        <f t="shared" si="4"/>
        <v>0</v>
      </c>
      <c r="AL42" s="143">
        <f t="shared" si="5"/>
        <v>0</v>
      </c>
      <c r="AM42" s="144">
        <f>IF(OR(ServExt[[#This Row],[TIPO H]]="NORMAL",ServExt[[#This Row],[HORAS DIA]]&gt;=8),ServExt[[#This Row],[PESSOAS]]*ServExt[[#This Row],[DIAS]]*2,0)</f>
        <v>0</v>
      </c>
      <c r="AN42" s="144">
        <f>(IF(Z42="","",LOOKUP(Z42,BASE!A$4:A$19,BASE!E$4:E$19)))*ServExt[[#This Row],[TOTAL HORAS]]</f>
        <v>0</v>
      </c>
      <c r="AO42" s="11">
        <f>IF(ServExt[[#This Row],[TIPO H]]="NORMAL",ServExt[[#This Row],[PESSOAS]],0)</f>
        <v>0</v>
      </c>
      <c r="AP42" s="174">
        <f>IFERROR(ServExt[[#This Row],[TOTAL3]]*(RESUMO!$F$22/RESUMO!$F$14),0)</f>
        <v>0</v>
      </c>
      <c r="AR42" s="168">
        <v>20</v>
      </c>
      <c r="AS42" s="97" t="s">
        <v>174</v>
      </c>
    </row>
    <row r="43" spans="1:45" s="2" customFormat="1" ht="14.5" x14ac:dyDescent="0.25">
      <c r="A43" s="14"/>
      <c r="B43" s="115">
        <v>19</v>
      </c>
      <c r="C43" s="115" t="s">
        <v>153</v>
      </c>
      <c r="D43" s="114" t="s">
        <v>154</v>
      </c>
      <c r="E43" s="132">
        <v>0</v>
      </c>
      <c r="F43" s="264">
        <f>LOOKUP('SERVICOS AUTPRO'!$E$25:$E$64,BASE!A$4:A$125,BASE!B$4:B$125)</f>
        <v>0</v>
      </c>
      <c r="G43" s="117"/>
      <c r="H43" s="134"/>
      <c r="I43" s="135">
        <v>8.8000000000000007</v>
      </c>
      <c r="J43" s="134" t="s">
        <v>155</v>
      </c>
      <c r="K43" s="136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43" s="137">
        <f>ServInt[[#This Row],[DIAS]]*ServInt[[#This Row],[PESSOAS]]*ServInt[[#This Row],[HORAS DIA]]</f>
        <v>0</v>
      </c>
      <c r="M43" s="138">
        <f>(IF(ServInt[[#This Row],[CÓDIGO]]="","",LOOKUP(E43,BASE!A$4:A$125,BASE!G$4:G$125)))*ServInt[[#This Row],[HE CALC]]</f>
        <v>0</v>
      </c>
      <c r="N43" s="102">
        <f>ServInt[[#This Row],[TOTAL HORAS]]*ServInt[[#This Row],[R$ / HORA]]</f>
        <v>0</v>
      </c>
      <c r="O43" s="139">
        <f>BASE!$W$60</f>
        <v>0.66983973762634585</v>
      </c>
      <c r="P43" s="138">
        <f t="shared" si="0"/>
        <v>0</v>
      </c>
      <c r="Q43" s="123">
        <f t="shared" si="1"/>
        <v>0</v>
      </c>
      <c r="R43" s="123"/>
      <c r="S43" s="123">
        <f>(IF(E43="","",LOOKUP(E43,BASE!A$4:A$19,BASE!E$4:E$19)))*ServInt[[#This Row],[TOTAL HORAS]]</f>
        <v>0</v>
      </c>
      <c r="T43" s="143">
        <f>IFERROR(ServInt[[#This Row],[TOTAL3]]*(RESUMO!$F$22/RESUMO!$F$14),0)</f>
        <v>0</v>
      </c>
      <c r="U43" s="11"/>
      <c r="V43" s="11"/>
      <c r="W43" s="115">
        <v>19</v>
      </c>
      <c r="X43" s="115" t="s">
        <v>156</v>
      </c>
      <c r="Y43" s="114" t="s">
        <v>154</v>
      </c>
      <c r="Z43" s="132">
        <v>0</v>
      </c>
      <c r="AA43" s="14">
        <f>LOOKUP(Z43,BASE!A$4:A$125,BASE!B$4:B$125)</f>
        <v>0</v>
      </c>
      <c r="AB43" s="117">
        <v>0</v>
      </c>
      <c r="AC43" s="134"/>
      <c r="AD43" s="135">
        <v>8.8000000000000007</v>
      </c>
      <c r="AE43" s="134" t="s">
        <v>155</v>
      </c>
      <c r="AF43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3" s="13">
        <f>ServExt[[#This Row],[DIAS]]*ServExt[[#This Row],[PESSOAS]]*ServExt[[#This Row],[HORAS DIA]]</f>
        <v>0</v>
      </c>
      <c r="AH43" s="141">
        <f>(IF(Z43="","",LOOKUP(Z43,BASE!A$4:A$125,BASE!H$4:H$125)))*ServExt[[#This Row],[HE CALC]]</f>
        <v>0</v>
      </c>
      <c r="AI43" s="102">
        <f>ServExt[[#This Row],[TOTAL HORAS]]*ServExt[[#This Row],[R$ / HORA]]</f>
        <v>0</v>
      </c>
      <c r="AJ43" s="139">
        <f>BASE!$W$60</f>
        <v>0.66983973762634585</v>
      </c>
      <c r="AK43" s="141">
        <f t="shared" si="4"/>
        <v>0</v>
      </c>
      <c r="AL43" s="143">
        <f t="shared" si="5"/>
        <v>0</v>
      </c>
      <c r="AM43" s="144">
        <f>IF(OR(ServExt[[#This Row],[TIPO H]]="NORMAL",ServExt[[#This Row],[HORAS DIA]]&gt;=8),ServExt[[#This Row],[PESSOAS]]*ServExt[[#This Row],[DIAS]]*2,0)</f>
        <v>0</v>
      </c>
      <c r="AN43" s="144">
        <f>(IF(Z43="","",LOOKUP(Z43,BASE!A$4:A$19,BASE!E$4:E$19)))*ServExt[[#This Row],[TOTAL HORAS]]</f>
        <v>0</v>
      </c>
      <c r="AO43" s="11">
        <f>IF(ServExt[[#This Row],[TIPO H]]="NORMAL",ServExt[[#This Row],[PESSOAS]],0)</f>
        <v>0</v>
      </c>
      <c r="AP43" s="174">
        <f>IFERROR(ServExt[[#This Row],[TOTAL3]]*(RESUMO!$F$22/RESUMO!$F$14),0)</f>
        <v>0</v>
      </c>
      <c r="AR43" s="168">
        <v>21</v>
      </c>
      <c r="AS43" s="97" t="s">
        <v>175</v>
      </c>
    </row>
    <row r="44" spans="1:45" s="2" customFormat="1" ht="14.5" x14ac:dyDescent="0.25">
      <c r="A44" s="14"/>
      <c r="B44" s="115">
        <v>20</v>
      </c>
      <c r="C44" s="115" t="s">
        <v>153</v>
      </c>
      <c r="D44" s="114" t="s">
        <v>154</v>
      </c>
      <c r="E44" s="132">
        <v>0</v>
      </c>
      <c r="F44" s="264">
        <f>LOOKUP('SERVICOS AUTPRO'!$E$25:$E$64,BASE!A$4:A$125,BASE!B$4:B$125)</f>
        <v>0</v>
      </c>
      <c r="G44" s="117"/>
      <c r="H44" s="134"/>
      <c r="I44" s="135">
        <v>8.8000000000000007</v>
      </c>
      <c r="J44" s="134" t="s">
        <v>155</v>
      </c>
      <c r="K44" s="118">
        <f>_xlfn.IFS('SERVICOS AUTPRO'!$J$25:$J$44="EXTRA 150%",((1)*2.5),'SERVICOS AUTPRO'!$J$25:$J$44="EXTRA 100%",((1)*2),'SERVICOS AUTPRO'!$J$25:$J$44="EXTRA 75%",((1)*1.75),'SERVICOS AUTPRO'!$J$25:$J$44="EXTRA 50%",((1)*1.5),'SERVICOS AUTPRO'!$J$25:$J$44="NORMAL",((1)))</f>
        <v>1</v>
      </c>
      <c r="L44" s="137">
        <f>ServInt[[#This Row],[DIAS]]*ServInt[[#This Row],[PESSOAS]]*ServInt[[#This Row],[HORAS DIA]]</f>
        <v>0</v>
      </c>
      <c r="M44" s="138">
        <f>(IF(ServInt[[#This Row],[CÓDIGO]]="","",LOOKUP(E44,BASE!A$4:A$125,BASE!G$4:G$125)))*ServInt[[#This Row],[HE CALC]]</f>
        <v>0</v>
      </c>
      <c r="N44" s="102">
        <f>ServInt[[#This Row],[TOTAL HORAS]]*ServInt[[#This Row],[R$ / HORA]]</f>
        <v>0</v>
      </c>
      <c r="O44" s="139">
        <f>BASE!$W$60</f>
        <v>0.66983973762634585</v>
      </c>
      <c r="P44" s="138">
        <f t="shared" si="0"/>
        <v>0</v>
      </c>
      <c r="Q44" s="123">
        <f t="shared" si="1"/>
        <v>0</v>
      </c>
      <c r="R44" s="123"/>
      <c r="S44" s="123">
        <f>(IF(E44="","",LOOKUP(E44,BASE!A$4:A$19,BASE!E$4:E$19)))*ServInt[[#This Row],[TOTAL HORAS]]</f>
        <v>0</v>
      </c>
      <c r="T44" s="143">
        <f>IFERROR(ServInt[[#This Row],[TOTAL3]]*(RESUMO!$F$22/RESUMO!$F$14),0)</f>
        <v>0</v>
      </c>
      <c r="U44" s="11"/>
      <c r="V44" s="11"/>
      <c r="W44" s="115">
        <v>20</v>
      </c>
      <c r="X44" s="115" t="s">
        <v>156</v>
      </c>
      <c r="Y44" s="114" t="s">
        <v>154</v>
      </c>
      <c r="Z44" s="132">
        <v>0</v>
      </c>
      <c r="AA44" s="14">
        <f>LOOKUP(Z44,BASE!A$4:A$125,BASE!B$4:B$125)</f>
        <v>0</v>
      </c>
      <c r="AB44" s="117">
        <v>0</v>
      </c>
      <c r="AC44" s="134"/>
      <c r="AD44" s="135">
        <v>8.8000000000000007</v>
      </c>
      <c r="AE44" s="134" t="s">
        <v>155</v>
      </c>
      <c r="AF44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4" s="13">
        <f>ServExt[[#This Row],[DIAS]]*ServExt[[#This Row],[PESSOAS]]*ServExt[[#This Row],[HORAS DIA]]</f>
        <v>0</v>
      </c>
      <c r="AH44" s="141">
        <f>(IF(Z44="","",LOOKUP(Z44,BASE!A$4:A$125,BASE!H$4:H$125)))*ServExt[[#This Row],[HE CALC]]</f>
        <v>0</v>
      </c>
      <c r="AI44" s="102">
        <f>ServExt[[#This Row],[TOTAL HORAS]]*ServExt[[#This Row],[R$ / HORA]]</f>
        <v>0</v>
      </c>
      <c r="AJ44" s="139">
        <f>BASE!$W$60</f>
        <v>0.66983973762634585</v>
      </c>
      <c r="AK44" s="141">
        <f t="shared" si="4"/>
        <v>0</v>
      </c>
      <c r="AL44" s="143">
        <f t="shared" si="5"/>
        <v>0</v>
      </c>
      <c r="AM44" s="144">
        <f>IF(OR(ServExt[[#This Row],[TIPO H]]="NORMAL",ServExt[[#This Row],[HORAS DIA]]&gt;=8),ServExt[[#This Row],[PESSOAS]]*ServExt[[#This Row],[DIAS]]*2,0)</f>
        <v>0</v>
      </c>
      <c r="AN44" s="144">
        <f>(IF(Z44="","",LOOKUP(Z44,BASE!A$4:A$19,BASE!E$4:E$19)))*ServExt[[#This Row],[TOTAL HORAS]]</f>
        <v>0</v>
      </c>
      <c r="AO44" s="11">
        <f>IF(ServExt[[#This Row],[TIPO H]]="NORMAL",ServExt[[#This Row],[PESSOAS]],0)</f>
        <v>0</v>
      </c>
      <c r="AP44" s="174">
        <f>IFERROR(ServExt[[#This Row],[TOTAL3]]*(RESUMO!$F$22/RESUMO!$F$14),0)</f>
        <v>0</v>
      </c>
      <c r="AR44" s="168">
        <v>22</v>
      </c>
      <c r="AS44" s="97" t="s">
        <v>176</v>
      </c>
    </row>
    <row r="45" spans="1:45" s="2" customFormat="1" ht="14.5" x14ac:dyDescent="0.25">
      <c r="A45" s="14"/>
      <c r="B45" s="115">
        <v>21</v>
      </c>
      <c r="C45" s="115" t="s">
        <v>153</v>
      </c>
      <c r="D45" s="114" t="s">
        <v>154</v>
      </c>
      <c r="E45" s="132">
        <v>0</v>
      </c>
      <c r="F45" s="264">
        <f>LOOKUP('SERVICOS AUTPRO'!$E$25:$E$64,BASE!A$4:A$125,BASE!B$4:B$125)</f>
        <v>0</v>
      </c>
      <c r="G45" s="117"/>
      <c r="H45" s="134"/>
      <c r="I45" s="135">
        <v>8.8000000000000007</v>
      </c>
      <c r="J45" s="134" t="s">
        <v>155</v>
      </c>
      <c r="K45" s="136">
        <f>_xlfn.IFS('SERVICOS AUTPRO'!$J$25:$J$64="EXTRA 150%",((1)*2.5),'SERVICOS AUTPRO'!$J$25:$J$64="EXTRA 100%",((1)*2),'SERVICOS AUTPRO'!$J$25:$J$64="EXTRA 75%",((1)*1.75),'SERVICOS AUTPRO'!$J$25:$J$64="EXTRA 50%",((1)*1.5),'SERVICOS AUTPRO'!$J$25:$J$64="NORMAL",((1)))</f>
        <v>1</v>
      </c>
      <c r="L45" s="137">
        <f>ServInt[[#This Row],[DIAS]]*ServInt[[#This Row],[PESSOAS]]*ServInt[[#This Row],[HORAS DIA]]</f>
        <v>0</v>
      </c>
      <c r="M45" s="138">
        <f>(IF(ServInt[[#This Row],[CÓDIGO]]="","",LOOKUP(E45,BASE!A$4:A$125,BASE!G$4:G$125)))*ServInt[[#This Row],[HE CALC]]</f>
        <v>0</v>
      </c>
      <c r="N45" s="102">
        <f>ServInt[[#This Row],[TOTAL HORAS]]*ServInt[[#This Row],[R$ / HORA]]</f>
        <v>0</v>
      </c>
      <c r="O45" s="139">
        <f>BASE!$W$60</f>
        <v>0.66983973762634585</v>
      </c>
      <c r="P45" s="138">
        <f t="shared" ref="P45:P64" si="6">M45/O45</f>
        <v>0</v>
      </c>
      <c r="Q45" s="123">
        <f t="shared" ref="Q45:Q64" si="7">N45/O45</f>
        <v>0</v>
      </c>
      <c r="R45" s="123"/>
      <c r="S45" s="123">
        <f>(IF(E45="","",LOOKUP(E45,BASE!A$4:A$19,BASE!E$4:E$19)))*ServInt[[#This Row],[TOTAL HORAS]]</f>
        <v>0</v>
      </c>
      <c r="T45" s="143">
        <f>IFERROR(ServInt[[#This Row],[TOTAL3]]*(RESUMO!$F$22/RESUMO!$F$14),0)</f>
        <v>0</v>
      </c>
      <c r="U45" s="11"/>
      <c r="V45" s="11"/>
      <c r="W45" s="115">
        <v>21</v>
      </c>
      <c r="X45" s="115" t="s">
        <v>156</v>
      </c>
      <c r="Y45" s="114" t="s">
        <v>154</v>
      </c>
      <c r="Z45" s="132">
        <v>0</v>
      </c>
      <c r="AA45" s="14">
        <f>LOOKUP(Z45,BASE!A$4:A$125,BASE!B$4:B$125)</f>
        <v>0</v>
      </c>
      <c r="AB45" s="117"/>
      <c r="AC45" s="134"/>
      <c r="AD45" s="135">
        <v>8.8000000000000007</v>
      </c>
      <c r="AE45" s="134" t="s">
        <v>155</v>
      </c>
      <c r="AF45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5" s="13">
        <f>ServExt[[#This Row],[DIAS]]*ServExt[[#This Row],[PESSOAS]]*ServExt[[#This Row],[HORAS DIA]]</f>
        <v>0</v>
      </c>
      <c r="AH45" s="141">
        <f>(IF(Z45="","",LOOKUP(Z45,BASE!A$4:A$125,BASE!H$4:H$125)))*ServExt[[#This Row],[HE CALC]]</f>
        <v>0</v>
      </c>
      <c r="AI45" s="102">
        <f>ServExt[[#This Row],[TOTAL HORAS]]*ServExt[[#This Row],[R$ / HORA]]</f>
        <v>0</v>
      </c>
      <c r="AJ45" s="139">
        <f>BASE!$W$60</f>
        <v>0.66983973762634585</v>
      </c>
      <c r="AK45" s="141">
        <f t="shared" si="4"/>
        <v>0</v>
      </c>
      <c r="AL45" s="143">
        <f t="shared" si="5"/>
        <v>0</v>
      </c>
      <c r="AM45" s="144">
        <f>IF(OR(ServExt[[#This Row],[TIPO H]]="NORMAL",ServExt[[#This Row],[HORAS DIA]]&gt;=8),ServExt[[#This Row],[PESSOAS]]*ServExt[[#This Row],[DIAS]]*2,0)</f>
        <v>0</v>
      </c>
      <c r="AN45" s="144">
        <f>(IF(Z45="","",LOOKUP(Z45,BASE!A$4:A$19,BASE!E$4:E$19)))*ServExt[[#This Row],[TOTAL HORAS]]</f>
        <v>0</v>
      </c>
      <c r="AO45" s="11">
        <f>IF(ServExt[[#This Row],[TIPO H]]="NORMAL",ServExt[[#This Row],[PESSOAS]],0)</f>
        <v>0</v>
      </c>
      <c r="AP45" s="174">
        <f>IFERROR(ServExt[[#This Row],[TOTAL3]]*(RESUMO!$F$22/RESUMO!$F$14),0)</f>
        <v>0</v>
      </c>
      <c r="AR45" s="168">
        <v>23</v>
      </c>
      <c r="AS45" s="97" t="s">
        <v>177</v>
      </c>
    </row>
    <row r="46" spans="1:45" s="2" customFormat="1" ht="14.5" x14ac:dyDescent="0.25">
      <c r="A46" s="14"/>
      <c r="B46" s="115">
        <v>22</v>
      </c>
      <c r="C46" s="115" t="s">
        <v>153</v>
      </c>
      <c r="D46" s="114" t="s">
        <v>154</v>
      </c>
      <c r="E46" s="132">
        <v>0</v>
      </c>
      <c r="F46" s="264">
        <f>LOOKUP('SERVICOS AUTPRO'!$E$25:$E$64,BASE!A$4:A$125,BASE!B$4:B$125)</f>
        <v>0</v>
      </c>
      <c r="G46" s="117"/>
      <c r="H46" s="134"/>
      <c r="I46" s="135">
        <v>8.8000000000000007</v>
      </c>
      <c r="J46" s="134" t="s">
        <v>155</v>
      </c>
      <c r="K46" s="136">
        <f>_xlfn.IFS('SERVICOS AUTPRO'!$J$25:$J$64="EXTRA 150%",((1)*2.5),'SERVICOS AUTPRO'!$J$25:$J$64="EXTRA 100%",((1)*2),'SERVICOS AUTPRO'!$J$25:$J$64="EXTRA 75%",((1)*1.75),'SERVICOS AUTPRO'!$J$25:$J$64="EXTRA 50%",((1)*1.5),'SERVICOS AUTPRO'!$J$25:$J$64="NORMAL",((1)))</f>
        <v>1</v>
      </c>
      <c r="L46" s="137">
        <f>ServInt[[#This Row],[DIAS]]*ServInt[[#This Row],[PESSOAS]]*ServInt[[#This Row],[HORAS DIA]]</f>
        <v>0</v>
      </c>
      <c r="M46" s="138">
        <f>(IF(ServInt[[#This Row],[CÓDIGO]]="","",LOOKUP(E46,BASE!A$4:A$125,BASE!G$4:G$125)))*ServInt[[#This Row],[HE CALC]]</f>
        <v>0</v>
      </c>
      <c r="N46" s="102">
        <f>ServInt[[#This Row],[TOTAL HORAS]]*ServInt[[#This Row],[R$ / HORA]]</f>
        <v>0</v>
      </c>
      <c r="O46" s="139">
        <f>BASE!$W$60</f>
        <v>0.66983973762634585</v>
      </c>
      <c r="P46" s="138">
        <f t="shared" si="6"/>
        <v>0</v>
      </c>
      <c r="Q46" s="123">
        <f t="shared" si="7"/>
        <v>0</v>
      </c>
      <c r="R46" s="123"/>
      <c r="S46" s="123">
        <f>(IF(E46="","",LOOKUP(E46,BASE!A$4:A$19,BASE!E$4:E$19)))*ServInt[[#This Row],[TOTAL HORAS]]</f>
        <v>0</v>
      </c>
      <c r="T46" s="143">
        <f>IFERROR(ServInt[[#This Row],[TOTAL3]]*(RESUMO!$F$22/RESUMO!$F$14),0)</f>
        <v>0</v>
      </c>
      <c r="U46" s="11"/>
      <c r="V46" s="11"/>
      <c r="W46" s="115">
        <v>22</v>
      </c>
      <c r="X46" s="115" t="s">
        <v>156</v>
      </c>
      <c r="Y46" s="114" t="s">
        <v>154</v>
      </c>
      <c r="Z46" s="132">
        <v>0</v>
      </c>
      <c r="AA46" s="14">
        <f>LOOKUP(Z46,BASE!A$4:A$125,BASE!B$4:B$125)</f>
        <v>0</v>
      </c>
      <c r="AB46" s="117"/>
      <c r="AC46" s="134"/>
      <c r="AD46" s="135">
        <v>8.8000000000000007</v>
      </c>
      <c r="AE46" s="134" t="s">
        <v>155</v>
      </c>
      <c r="AF46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6" s="13">
        <f>ServExt[[#This Row],[DIAS]]*ServExt[[#This Row],[PESSOAS]]*ServExt[[#This Row],[HORAS DIA]]</f>
        <v>0</v>
      </c>
      <c r="AH46" s="141">
        <f>(IF(Z46="","",LOOKUP(Z46,BASE!A$4:A$125,BASE!H$4:H$125)))*ServExt[[#This Row],[HE CALC]]</f>
        <v>0</v>
      </c>
      <c r="AI46" s="102">
        <f>ServExt[[#This Row],[TOTAL HORAS]]*ServExt[[#This Row],[R$ / HORA]]</f>
        <v>0</v>
      </c>
      <c r="AJ46" s="139">
        <f>BASE!$W$60</f>
        <v>0.66983973762634585</v>
      </c>
      <c r="AK46" s="141">
        <f t="shared" si="4"/>
        <v>0</v>
      </c>
      <c r="AL46" s="143">
        <f t="shared" si="5"/>
        <v>0</v>
      </c>
      <c r="AM46" s="144">
        <f>IF(OR(ServExt[[#This Row],[TIPO H]]="NORMAL",ServExt[[#This Row],[HORAS DIA]]&gt;=8),ServExt[[#This Row],[PESSOAS]]*ServExt[[#This Row],[DIAS]]*2,0)</f>
        <v>0</v>
      </c>
      <c r="AN46" s="144">
        <f>(IF(Z46="","",LOOKUP(Z46,BASE!A$4:A$19,BASE!E$4:E$19)))*ServExt[[#This Row],[TOTAL HORAS]]</f>
        <v>0</v>
      </c>
      <c r="AO46" s="11">
        <f>IF(ServExt[[#This Row],[TIPO H]]="NORMAL",ServExt[[#This Row],[PESSOAS]],0)</f>
        <v>0</v>
      </c>
      <c r="AP46" s="174">
        <f>IFERROR(ServExt[[#This Row],[TOTAL3]]*(RESUMO!$F$22/RESUMO!$F$14),0)</f>
        <v>0</v>
      </c>
      <c r="AR46" s="168">
        <v>24</v>
      </c>
      <c r="AS46" s="97" t="s">
        <v>178</v>
      </c>
    </row>
    <row r="47" spans="1:45" s="2" customFormat="1" ht="14.5" x14ac:dyDescent="0.25">
      <c r="A47" s="14"/>
      <c r="B47" s="115">
        <v>23</v>
      </c>
      <c r="C47" s="115" t="s">
        <v>153</v>
      </c>
      <c r="D47" s="114" t="s">
        <v>154</v>
      </c>
      <c r="E47" s="132">
        <v>0</v>
      </c>
      <c r="F47" s="264">
        <f>LOOKUP('SERVICOS AUTPRO'!$E$25:$E$64,BASE!A$4:A$125,BASE!B$4:B$125)</f>
        <v>0</v>
      </c>
      <c r="G47" s="117"/>
      <c r="H47" s="134"/>
      <c r="I47" s="135">
        <v>8.8000000000000007</v>
      </c>
      <c r="J47" s="134" t="s">
        <v>155</v>
      </c>
      <c r="K47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47" s="137">
        <f>ServInt[[#This Row],[DIAS]]*ServInt[[#This Row],[PESSOAS]]*ServInt[[#This Row],[HORAS DIA]]</f>
        <v>0</v>
      </c>
      <c r="M47" s="138">
        <f>(IF(ServInt[[#This Row],[CÓDIGO]]="","",LOOKUP(E47,BASE!A$4:A$125,BASE!G$4:G$125)))*ServInt[[#This Row],[HE CALC]]</f>
        <v>0</v>
      </c>
      <c r="N47" s="102">
        <f>ServInt[[#This Row],[TOTAL HORAS]]*ServInt[[#This Row],[R$ / HORA]]</f>
        <v>0</v>
      </c>
      <c r="O47" s="139">
        <f>BASE!$W$60</f>
        <v>0.66983973762634585</v>
      </c>
      <c r="P47" s="138">
        <f t="shared" si="6"/>
        <v>0</v>
      </c>
      <c r="Q47" s="123">
        <f t="shared" si="7"/>
        <v>0</v>
      </c>
      <c r="R47" s="123"/>
      <c r="S47" s="123">
        <f>(IF(E47="","",LOOKUP(E47,BASE!A$4:A$19,BASE!E$4:E$19)))*ServInt[[#This Row],[TOTAL HORAS]]</f>
        <v>0</v>
      </c>
      <c r="T47" s="143">
        <f>IFERROR(ServInt[[#This Row],[TOTAL3]]*(RESUMO!$F$22/RESUMO!$F$14),0)</f>
        <v>0</v>
      </c>
      <c r="U47" s="11"/>
      <c r="V47" s="11"/>
      <c r="W47" s="115">
        <v>23</v>
      </c>
      <c r="X47" s="115" t="s">
        <v>156</v>
      </c>
      <c r="Y47" s="114" t="s">
        <v>154</v>
      </c>
      <c r="Z47" s="132">
        <v>0</v>
      </c>
      <c r="AA47" s="14">
        <f>LOOKUP(Z47,BASE!A$4:A$125,BASE!B$4:B$125)</f>
        <v>0</v>
      </c>
      <c r="AB47" s="117"/>
      <c r="AC47" s="134"/>
      <c r="AD47" s="135">
        <v>8.8000000000000007</v>
      </c>
      <c r="AE47" s="134" t="s">
        <v>155</v>
      </c>
      <c r="AF47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7" s="13">
        <f>ServExt[[#This Row],[DIAS]]*ServExt[[#This Row],[PESSOAS]]*ServExt[[#This Row],[HORAS DIA]]</f>
        <v>0</v>
      </c>
      <c r="AH47" s="141">
        <f>(IF(Z47="","",LOOKUP(Z47,BASE!A$4:A$125,BASE!H$4:H$125)))*ServExt[[#This Row],[HE CALC]]</f>
        <v>0</v>
      </c>
      <c r="AI47" s="102">
        <f>ServExt[[#This Row],[TOTAL HORAS]]*ServExt[[#This Row],[R$ / HORA]]</f>
        <v>0</v>
      </c>
      <c r="AJ47" s="139">
        <f>BASE!$W$60</f>
        <v>0.66983973762634585</v>
      </c>
      <c r="AK47" s="141">
        <f t="shared" si="4"/>
        <v>0</v>
      </c>
      <c r="AL47" s="143">
        <f t="shared" si="5"/>
        <v>0</v>
      </c>
      <c r="AM47" s="144">
        <f>IF(OR(ServExt[[#This Row],[TIPO H]]="NORMAL",ServExt[[#This Row],[HORAS DIA]]&gt;=8),ServExt[[#This Row],[PESSOAS]]*ServExt[[#This Row],[DIAS]]*2,0)</f>
        <v>0</v>
      </c>
      <c r="AN47" s="144">
        <f>(IF(Z47="","",LOOKUP(Z47,BASE!A$4:A$19,BASE!E$4:E$19)))*ServExt[[#This Row],[TOTAL HORAS]]</f>
        <v>0</v>
      </c>
      <c r="AO47" s="11">
        <f>IF(ServExt[[#This Row],[TIPO H]]="NORMAL",ServExt[[#This Row],[PESSOAS]],0)</f>
        <v>0</v>
      </c>
      <c r="AP47" s="174">
        <f>IFERROR(ServExt[[#This Row],[TOTAL3]]*(RESUMO!$F$22/RESUMO!$F$14),0)</f>
        <v>0</v>
      </c>
      <c r="AR47" s="168">
        <v>25</v>
      </c>
      <c r="AS47" s="97" t="s">
        <v>179</v>
      </c>
    </row>
    <row r="48" spans="1:45" s="2" customFormat="1" ht="14.5" x14ac:dyDescent="0.25">
      <c r="A48" s="14"/>
      <c r="B48" s="115">
        <v>24</v>
      </c>
      <c r="C48" s="115" t="s">
        <v>153</v>
      </c>
      <c r="D48" s="114" t="s">
        <v>154</v>
      </c>
      <c r="E48" s="132">
        <v>0</v>
      </c>
      <c r="F48" s="264">
        <f>LOOKUP('SERVICOS AUTPRO'!$E$25:$E$64,BASE!A$4:A$125,BASE!B$4:B$125)</f>
        <v>0</v>
      </c>
      <c r="G48" s="117"/>
      <c r="H48" s="134"/>
      <c r="I48" s="135">
        <v>8.8000000000000007</v>
      </c>
      <c r="J48" s="134" t="s">
        <v>155</v>
      </c>
      <c r="K48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48" s="137">
        <f>ServInt[[#This Row],[DIAS]]*ServInt[[#This Row],[PESSOAS]]*ServInt[[#This Row],[HORAS DIA]]</f>
        <v>0</v>
      </c>
      <c r="M48" s="138">
        <f>(IF(ServInt[[#This Row],[CÓDIGO]]="","",LOOKUP(E48,BASE!A$4:A$125,BASE!G$4:G$125)))*ServInt[[#This Row],[HE CALC]]</f>
        <v>0</v>
      </c>
      <c r="N48" s="102">
        <f>ServInt[[#This Row],[TOTAL HORAS]]*ServInt[[#This Row],[R$ / HORA]]</f>
        <v>0</v>
      </c>
      <c r="O48" s="139">
        <f>BASE!$W$60</f>
        <v>0.66983973762634585</v>
      </c>
      <c r="P48" s="138">
        <f t="shared" si="6"/>
        <v>0</v>
      </c>
      <c r="Q48" s="123">
        <f t="shared" si="7"/>
        <v>0</v>
      </c>
      <c r="R48" s="123"/>
      <c r="S48" s="123">
        <f>(IF(E48="","",LOOKUP(E48,BASE!A$4:A$19,BASE!E$4:E$19)))*ServInt[[#This Row],[TOTAL HORAS]]</f>
        <v>0</v>
      </c>
      <c r="T48" s="143">
        <f>IFERROR(ServInt[[#This Row],[TOTAL3]]*(RESUMO!$F$22/RESUMO!$F$14),0)</f>
        <v>0</v>
      </c>
      <c r="U48" s="11"/>
      <c r="V48" s="11"/>
      <c r="W48" s="115">
        <v>24</v>
      </c>
      <c r="X48" s="115" t="s">
        <v>156</v>
      </c>
      <c r="Y48" s="114" t="s">
        <v>154</v>
      </c>
      <c r="Z48" s="132">
        <v>0</v>
      </c>
      <c r="AA48" s="14">
        <f>LOOKUP(Z48,BASE!A$4:A$125,BASE!B$4:B$125)</f>
        <v>0</v>
      </c>
      <c r="AB48" s="117"/>
      <c r="AC48" s="134"/>
      <c r="AD48" s="135">
        <v>8.8000000000000007</v>
      </c>
      <c r="AE48" s="134" t="s">
        <v>155</v>
      </c>
      <c r="AF48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8" s="13">
        <f>ServExt[[#This Row],[DIAS]]*ServExt[[#This Row],[PESSOAS]]*ServExt[[#This Row],[HORAS DIA]]</f>
        <v>0</v>
      </c>
      <c r="AH48" s="141">
        <f>(IF(Z48="","",LOOKUP(Z48,BASE!A$4:A$125,BASE!H$4:H$125)))*ServExt[[#This Row],[HE CALC]]</f>
        <v>0</v>
      </c>
      <c r="AI48" s="102">
        <f>ServExt[[#This Row],[TOTAL HORAS]]*ServExt[[#This Row],[R$ / HORA]]</f>
        <v>0</v>
      </c>
      <c r="AJ48" s="139">
        <f>BASE!$W$60</f>
        <v>0.66983973762634585</v>
      </c>
      <c r="AK48" s="141">
        <f t="shared" si="4"/>
        <v>0</v>
      </c>
      <c r="AL48" s="143">
        <f t="shared" si="5"/>
        <v>0</v>
      </c>
      <c r="AM48" s="144">
        <f>IF(OR(ServExt[[#This Row],[TIPO H]]="NORMAL",ServExt[[#This Row],[HORAS DIA]]&gt;=8),ServExt[[#This Row],[PESSOAS]]*ServExt[[#This Row],[DIAS]]*2,0)</f>
        <v>0</v>
      </c>
      <c r="AN48" s="144">
        <f>(IF(Z48="","",LOOKUP(Z48,BASE!A$4:A$19,BASE!E$4:E$19)))*ServExt[[#This Row],[TOTAL HORAS]]</f>
        <v>0</v>
      </c>
      <c r="AO48" s="11">
        <f>IF(ServExt[[#This Row],[TIPO H]]="NORMAL",ServExt[[#This Row],[PESSOAS]],0)</f>
        <v>0</v>
      </c>
      <c r="AP48" s="174">
        <f>IFERROR(ServExt[[#This Row],[TOTAL3]]*(RESUMO!$F$22/RESUMO!$F$14),0)</f>
        <v>0</v>
      </c>
      <c r="AR48" s="168">
        <v>26</v>
      </c>
      <c r="AS48" s="97" t="s">
        <v>180</v>
      </c>
    </row>
    <row r="49" spans="1:45" s="2" customFormat="1" ht="15" customHeight="1" x14ac:dyDescent="0.25">
      <c r="A49" s="14"/>
      <c r="B49" s="115">
        <v>25</v>
      </c>
      <c r="C49" s="115" t="s">
        <v>153</v>
      </c>
      <c r="D49" s="114" t="s">
        <v>154</v>
      </c>
      <c r="E49" s="132">
        <v>0</v>
      </c>
      <c r="F49" s="264">
        <f>LOOKUP('SERVICOS AUTPRO'!$E$25:$E$64,BASE!A$4:A$125,BASE!B$4:B$125)</f>
        <v>0</v>
      </c>
      <c r="G49" s="117"/>
      <c r="H49" s="134"/>
      <c r="I49" s="135">
        <v>8.8000000000000007</v>
      </c>
      <c r="J49" s="134" t="s">
        <v>155</v>
      </c>
      <c r="K49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49" s="137">
        <f>ServInt[[#This Row],[DIAS]]*ServInt[[#This Row],[PESSOAS]]*ServInt[[#This Row],[HORAS DIA]]</f>
        <v>0</v>
      </c>
      <c r="M49" s="138">
        <f>(IF(ServInt[[#This Row],[CÓDIGO]]="","",LOOKUP(E49,BASE!A$4:A$125,BASE!G$4:G$125)))*ServInt[[#This Row],[HE CALC]]</f>
        <v>0</v>
      </c>
      <c r="N49" s="102">
        <f>ServInt[[#This Row],[TOTAL HORAS]]*ServInt[[#This Row],[R$ / HORA]]</f>
        <v>0</v>
      </c>
      <c r="O49" s="139">
        <f>BASE!$W$60</f>
        <v>0.66983973762634585</v>
      </c>
      <c r="P49" s="138">
        <f t="shared" si="6"/>
        <v>0</v>
      </c>
      <c r="Q49" s="123">
        <f t="shared" si="7"/>
        <v>0</v>
      </c>
      <c r="R49" s="123"/>
      <c r="S49" s="123">
        <f>(IF(E49="","",LOOKUP(E49,BASE!A$4:A$19,BASE!E$4:E$19)))*ServInt[[#This Row],[TOTAL HORAS]]</f>
        <v>0</v>
      </c>
      <c r="T49" s="143">
        <f>IFERROR(ServInt[[#This Row],[TOTAL3]]*(RESUMO!$F$22/RESUMO!$F$14),0)</f>
        <v>0</v>
      </c>
      <c r="U49" s="11"/>
      <c r="V49" s="11"/>
      <c r="W49" s="115">
        <v>25</v>
      </c>
      <c r="X49" s="115" t="s">
        <v>156</v>
      </c>
      <c r="Y49" s="114" t="s">
        <v>154</v>
      </c>
      <c r="Z49" s="132">
        <v>0</v>
      </c>
      <c r="AA49" s="14">
        <f>LOOKUP(Z49,BASE!A$4:A$125,BASE!B$4:B$125)</f>
        <v>0</v>
      </c>
      <c r="AB49" s="117"/>
      <c r="AC49" s="134"/>
      <c r="AD49" s="135">
        <v>8.8000000000000007</v>
      </c>
      <c r="AE49" s="134" t="s">
        <v>155</v>
      </c>
      <c r="AF49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49" s="13">
        <f>ServExt[[#This Row],[DIAS]]*ServExt[[#This Row],[PESSOAS]]*ServExt[[#This Row],[HORAS DIA]]</f>
        <v>0</v>
      </c>
      <c r="AH49" s="141">
        <f>(IF(Z49="","",LOOKUP(Z49,BASE!A$4:A$125,BASE!H$4:H$125)))*ServExt[[#This Row],[HE CALC]]</f>
        <v>0</v>
      </c>
      <c r="AI49" s="102">
        <f>ServExt[[#This Row],[TOTAL HORAS]]*ServExt[[#This Row],[R$ / HORA]]</f>
        <v>0</v>
      </c>
      <c r="AJ49" s="139">
        <f>BASE!$W$60</f>
        <v>0.66983973762634585</v>
      </c>
      <c r="AK49" s="141">
        <f t="shared" si="4"/>
        <v>0</v>
      </c>
      <c r="AL49" s="143">
        <f t="shared" si="5"/>
        <v>0</v>
      </c>
      <c r="AM49" s="144">
        <f>IF(OR(ServExt[[#This Row],[TIPO H]]="NORMAL",ServExt[[#This Row],[HORAS DIA]]&gt;=8),ServExt[[#This Row],[PESSOAS]]*ServExt[[#This Row],[DIAS]]*2,0)</f>
        <v>0</v>
      </c>
      <c r="AN49" s="144">
        <f>(IF(Z49="","",LOOKUP(Z49,BASE!A$4:A$19,BASE!E$4:E$19)))*ServExt[[#This Row],[TOTAL HORAS]]</f>
        <v>0</v>
      </c>
      <c r="AO49" s="11">
        <f>IF(ServExt[[#This Row],[TIPO H]]="NORMAL",ServExt[[#This Row],[PESSOAS]],0)</f>
        <v>0</v>
      </c>
      <c r="AP49" s="174">
        <f>IFERROR(ServExt[[#This Row],[TOTAL3]]*(RESUMO!$F$22/RESUMO!$F$14),0)</f>
        <v>0</v>
      </c>
      <c r="AR49" s="168">
        <v>27</v>
      </c>
      <c r="AS49" s="97" t="s">
        <v>181</v>
      </c>
    </row>
    <row r="50" spans="1:45" s="2" customFormat="1" ht="14.5" x14ac:dyDescent="0.25">
      <c r="A50" s="14"/>
      <c r="B50" s="115">
        <v>26</v>
      </c>
      <c r="C50" s="115" t="s">
        <v>153</v>
      </c>
      <c r="D50" s="114" t="s">
        <v>154</v>
      </c>
      <c r="E50" s="132">
        <v>0</v>
      </c>
      <c r="F50" s="264">
        <f>LOOKUP('SERVICOS AUTPRO'!$E$25:$E$64,BASE!A$4:A$125,BASE!B$4:B$125)</f>
        <v>0</v>
      </c>
      <c r="G50" s="117"/>
      <c r="H50" s="134"/>
      <c r="I50" s="135">
        <v>8.8000000000000007</v>
      </c>
      <c r="J50" s="134" t="s">
        <v>155</v>
      </c>
      <c r="K50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0" s="137">
        <f>ServInt[[#This Row],[DIAS]]*ServInt[[#This Row],[PESSOAS]]*ServInt[[#This Row],[HORAS DIA]]</f>
        <v>0</v>
      </c>
      <c r="M50" s="138">
        <f>(IF(ServInt[[#This Row],[CÓDIGO]]="","",LOOKUP(E50,BASE!A$4:A$125,BASE!G$4:G$125)))*ServInt[[#This Row],[HE CALC]]</f>
        <v>0</v>
      </c>
      <c r="N50" s="102">
        <f>ServInt[[#This Row],[TOTAL HORAS]]*ServInt[[#This Row],[R$ / HORA]]</f>
        <v>0</v>
      </c>
      <c r="O50" s="139">
        <f>BASE!$W$60</f>
        <v>0.66983973762634585</v>
      </c>
      <c r="P50" s="138">
        <f t="shared" si="6"/>
        <v>0</v>
      </c>
      <c r="Q50" s="123">
        <f t="shared" si="7"/>
        <v>0</v>
      </c>
      <c r="R50" s="123"/>
      <c r="S50" s="123">
        <f>(IF(E50="","",LOOKUP(E50,BASE!A$4:A$19,BASE!E$4:E$19)))*ServInt[[#This Row],[TOTAL HORAS]]</f>
        <v>0</v>
      </c>
      <c r="T50" s="143">
        <f>IFERROR(ServInt[[#This Row],[TOTAL3]]*(RESUMO!$F$22/RESUMO!$F$14),0)</f>
        <v>0</v>
      </c>
      <c r="U50" s="11"/>
      <c r="V50" s="11"/>
      <c r="W50" s="115">
        <v>26</v>
      </c>
      <c r="X50" s="115" t="s">
        <v>156</v>
      </c>
      <c r="Y50" s="114" t="s">
        <v>154</v>
      </c>
      <c r="Z50" s="132">
        <v>0</v>
      </c>
      <c r="AA50" s="14">
        <f>LOOKUP(Z50,BASE!A$4:A$125,BASE!B$4:B$125)</f>
        <v>0</v>
      </c>
      <c r="AB50" s="117"/>
      <c r="AC50" s="134"/>
      <c r="AD50" s="135">
        <v>8.8000000000000007</v>
      </c>
      <c r="AE50" s="134" t="s">
        <v>155</v>
      </c>
      <c r="AF50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0" s="13">
        <f>ServExt[[#This Row],[DIAS]]*ServExt[[#This Row],[PESSOAS]]*ServExt[[#This Row],[HORAS DIA]]</f>
        <v>0</v>
      </c>
      <c r="AH50" s="141">
        <f>(IF(Z50="","",LOOKUP(Z50,BASE!A$4:A$125,BASE!H$4:H$125)))*ServExt[[#This Row],[HE CALC]]</f>
        <v>0</v>
      </c>
      <c r="AI50" s="102">
        <f>ServExt[[#This Row],[TOTAL HORAS]]*ServExt[[#This Row],[R$ / HORA]]</f>
        <v>0</v>
      </c>
      <c r="AJ50" s="139">
        <f>BASE!$W$60</f>
        <v>0.66983973762634585</v>
      </c>
      <c r="AK50" s="141">
        <f t="shared" si="4"/>
        <v>0</v>
      </c>
      <c r="AL50" s="143">
        <f t="shared" si="5"/>
        <v>0</v>
      </c>
      <c r="AM50" s="144">
        <f>IF(OR(ServExt[[#This Row],[TIPO H]]="NORMAL",ServExt[[#This Row],[HORAS DIA]]&gt;=8),ServExt[[#This Row],[PESSOAS]]*ServExt[[#This Row],[DIAS]]*2,0)</f>
        <v>0</v>
      </c>
      <c r="AN50" s="144">
        <f>(IF(Z50="","",LOOKUP(Z50,BASE!A$4:A$19,BASE!E$4:E$19)))*ServExt[[#This Row],[TOTAL HORAS]]</f>
        <v>0</v>
      </c>
      <c r="AO50" s="11">
        <f>IF(ServExt[[#This Row],[TIPO H]]="NORMAL",ServExt[[#This Row],[PESSOAS]],0)</f>
        <v>0</v>
      </c>
      <c r="AP50" s="174">
        <f>IFERROR(ServExt[[#This Row],[TOTAL3]]*(RESUMO!$F$22/RESUMO!$F$14),0)</f>
        <v>0</v>
      </c>
      <c r="AR50" s="168">
        <v>28</v>
      </c>
      <c r="AS50" s="97" t="s">
        <v>182</v>
      </c>
    </row>
    <row r="51" spans="1:45" s="2" customFormat="1" ht="14.5" x14ac:dyDescent="0.25">
      <c r="A51" s="14"/>
      <c r="B51" s="115">
        <v>27</v>
      </c>
      <c r="C51" s="115" t="s">
        <v>153</v>
      </c>
      <c r="D51" s="114" t="s">
        <v>154</v>
      </c>
      <c r="E51" s="132">
        <v>0</v>
      </c>
      <c r="F51" s="264">
        <f>LOOKUP('SERVICOS AUTPRO'!$E$25:$E$64,BASE!A$4:A$125,BASE!B$4:B$125)</f>
        <v>0</v>
      </c>
      <c r="G51" s="117"/>
      <c r="H51" s="134"/>
      <c r="I51" s="135">
        <v>8.8000000000000007</v>
      </c>
      <c r="J51" s="134" t="s">
        <v>155</v>
      </c>
      <c r="K51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1" s="137">
        <f>ServInt[[#This Row],[DIAS]]*ServInt[[#This Row],[PESSOAS]]*ServInt[[#This Row],[HORAS DIA]]</f>
        <v>0</v>
      </c>
      <c r="M51" s="138">
        <f>(IF(ServInt[[#This Row],[CÓDIGO]]="","",LOOKUP(E51,BASE!A$4:A$125,BASE!G$4:G$125)))*ServInt[[#This Row],[HE CALC]]</f>
        <v>0</v>
      </c>
      <c r="N51" s="102">
        <f>ServInt[[#This Row],[TOTAL HORAS]]*ServInt[[#This Row],[R$ / HORA]]</f>
        <v>0</v>
      </c>
      <c r="O51" s="139">
        <f>BASE!$W$60</f>
        <v>0.66983973762634585</v>
      </c>
      <c r="P51" s="138">
        <f t="shared" si="6"/>
        <v>0</v>
      </c>
      <c r="Q51" s="123">
        <f t="shared" si="7"/>
        <v>0</v>
      </c>
      <c r="R51" s="123"/>
      <c r="S51" s="123">
        <f>(IF(E51="","",LOOKUP(E51,BASE!A$4:A$19,BASE!E$4:E$19)))*ServInt[[#This Row],[TOTAL HORAS]]</f>
        <v>0</v>
      </c>
      <c r="T51" s="143">
        <f>IFERROR(ServInt[[#This Row],[TOTAL3]]*(RESUMO!$F$22/RESUMO!$F$14),0)</f>
        <v>0</v>
      </c>
      <c r="U51" s="11"/>
      <c r="V51" s="11"/>
      <c r="W51" s="115">
        <v>27</v>
      </c>
      <c r="X51" s="115" t="s">
        <v>156</v>
      </c>
      <c r="Y51" s="114" t="s">
        <v>154</v>
      </c>
      <c r="Z51" s="132">
        <v>0</v>
      </c>
      <c r="AA51" s="14">
        <f>LOOKUP(Z51,BASE!A$4:A$125,BASE!B$4:B$125)</f>
        <v>0</v>
      </c>
      <c r="AB51" s="117"/>
      <c r="AC51" s="134"/>
      <c r="AD51" s="135">
        <v>8.8000000000000007</v>
      </c>
      <c r="AE51" s="134" t="s">
        <v>155</v>
      </c>
      <c r="AF51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1" s="13">
        <f>ServExt[[#This Row],[DIAS]]*ServExt[[#This Row],[PESSOAS]]*ServExt[[#This Row],[HORAS DIA]]</f>
        <v>0</v>
      </c>
      <c r="AH51" s="141">
        <f>(IF(Z51="","",LOOKUP(Z51,BASE!A$4:A$125,BASE!H$4:H$125)))*ServExt[[#This Row],[HE CALC]]</f>
        <v>0</v>
      </c>
      <c r="AI51" s="102">
        <f>ServExt[[#This Row],[TOTAL HORAS]]*ServExt[[#This Row],[R$ / HORA]]</f>
        <v>0</v>
      </c>
      <c r="AJ51" s="139">
        <f>BASE!$W$60</f>
        <v>0.66983973762634585</v>
      </c>
      <c r="AK51" s="141">
        <f t="shared" si="4"/>
        <v>0</v>
      </c>
      <c r="AL51" s="143">
        <f t="shared" si="5"/>
        <v>0</v>
      </c>
      <c r="AM51" s="144">
        <f>IF(OR(ServExt[[#This Row],[TIPO H]]="NORMAL",ServExt[[#This Row],[HORAS DIA]]&gt;=8),ServExt[[#This Row],[PESSOAS]]*ServExt[[#This Row],[DIAS]]*2,0)</f>
        <v>0</v>
      </c>
      <c r="AN51" s="144">
        <f>(IF(Z51="","",LOOKUP(Z51,BASE!A$4:A$19,BASE!E$4:E$19)))*ServExt[[#This Row],[TOTAL HORAS]]</f>
        <v>0</v>
      </c>
      <c r="AO51" s="11">
        <f>IF(ServExt[[#This Row],[TIPO H]]="NORMAL",ServExt[[#This Row],[PESSOAS]],0)</f>
        <v>0</v>
      </c>
      <c r="AP51" s="174">
        <f>IFERROR(ServExt[[#This Row],[TOTAL3]]*(RESUMO!$F$22/RESUMO!$F$14),0)</f>
        <v>0</v>
      </c>
      <c r="AR51" s="168">
        <v>29</v>
      </c>
      <c r="AS51" s="97" t="s">
        <v>183</v>
      </c>
    </row>
    <row r="52" spans="1:45" s="2" customFormat="1" ht="14.5" x14ac:dyDescent="0.25">
      <c r="A52" s="14"/>
      <c r="B52" s="115">
        <v>28</v>
      </c>
      <c r="C52" s="115" t="s">
        <v>153</v>
      </c>
      <c r="D52" s="114" t="s">
        <v>154</v>
      </c>
      <c r="E52" s="132">
        <v>0</v>
      </c>
      <c r="F52" s="264">
        <f>LOOKUP('SERVICOS AUTPRO'!$E$25:$E$64,BASE!A$4:A$125,BASE!B$4:B$125)</f>
        <v>0</v>
      </c>
      <c r="G52" s="117"/>
      <c r="H52" s="134"/>
      <c r="I52" s="135">
        <v>8.8000000000000007</v>
      </c>
      <c r="J52" s="134" t="s">
        <v>155</v>
      </c>
      <c r="K52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2" s="137">
        <f>ServInt[[#This Row],[DIAS]]*ServInt[[#This Row],[PESSOAS]]*ServInt[[#This Row],[HORAS DIA]]</f>
        <v>0</v>
      </c>
      <c r="M52" s="138">
        <f>(IF(ServInt[[#This Row],[CÓDIGO]]="","",LOOKUP(E52,BASE!A$4:A$125,BASE!G$4:G$125)))*ServInt[[#This Row],[HE CALC]]</f>
        <v>0</v>
      </c>
      <c r="N52" s="102">
        <f>ServInt[[#This Row],[TOTAL HORAS]]*ServInt[[#This Row],[R$ / HORA]]</f>
        <v>0</v>
      </c>
      <c r="O52" s="139">
        <f>BASE!$W$60</f>
        <v>0.66983973762634585</v>
      </c>
      <c r="P52" s="138">
        <f t="shared" si="6"/>
        <v>0</v>
      </c>
      <c r="Q52" s="123">
        <f t="shared" si="7"/>
        <v>0</v>
      </c>
      <c r="R52" s="123"/>
      <c r="S52" s="123">
        <f>(IF(E52="","",LOOKUP(E52,BASE!A$4:A$19,BASE!E$4:E$19)))*ServInt[[#This Row],[TOTAL HORAS]]</f>
        <v>0</v>
      </c>
      <c r="T52" s="143">
        <f>IFERROR(ServInt[[#This Row],[TOTAL3]]*(RESUMO!$F$22/RESUMO!$F$14),0)</f>
        <v>0</v>
      </c>
      <c r="U52" s="11"/>
      <c r="V52" s="11"/>
      <c r="W52" s="115">
        <v>28</v>
      </c>
      <c r="X52" s="115" t="s">
        <v>156</v>
      </c>
      <c r="Y52" s="114" t="s">
        <v>154</v>
      </c>
      <c r="Z52" s="132">
        <v>0</v>
      </c>
      <c r="AA52" s="14">
        <f>LOOKUP(Z52,BASE!A$4:A$125,BASE!B$4:B$125)</f>
        <v>0</v>
      </c>
      <c r="AB52" s="117"/>
      <c r="AC52" s="134"/>
      <c r="AD52" s="135">
        <v>8.8000000000000007</v>
      </c>
      <c r="AE52" s="134" t="s">
        <v>155</v>
      </c>
      <c r="AF52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2" s="13">
        <f>ServExt[[#This Row],[DIAS]]*ServExt[[#This Row],[PESSOAS]]*ServExt[[#This Row],[HORAS DIA]]</f>
        <v>0</v>
      </c>
      <c r="AH52" s="141">
        <f>(IF(Z52="","",LOOKUP(Z52,BASE!A$4:A$125,BASE!H$4:H$125)))*ServExt[[#This Row],[HE CALC]]</f>
        <v>0</v>
      </c>
      <c r="AI52" s="102">
        <f>ServExt[[#This Row],[TOTAL HORAS]]*ServExt[[#This Row],[R$ / HORA]]</f>
        <v>0</v>
      </c>
      <c r="AJ52" s="139">
        <f>BASE!$W$60</f>
        <v>0.66983973762634585</v>
      </c>
      <c r="AK52" s="141">
        <f t="shared" si="4"/>
        <v>0</v>
      </c>
      <c r="AL52" s="143">
        <f t="shared" si="5"/>
        <v>0</v>
      </c>
      <c r="AM52" s="144">
        <f>IF(OR(ServExt[[#This Row],[TIPO H]]="NORMAL",ServExt[[#This Row],[HORAS DIA]]&gt;=8),ServExt[[#This Row],[PESSOAS]]*ServExt[[#This Row],[DIAS]]*2,0)</f>
        <v>0</v>
      </c>
      <c r="AN52" s="144">
        <f>(IF(Z52="","",LOOKUP(Z52,BASE!A$4:A$19,BASE!E$4:E$19)))*ServExt[[#This Row],[TOTAL HORAS]]</f>
        <v>0</v>
      </c>
      <c r="AO52" s="11">
        <f>IF(ServExt[[#This Row],[TIPO H]]="NORMAL",ServExt[[#This Row],[PESSOAS]],0)</f>
        <v>0</v>
      </c>
      <c r="AP52" s="174">
        <f>IFERROR(ServExt[[#This Row],[TOTAL3]]*(RESUMO!$F$22/RESUMO!$F$14),0)</f>
        <v>0</v>
      </c>
      <c r="AR52" s="168">
        <v>30</v>
      </c>
      <c r="AS52" s="97" t="s">
        <v>184</v>
      </c>
    </row>
    <row r="53" spans="1:45" s="2" customFormat="1" ht="14.5" x14ac:dyDescent="0.25">
      <c r="A53" s="14"/>
      <c r="B53" s="115">
        <v>29</v>
      </c>
      <c r="C53" s="115" t="s">
        <v>153</v>
      </c>
      <c r="D53" s="114" t="s">
        <v>154</v>
      </c>
      <c r="E53" s="132">
        <v>0</v>
      </c>
      <c r="F53" s="264">
        <f>LOOKUP('SERVICOS AUTPRO'!$E$25:$E$64,BASE!A$4:A$125,BASE!B$4:B$125)</f>
        <v>0</v>
      </c>
      <c r="G53" s="117"/>
      <c r="H53" s="134"/>
      <c r="I53" s="135">
        <v>8.8000000000000007</v>
      </c>
      <c r="J53" s="134" t="s">
        <v>155</v>
      </c>
      <c r="K53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3" s="137">
        <f>ServInt[[#This Row],[DIAS]]*ServInt[[#This Row],[PESSOAS]]*ServInt[[#This Row],[HORAS DIA]]</f>
        <v>0</v>
      </c>
      <c r="M53" s="138">
        <f>(IF(ServInt[[#This Row],[CÓDIGO]]="","",LOOKUP(E53,BASE!A$4:A$125,BASE!G$4:G$125)))*ServInt[[#This Row],[HE CALC]]</f>
        <v>0</v>
      </c>
      <c r="N53" s="102">
        <f>ServInt[[#This Row],[TOTAL HORAS]]*ServInt[[#This Row],[R$ / HORA]]</f>
        <v>0</v>
      </c>
      <c r="O53" s="139">
        <f>BASE!$W$60</f>
        <v>0.66983973762634585</v>
      </c>
      <c r="P53" s="138">
        <f t="shared" si="6"/>
        <v>0</v>
      </c>
      <c r="Q53" s="123">
        <f t="shared" si="7"/>
        <v>0</v>
      </c>
      <c r="R53" s="123"/>
      <c r="S53" s="123">
        <f>(IF(E53="","",LOOKUP(E53,BASE!A$4:A$19,BASE!E$4:E$19)))*ServInt[[#This Row],[TOTAL HORAS]]</f>
        <v>0</v>
      </c>
      <c r="T53" s="143">
        <f>IFERROR(ServInt[[#This Row],[TOTAL3]]*(RESUMO!$F$22/RESUMO!$F$14),0)</f>
        <v>0</v>
      </c>
      <c r="U53" s="11"/>
      <c r="V53" s="11"/>
      <c r="W53" s="115">
        <v>29</v>
      </c>
      <c r="X53" s="115" t="s">
        <v>156</v>
      </c>
      <c r="Y53" s="114" t="s">
        <v>154</v>
      </c>
      <c r="Z53" s="132">
        <v>0</v>
      </c>
      <c r="AA53" s="14">
        <f>LOOKUP(Z53,BASE!A$4:A$125,BASE!B$4:B$125)</f>
        <v>0</v>
      </c>
      <c r="AB53" s="117"/>
      <c r="AC53" s="134"/>
      <c r="AD53" s="135">
        <v>8.8000000000000007</v>
      </c>
      <c r="AE53" s="134" t="s">
        <v>155</v>
      </c>
      <c r="AF53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3" s="13">
        <f>ServExt[[#This Row],[DIAS]]*ServExt[[#This Row],[PESSOAS]]*ServExt[[#This Row],[HORAS DIA]]</f>
        <v>0</v>
      </c>
      <c r="AH53" s="141">
        <f>(IF(Z53="","",LOOKUP(Z53,BASE!A$4:A$125,BASE!H$4:H$125)))*ServExt[[#This Row],[HE CALC]]</f>
        <v>0</v>
      </c>
      <c r="AI53" s="102">
        <f>ServExt[[#This Row],[TOTAL HORAS]]*ServExt[[#This Row],[R$ / HORA]]</f>
        <v>0</v>
      </c>
      <c r="AJ53" s="139">
        <f>BASE!$W$60</f>
        <v>0.66983973762634585</v>
      </c>
      <c r="AK53" s="141">
        <f t="shared" si="4"/>
        <v>0</v>
      </c>
      <c r="AL53" s="143">
        <f t="shared" si="5"/>
        <v>0</v>
      </c>
      <c r="AM53" s="144">
        <f>IF(OR(ServExt[[#This Row],[TIPO H]]="NORMAL",ServExt[[#This Row],[HORAS DIA]]&gt;=8),ServExt[[#This Row],[PESSOAS]]*ServExt[[#This Row],[DIAS]]*2,0)</f>
        <v>0</v>
      </c>
      <c r="AN53" s="144">
        <f>(IF(Z53="","",LOOKUP(Z53,BASE!A$4:A$19,BASE!E$4:E$19)))*ServExt[[#This Row],[TOTAL HORAS]]</f>
        <v>0</v>
      </c>
      <c r="AO53" s="11">
        <f>IF(ServExt[[#This Row],[TIPO H]]="NORMAL",ServExt[[#This Row],[PESSOAS]],0)</f>
        <v>0</v>
      </c>
      <c r="AP53" s="174">
        <f>IFERROR(ServExt[[#This Row],[TOTAL3]]*(RESUMO!$F$22/RESUMO!$F$14),0)</f>
        <v>0</v>
      </c>
      <c r="AR53" s="168">
        <v>31</v>
      </c>
      <c r="AS53" s="97" t="s">
        <v>185</v>
      </c>
    </row>
    <row r="54" spans="1:45" s="2" customFormat="1" ht="14.5" x14ac:dyDescent="0.25">
      <c r="A54" s="14"/>
      <c r="B54" s="115">
        <v>30</v>
      </c>
      <c r="C54" s="115" t="s">
        <v>153</v>
      </c>
      <c r="D54" s="114" t="s">
        <v>154</v>
      </c>
      <c r="E54" s="132">
        <v>0</v>
      </c>
      <c r="F54" s="264">
        <f>LOOKUP('SERVICOS AUTPRO'!$E$25:$E$64,BASE!A$4:A$125,BASE!B$4:B$125)</f>
        <v>0</v>
      </c>
      <c r="G54" s="117"/>
      <c r="H54" s="134"/>
      <c r="I54" s="135">
        <v>8.8000000000000007</v>
      </c>
      <c r="J54" s="134" t="s">
        <v>155</v>
      </c>
      <c r="K54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4" s="137">
        <f>ServInt[[#This Row],[DIAS]]*ServInt[[#This Row],[PESSOAS]]*ServInt[[#This Row],[HORAS DIA]]</f>
        <v>0</v>
      </c>
      <c r="M54" s="138">
        <f>(IF(ServInt[[#This Row],[CÓDIGO]]="","",LOOKUP(E54,BASE!A$4:A$125,BASE!G$4:G$125)))*ServInt[[#This Row],[HE CALC]]</f>
        <v>0</v>
      </c>
      <c r="N54" s="102">
        <f>ServInt[[#This Row],[TOTAL HORAS]]*ServInt[[#This Row],[R$ / HORA]]</f>
        <v>0</v>
      </c>
      <c r="O54" s="139">
        <f>BASE!$W$60</f>
        <v>0.66983973762634585</v>
      </c>
      <c r="P54" s="138">
        <f t="shared" si="6"/>
        <v>0</v>
      </c>
      <c r="Q54" s="123">
        <f t="shared" si="7"/>
        <v>0</v>
      </c>
      <c r="R54" s="123"/>
      <c r="S54" s="123">
        <f>(IF(E54="","",LOOKUP(E54,BASE!A$4:A$19,BASE!E$4:E$19)))*ServInt[[#This Row],[TOTAL HORAS]]</f>
        <v>0</v>
      </c>
      <c r="T54" s="143">
        <f>IFERROR(ServInt[[#This Row],[TOTAL3]]*(RESUMO!$F$22/RESUMO!$F$14),0)</f>
        <v>0</v>
      </c>
      <c r="U54" s="11"/>
      <c r="V54" s="11"/>
      <c r="W54" s="115">
        <v>30</v>
      </c>
      <c r="X54" s="115" t="s">
        <v>156</v>
      </c>
      <c r="Y54" s="114" t="s">
        <v>154</v>
      </c>
      <c r="Z54" s="132">
        <v>0</v>
      </c>
      <c r="AA54" s="14">
        <f>LOOKUP(Z54,BASE!A$4:A$125,BASE!B$4:B$125)</f>
        <v>0</v>
      </c>
      <c r="AB54" s="117"/>
      <c r="AC54" s="134"/>
      <c r="AD54" s="135">
        <v>8.8000000000000007</v>
      </c>
      <c r="AE54" s="134" t="s">
        <v>155</v>
      </c>
      <c r="AF54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4" s="13">
        <f>ServExt[[#This Row],[DIAS]]*ServExt[[#This Row],[PESSOAS]]*ServExt[[#This Row],[HORAS DIA]]</f>
        <v>0</v>
      </c>
      <c r="AH54" s="141">
        <f>(IF(Z54="","",LOOKUP(Z54,BASE!A$4:A$125,BASE!H$4:H$125)))*ServExt[[#This Row],[HE CALC]]</f>
        <v>0</v>
      </c>
      <c r="AI54" s="102">
        <f>ServExt[[#This Row],[TOTAL HORAS]]*ServExt[[#This Row],[R$ / HORA]]</f>
        <v>0</v>
      </c>
      <c r="AJ54" s="139">
        <f>BASE!$W$60</f>
        <v>0.66983973762634585</v>
      </c>
      <c r="AK54" s="141">
        <f t="shared" si="4"/>
        <v>0</v>
      </c>
      <c r="AL54" s="143">
        <f t="shared" si="5"/>
        <v>0</v>
      </c>
      <c r="AM54" s="144">
        <f>IF(OR(ServExt[[#This Row],[TIPO H]]="NORMAL",ServExt[[#This Row],[HORAS DIA]]&gt;=8),ServExt[[#This Row],[PESSOAS]]*ServExt[[#This Row],[DIAS]]*2,0)</f>
        <v>0</v>
      </c>
      <c r="AN54" s="144">
        <f>(IF(Z54="","",LOOKUP(Z54,BASE!A$4:A$19,BASE!E$4:E$19)))*ServExt[[#This Row],[TOTAL HORAS]]</f>
        <v>0</v>
      </c>
      <c r="AO54" s="11">
        <f>IF(ServExt[[#This Row],[TIPO H]]="NORMAL",ServExt[[#This Row],[PESSOAS]],0)</f>
        <v>0</v>
      </c>
      <c r="AP54" s="174">
        <f>IFERROR(ServExt[[#This Row],[TOTAL3]]*(RESUMO!$F$22/RESUMO!$F$14),0)</f>
        <v>0</v>
      </c>
      <c r="AR54" s="244">
        <v>32</v>
      </c>
      <c r="AS54" s="2" t="s">
        <v>186</v>
      </c>
    </row>
    <row r="55" spans="1:45" s="2" customFormat="1" ht="14.5" x14ac:dyDescent="0.25">
      <c r="A55" s="14"/>
      <c r="B55" s="115">
        <v>31</v>
      </c>
      <c r="C55" s="115" t="s">
        <v>153</v>
      </c>
      <c r="D55" s="114" t="s">
        <v>154</v>
      </c>
      <c r="E55" s="132">
        <v>0</v>
      </c>
      <c r="F55" s="264">
        <f>LOOKUP('SERVICOS AUTPRO'!$E$25:$E$64,BASE!A$4:A$125,BASE!B$4:B$125)</f>
        <v>0</v>
      </c>
      <c r="G55" s="117"/>
      <c r="H55" s="134"/>
      <c r="I55" s="135">
        <v>8.8000000000000007</v>
      </c>
      <c r="J55" s="134" t="s">
        <v>155</v>
      </c>
      <c r="K55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5" s="137">
        <f>ServInt[[#This Row],[DIAS]]*ServInt[[#This Row],[PESSOAS]]*ServInt[[#This Row],[HORAS DIA]]</f>
        <v>0</v>
      </c>
      <c r="M55" s="138">
        <f>(IF(ServInt[[#This Row],[CÓDIGO]]="","",LOOKUP(E55,BASE!A$4:A$125,BASE!G$4:G$125)))*ServInt[[#This Row],[HE CALC]]</f>
        <v>0</v>
      </c>
      <c r="N55" s="102">
        <f>ServInt[[#This Row],[TOTAL HORAS]]*ServInt[[#This Row],[R$ / HORA]]</f>
        <v>0</v>
      </c>
      <c r="O55" s="139">
        <f>BASE!$W$60</f>
        <v>0.66983973762634585</v>
      </c>
      <c r="P55" s="138">
        <f t="shared" si="6"/>
        <v>0</v>
      </c>
      <c r="Q55" s="123">
        <f t="shared" si="7"/>
        <v>0</v>
      </c>
      <c r="R55" s="123"/>
      <c r="S55" s="123">
        <f>(IF(E55="","",LOOKUP(E55,BASE!A$4:A$19,BASE!E$4:E$19)))*ServInt[[#This Row],[TOTAL HORAS]]</f>
        <v>0</v>
      </c>
      <c r="T55" s="143">
        <f>IFERROR(ServInt[[#This Row],[TOTAL3]]*(RESUMO!$F$22/RESUMO!$F$14),0)</f>
        <v>0</v>
      </c>
      <c r="U55" s="11"/>
      <c r="V55" s="11"/>
      <c r="W55" s="115">
        <v>31</v>
      </c>
      <c r="X55" s="115" t="s">
        <v>156</v>
      </c>
      <c r="Y55" s="114" t="s">
        <v>154</v>
      </c>
      <c r="Z55" s="132">
        <v>0</v>
      </c>
      <c r="AA55" s="14">
        <f>LOOKUP(Z55,BASE!A$4:A$125,BASE!B$4:B$125)</f>
        <v>0</v>
      </c>
      <c r="AB55" s="117"/>
      <c r="AC55" s="134"/>
      <c r="AD55" s="135">
        <v>8.8000000000000007</v>
      </c>
      <c r="AE55" s="134" t="s">
        <v>155</v>
      </c>
      <c r="AF55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5" s="13">
        <f>ServExt[[#This Row],[DIAS]]*ServExt[[#This Row],[PESSOAS]]*ServExt[[#This Row],[HORAS DIA]]</f>
        <v>0</v>
      </c>
      <c r="AH55" s="141">
        <f>(IF(Z55="","",LOOKUP(Z55,BASE!A$4:A$125,BASE!H$4:H$125)))*ServExt[[#This Row],[HE CALC]]</f>
        <v>0</v>
      </c>
      <c r="AI55" s="102">
        <f>ServExt[[#This Row],[TOTAL HORAS]]*ServExt[[#This Row],[R$ / HORA]]</f>
        <v>0</v>
      </c>
      <c r="AJ55" s="139">
        <f>BASE!$W$60</f>
        <v>0.66983973762634585</v>
      </c>
      <c r="AK55" s="141">
        <f t="shared" si="4"/>
        <v>0</v>
      </c>
      <c r="AL55" s="143">
        <f t="shared" si="5"/>
        <v>0</v>
      </c>
      <c r="AM55" s="144">
        <f>IF(OR(ServExt[[#This Row],[TIPO H]]="NORMAL",ServExt[[#This Row],[HORAS DIA]]&gt;=8),ServExt[[#This Row],[PESSOAS]]*ServExt[[#This Row],[DIAS]]*2,0)</f>
        <v>0</v>
      </c>
      <c r="AN55" s="144">
        <f>(IF(Z55="","",LOOKUP(Z55,BASE!A$4:A$19,BASE!E$4:E$19)))*ServExt[[#This Row],[TOTAL HORAS]]</f>
        <v>0</v>
      </c>
      <c r="AO55" s="11">
        <f>IF(ServExt[[#This Row],[TIPO H]]="NORMAL",ServExt[[#This Row],[PESSOAS]],0)</f>
        <v>0</v>
      </c>
      <c r="AP55" s="174">
        <f>IFERROR(ServExt[[#This Row],[TOTAL3]]*(RESUMO!$F$22/RESUMO!$F$14),0)</f>
        <v>0</v>
      </c>
      <c r="AR55" s="244">
        <v>33</v>
      </c>
      <c r="AS55" s="2" t="s">
        <v>187</v>
      </c>
    </row>
    <row r="56" spans="1:45" s="2" customFormat="1" ht="14.5" x14ac:dyDescent="0.25">
      <c r="A56" s="14"/>
      <c r="B56" s="115">
        <v>32</v>
      </c>
      <c r="C56" s="115" t="s">
        <v>153</v>
      </c>
      <c r="D56" s="114" t="s">
        <v>154</v>
      </c>
      <c r="E56" s="132">
        <v>0</v>
      </c>
      <c r="F56" s="264">
        <f>LOOKUP('SERVICOS AUTPRO'!$E$25:$E$64,BASE!A$4:A$125,BASE!B$4:B$125)</f>
        <v>0</v>
      </c>
      <c r="G56" s="117"/>
      <c r="H56" s="134"/>
      <c r="I56" s="135">
        <v>8.8000000000000007</v>
      </c>
      <c r="J56" s="134" t="s">
        <v>155</v>
      </c>
      <c r="K56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6" s="137">
        <f>ServInt[[#This Row],[DIAS]]*ServInt[[#This Row],[PESSOAS]]*ServInt[[#This Row],[HORAS DIA]]</f>
        <v>0</v>
      </c>
      <c r="M56" s="138">
        <f>(IF(ServInt[[#This Row],[CÓDIGO]]="","",LOOKUP(E56,BASE!A$4:A$125,BASE!G$4:G$125)))*ServInt[[#This Row],[HE CALC]]</f>
        <v>0</v>
      </c>
      <c r="N56" s="102">
        <f>ServInt[[#This Row],[TOTAL HORAS]]*ServInt[[#This Row],[R$ / HORA]]</f>
        <v>0</v>
      </c>
      <c r="O56" s="139">
        <f>BASE!$W$60</f>
        <v>0.66983973762634585</v>
      </c>
      <c r="P56" s="138">
        <f t="shared" si="6"/>
        <v>0</v>
      </c>
      <c r="Q56" s="123">
        <f t="shared" si="7"/>
        <v>0</v>
      </c>
      <c r="R56" s="123"/>
      <c r="S56" s="123">
        <f>(IF(E56="","",LOOKUP(E56,BASE!A$4:A$19,BASE!E$4:E$19)))*ServInt[[#This Row],[TOTAL HORAS]]</f>
        <v>0</v>
      </c>
      <c r="T56" s="143">
        <f>IFERROR(ServInt[[#This Row],[TOTAL3]]*(RESUMO!$F$22/RESUMO!$F$14),0)</f>
        <v>0</v>
      </c>
      <c r="U56" s="11"/>
      <c r="V56" s="11"/>
      <c r="W56" s="115">
        <v>32</v>
      </c>
      <c r="X56" s="115" t="s">
        <v>156</v>
      </c>
      <c r="Y56" s="114" t="s">
        <v>154</v>
      </c>
      <c r="Z56" s="132">
        <v>0</v>
      </c>
      <c r="AA56" s="14">
        <f>LOOKUP(Z56,BASE!A$4:A$125,BASE!B$4:B$125)</f>
        <v>0</v>
      </c>
      <c r="AB56" s="117"/>
      <c r="AC56" s="134"/>
      <c r="AD56" s="135">
        <v>8.8000000000000007</v>
      </c>
      <c r="AE56" s="134" t="s">
        <v>155</v>
      </c>
      <c r="AF56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6" s="13">
        <f>ServExt[[#This Row],[DIAS]]*ServExt[[#This Row],[PESSOAS]]*ServExt[[#This Row],[HORAS DIA]]</f>
        <v>0</v>
      </c>
      <c r="AH56" s="141">
        <f>(IF(Z56="","",LOOKUP(Z56,BASE!A$4:A$125,BASE!H$4:H$125)))*ServExt[[#This Row],[HE CALC]]</f>
        <v>0</v>
      </c>
      <c r="AI56" s="102">
        <f>ServExt[[#This Row],[TOTAL HORAS]]*ServExt[[#This Row],[R$ / HORA]]</f>
        <v>0</v>
      </c>
      <c r="AJ56" s="139">
        <f>BASE!$W$60</f>
        <v>0.66983973762634585</v>
      </c>
      <c r="AK56" s="141">
        <f t="shared" si="4"/>
        <v>0</v>
      </c>
      <c r="AL56" s="143">
        <f t="shared" si="5"/>
        <v>0</v>
      </c>
      <c r="AM56" s="144">
        <f>IF(OR(ServExt[[#This Row],[TIPO H]]="NORMAL",ServExt[[#This Row],[HORAS DIA]]&gt;=8),ServExt[[#This Row],[PESSOAS]]*ServExt[[#This Row],[DIAS]]*2,0)</f>
        <v>0</v>
      </c>
      <c r="AN56" s="144">
        <f>(IF(Z56="","",LOOKUP(Z56,BASE!A$4:A$19,BASE!E$4:E$19)))*ServExt[[#This Row],[TOTAL HORAS]]</f>
        <v>0</v>
      </c>
      <c r="AO56" s="11">
        <f>IF(ServExt[[#This Row],[TIPO H]]="NORMAL",ServExt[[#This Row],[PESSOAS]],0)</f>
        <v>0</v>
      </c>
      <c r="AP56" s="174">
        <f>IFERROR(ServExt[[#This Row],[TOTAL3]]*(RESUMO!$F$22/RESUMO!$F$14),0)</f>
        <v>0</v>
      </c>
      <c r="AR56" s="244">
        <v>34</v>
      </c>
      <c r="AS56" s="2" t="s">
        <v>188</v>
      </c>
    </row>
    <row r="57" spans="1:45" s="2" customFormat="1" ht="14.5" x14ac:dyDescent="0.25">
      <c r="A57" s="14"/>
      <c r="B57" s="115">
        <v>33</v>
      </c>
      <c r="C57" s="115" t="s">
        <v>153</v>
      </c>
      <c r="D57" s="114" t="s">
        <v>154</v>
      </c>
      <c r="E57" s="132">
        <v>0</v>
      </c>
      <c r="F57" s="264">
        <f>LOOKUP('SERVICOS AUTPRO'!$E$25:$E$64,BASE!A$4:A$125,BASE!B$4:B$125)</f>
        <v>0</v>
      </c>
      <c r="G57" s="117"/>
      <c r="H57" s="134"/>
      <c r="I57" s="135">
        <v>8.8000000000000007</v>
      </c>
      <c r="J57" s="134" t="s">
        <v>155</v>
      </c>
      <c r="K57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7" s="137">
        <f>ServInt[[#This Row],[DIAS]]*ServInt[[#This Row],[PESSOAS]]*ServInt[[#This Row],[HORAS DIA]]</f>
        <v>0</v>
      </c>
      <c r="M57" s="138">
        <f>(IF(ServInt[[#This Row],[CÓDIGO]]="","",LOOKUP(E57,BASE!A$4:A$125,BASE!G$4:G$125)))*ServInt[[#This Row],[HE CALC]]</f>
        <v>0</v>
      </c>
      <c r="N57" s="102">
        <f>ServInt[[#This Row],[TOTAL HORAS]]*ServInt[[#This Row],[R$ / HORA]]</f>
        <v>0</v>
      </c>
      <c r="O57" s="139">
        <f>BASE!$W$60</f>
        <v>0.66983973762634585</v>
      </c>
      <c r="P57" s="138">
        <f t="shared" si="6"/>
        <v>0</v>
      </c>
      <c r="Q57" s="123">
        <f t="shared" si="7"/>
        <v>0</v>
      </c>
      <c r="R57" s="123"/>
      <c r="S57" s="123">
        <f>(IF(E57="","",LOOKUP(E57,BASE!A$4:A$19,BASE!E$4:E$19)))*ServInt[[#This Row],[TOTAL HORAS]]</f>
        <v>0</v>
      </c>
      <c r="T57" s="143">
        <f>IFERROR(ServInt[[#This Row],[TOTAL3]]*(RESUMO!$F$22/RESUMO!$F$14),0)</f>
        <v>0</v>
      </c>
      <c r="U57" s="11"/>
      <c r="V57" s="11"/>
      <c r="W57" s="115">
        <v>33</v>
      </c>
      <c r="X57" s="115" t="s">
        <v>156</v>
      </c>
      <c r="Y57" s="114" t="s">
        <v>154</v>
      </c>
      <c r="Z57" s="132">
        <v>0</v>
      </c>
      <c r="AA57" s="14">
        <f>LOOKUP(Z57,BASE!A$4:A$125,BASE!B$4:B$125)</f>
        <v>0</v>
      </c>
      <c r="AB57" s="117"/>
      <c r="AC57" s="134"/>
      <c r="AD57" s="135">
        <v>8.8000000000000007</v>
      </c>
      <c r="AE57" s="134" t="s">
        <v>155</v>
      </c>
      <c r="AF57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7" s="13">
        <f>ServExt[[#This Row],[DIAS]]*ServExt[[#This Row],[PESSOAS]]*ServExt[[#This Row],[HORAS DIA]]</f>
        <v>0</v>
      </c>
      <c r="AH57" s="141">
        <f>(IF(Z57="","",LOOKUP(Z57,BASE!A$4:A$125,BASE!H$4:H$125)))*ServExt[[#This Row],[HE CALC]]</f>
        <v>0</v>
      </c>
      <c r="AI57" s="102">
        <f>ServExt[[#This Row],[TOTAL HORAS]]*ServExt[[#This Row],[R$ / HORA]]</f>
        <v>0</v>
      </c>
      <c r="AJ57" s="139">
        <f>BASE!$W$60</f>
        <v>0.66983973762634585</v>
      </c>
      <c r="AK57" s="141">
        <f t="shared" si="4"/>
        <v>0</v>
      </c>
      <c r="AL57" s="143">
        <f t="shared" si="5"/>
        <v>0</v>
      </c>
      <c r="AM57" s="144">
        <f>IF(OR(ServExt[[#This Row],[TIPO H]]="NORMAL",ServExt[[#This Row],[HORAS DIA]]&gt;=8),ServExt[[#This Row],[PESSOAS]]*ServExt[[#This Row],[DIAS]]*2,0)</f>
        <v>0</v>
      </c>
      <c r="AN57" s="144">
        <f>(IF(Z57="","",LOOKUP(Z57,BASE!A$4:A$19,BASE!E$4:E$19)))*ServExt[[#This Row],[TOTAL HORAS]]</f>
        <v>0</v>
      </c>
      <c r="AO57" s="11">
        <f>IF(ServExt[[#This Row],[TIPO H]]="NORMAL",ServExt[[#This Row],[PESSOAS]],0)</f>
        <v>0</v>
      </c>
      <c r="AP57" s="174">
        <f>IFERROR(ServExt[[#This Row],[TOTAL3]]*(RESUMO!$F$22/RESUMO!$F$14),0)</f>
        <v>0</v>
      </c>
      <c r="AR57" s="244">
        <v>35</v>
      </c>
      <c r="AS57" s="2" t="s">
        <v>189</v>
      </c>
    </row>
    <row r="58" spans="1:45" s="2" customFormat="1" ht="14.5" x14ac:dyDescent="0.25">
      <c r="A58" s="14"/>
      <c r="B58" s="115">
        <v>34</v>
      </c>
      <c r="C58" s="115" t="s">
        <v>153</v>
      </c>
      <c r="D58" s="114" t="s">
        <v>154</v>
      </c>
      <c r="E58" s="132">
        <v>0</v>
      </c>
      <c r="F58" s="264">
        <f>LOOKUP('SERVICOS AUTPRO'!$E$25:$E$64,BASE!A$4:A$125,BASE!B$4:B$125)</f>
        <v>0</v>
      </c>
      <c r="G58" s="117"/>
      <c r="H58" s="134"/>
      <c r="I58" s="135">
        <v>8.8000000000000007</v>
      </c>
      <c r="J58" s="134" t="s">
        <v>155</v>
      </c>
      <c r="K58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8" s="137">
        <f>ServInt[[#This Row],[DIAS]]*ServInt[[#This Row],[PESSOAS]]*ServInt[[#This Row],[HORAS DIA]]</f>
        <v>0</v>
      </c>
      <c r="M58" s="138">
        <f>(IF(ServInt[[#This Row],[CÓDIGO]]="","",LOOKUP(E58,BASE!A$4:A$125,BASE!G$4:G$125)))*ServInt[[#This Row],[HE CALC]]</f>
        <v>0</v>
      </c>
      <c r="N58" s="102">
        <f>ServInt[[#This Row],[TOTAL HORAS]]*ServInt[[#This Row],[R$ / HORA]]</f>
        <v>0</v>
      </c>
      <c r="O58" s="139">
        <f>BASE!$W$60</f>
        <v>0.66983973762634585</v>
      </c>
      <c r="P58" s="138">
        <f t="shared" si="6"/>
        <v>0</v>
      </c>
      <c r="Q58" s="123">
        <f t="shared" si="7"/>
        <v>0</v>
      </c>
      <c r="R58" s="123"/>
      <c r="S58" s="123">
        <f>(IF(E58="","",LOOKUP(E58,BASE!A$4:A$19,BASE!E$4:E$19)))*ServInt[[#This Row],[TOTAL HORAS]]</f>
        <v>0</v>
      </c>
      <c r="T58" s="143">
        <f>IFERROR(ServInt[[#This Row],[TOTAL3]]*(RESUMO!$F$22/RESUMO!$F$14),0)</f>
        <v>0</v>
      </c>
      <c r="U58" s="11"/>
      <c r="V58" s="11"/>
      <c r="W58" s="115">
        <v>34</v>
      </c>
      <c r="X58" s="115" t="s">
        <v>156</v>
      </c>
      <c r="Y58" s="114" t="s">
        <v>154</v>
      </c>
      <c r="Z58" s="132">
        <v>0</v>
      </c>
      <c r="AA58" s="14">
        <f>LOOKUP(Z58,BASE!A$4:A$125,BASE!B$4:B$125)</f>
        <v>0</v>
      </c>
      <c r="AB58" s="117"/>
      <c r="AC58" s="134"/>
      <c r="AD58" s="135">
        <v>8.8000000000000007</v>
      </c>
      <c r="AE58" s="134" t="s">
        <v>155</v>
      </c>
      <c r="AF58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8" s="13">
        <f>ServExt[[#This Row],[DIAS]]*ServExt[[#This Row],[PESSOAS]]*ServExt[[#This Row],[HORAS DIA]]</f>
        <v>0</v>
      </c>
      <c r="AH58" s="141">
        <f>(IF(Z58="","",LOOKUP(Z58,BASE!A$4:A$125,BASE!H$4:H$125)))*ServExt[[#This Row],[HE CALC]]</f>
        <v>0</v>
      </c>
      <c r="AI58" s="102">
        <f>ServExt[[#This Row],[TOTAL HORAS]]*ServExt[[#This Row],[R$ / HORA]]</f>
        <v>0</v>
      </c>
      <c r="AJ58" s="139">
        <f>BASE!$W$60</f>
        <v>0.66983973762634585</v>
      </c>
      <c r="AK58" s="141">
        <f t="shared" si="4"/>
        <v>0</v>
      </c>
      <c r="AL58" s="143">
        <f t="shared" si="5"/>
        <v>0</v>
      </c>
      <c r="AM58" s="144">
        <f>IF(OR(ServExt[[#This Row],[TIPO H]]="NORMAL",ServExt[[#This Row],[HORAS DIA]]&gt;=8),ServExt[[#This Row],[PESSOAS]]*ServExt[[#This Row],[DIAS]]*2,0)</f>
        <v>0</v>
      </c>
      <c r="AN58" s="144">
        <f>(IF(Z58="","",LOOKUP(Z58,BASE!A$4:A$19,BASE!E$4:E$19)))*ServExt[[#This Row],[TOTAL HORAS]]</f>
        <v>0</v>
      </c>
      <c r="AO58" s="11">
        <f>IF(ServExt[[#This Row],[TIPO H]]="NORMAL",ServExt[[#This Row],[PESSOAS]],0)</f>
        <v>0</v>
      </c>
      <c r="AP58" s="174">
        <f>IFERROR(ServExt[[#This Row],[TOTAL3]]*(RESUMO!$F$22/RESUMO!$F$14),0)</f>
        <v>0</v>
      </c>
      <c r="AR58" s="244">
        <v>36</v>
      </c>
      <c r="AS58" s="2" t="s">
        <v>190</v>
      </c>
    </row>
    <row r="59" spans="1:45" s="2" customFormat="1" ht="14.5" x14ac:dyDescent="0.25">
      <c r="A59" s="14"/>
      <c r="B59" s="115">
        <v>35</v>
      </c>
      <c r="C59" s="115" t="s">
        <v>153</v>
      </c>
      <c r="D59" s="114" t="s">
        <v>154</v>
      </c>
      <c r="E59" s="132">
        <v>0</v>
      </c>
      <c r="F59" s="264">
        <f>LOOKUP('SERVICOS AUTPRO'!$E$25:$E$64,BASE!A$4:A$125,BASE!B$4:B$125)</f>
        <v>0</v>
      </c>
      <c r="G59" s="117"/>
      <c r="H59" s="134"/>
      <c r="I59" s="135">
        <v>8.8000000000000007</v>
      </c>
      <c r="J59" s="134" t="s">
        <v>155</v>
      </c>
      <c r="K59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59" s="137">
        <f>ServInt[[#This Row],[DIAS]]*ServInt[[#This Row],[PESSOAS]]*ServInt[[#This Row],[HORAS DIA]]</f>
        <v>0</v>
      </c>
      <c r="M59" s="138">
        <f>(IF(ServInt[[#This Row],[CÓDIGO]]="","",LOOKUP(E59,BASE!A$4:A$125,BASE!G$4:G$125)))*ServInt[[#This Row],[HE CALC]]</f>
        <v>0</v>
      </c>
      <c r="N59" s="102">
        <f>ServInt[[#This Row],[TOTAL HORAS]]*ServInt[[#This Row],[R$ / HORA]]</f>
        <v>0</v>
      </c>
      <c r="O59" s="139">
        <f>BASE!$W$60</f>
        <v>0.66983973762634585</v>
      </c>
      <c r="P59" s="138">
        <f t="shared" si="6"/>
        <v>0</v>
      </c>
      <c r="Q59" s="123">
        <f t="shared" si="7"/>
        <v>0</v>
      </c>
      <c r="R59" s="123"/>
      <c r="S59" s="123">
        <f>(IF(E59="","",LOOKUP(E59,BASE!A$4:A$19,BASE!E$4:E$19)))*ServInt[[#This Row],[TOTAL HORAS]]</f>
        <v>0</v>
      </c>
      <c r="T59" s="143">
        <f>IFERROR(ServInt[[#This Row],[TOTAL3]]*(RESUMO!$F$22/RESUMO!$F$14),0)</f>
        <v>0</v>
      </c>
      <c r="U59" s="11"/>
      <c r="V59" s="11"/>
      <c r="W59" s="115">
        <v>35</v>
      </c>
      <c r="X59" s="115" t="s">
        <v>156</v>
      </c>
      <c r="Y59" s="114" t="s">
        <v>154</v>
      </c>
      <c r="Z59" s="132">
        <v>0</v>
      </c>
      <c r="AA59" s="14">
        <f>LOOKUP(Z59,BASE!A$4:A$125,BASE!B$4:B$125)</f>
        <v>0</v>
      </c>
      <c r="AB59" s="117"/>
      <c r="AC59" s="134"/>
      <c r="AD59" s="135">
        <v>8.8000000000000007</v>
      </c>
      <c r="AE59" s="134" t="s">
        <v>155</v>
      </c>
      <c r="AF59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59" s="13">
        <f>ServExt[[#This Row],[DIAS]]*ServExt[[#This Row],[PESSOAS]]*ServExt[[#This Row],[HORAS DIA]]</f>
        <v>0</v>
      </c>
      <c r="AH59" s="141">
        <f>(IF(Z59="","",LOOKUP(Z59,BASE!A$4:A$125,BASE!H$4:H$125)))*ServExt[[#This Row],[HE CALC]]</f>
        <v>0</v>
      </c>
      <c r="AI59" s="102">
        <f>ServExt[[#This Row],[TOTAL HORAS]]*ServExt[[#This Row],[R$ / HORA]]</f>
        <v>0</v>
      </c>
      <c r="AJ59" s="139">
        <f>BASE!$W$60</f>
        <v>0.66983973762634585</v>
      </c>
      <c r="AK59" s="141">
        <f t="shared" si="4"/>
        <v>0</v>
      </c>
      <c r="AL59" s="143">
        <f t="shared" si="5"/>
        <v>0</v>
      </c>
      <c r="AM59" s="144">
        <f>IF(OR(ServExt[[#This Row],[TIPO H]]="NORMAL",ServExt[[#This Row],[HORAS DIA]]&gt;=8),ServExt[[#This Row],[PESSOAS]]*ServExt[[#This Row],[DIAS]]*2,0)</f>
        <v>0</v>
      </c>
      <c r="AN59" s="144">
        <f>(IF(Z59="","",LOOKUP(Z59,BASE!A$4:A$19,BASE!E$4:E$19)))*ServExt[[#This Row],[TOTAL HORAS]]</f>
        <v>0</v>
      </c>
      <c r="AO59" s="11">
        <f>IF(ServExt[[#This Row],[TIPO H]]="NORMAL",ServExt[[#This Row],[PESSOAS]],0)</f>
        <v>0</v>
      </c>
      <c r="AP59" s="174">
        <f>IFERROR(ServExt[[#This Row],[TOTAL3]]*(RESUMO!$F$22/RESUMO!$F$14),0)</f>
        <v>0</v>
      </c>
      <c r="AR59" s="244">
        <v>37</v>
      </c>
      <c r="AS59" s="2" t="s">
        <v>191</v>
      </c>
    </row>
    <row r="60" spans="1:45" s="2" customFormat="1" ht="14.5" x14ac:dyDescent="0.25">
      <c r="A60" s="14"/>
      <c r="B60" s="115">
        <v>36</v>
      </c>
      <c r="C60" s="115" t="s">
        <v>153</v>
      </c>
      <c r="D60" s="114" t="s">
        <v>154</v>
      </c>
      <c r="E60" s="132">
        <v>0</v>
      </c>
      <c r="F60" s="264">
        <f>LOOKUP('SERVICOS AUTPRO'!$E$25:$E$64,BASE!A$4:A$125,BASE!B$4:B$125)</f>
        <v>0</v>
      </c>
      <c r="G60" s="117"/>
      <c r="H60" s="134"/>
      <c r="I60" s="135">
        <v>8.8000000000000007</v>
      </c>
      <c r="J60" s="134" t="s">
        <v>155</v>
      </c>
      <c r="K60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60" s="137">
        <f>ServInt[[#This Row],[DIAS]]*ServInt[[#This Row],[PESSOAS]]*ServInt[[#This Row],[HORAS DIA]]</f>
        <v>0</v>
      </c>
      <c r="M60" s="138">
        <f>(IF(ServInt[[#This Row],[CÓDIGO]]="","",LOOKUP(E60,BASE!A$4:A$125,BASE!G$4:G$125)))*ServInt[[#This Row],[HE CALC]]</f>
        <v>0</v>
      </c>
      <c r="N60" s="102">
        <f>ServInt[[#This Row],[TOTAL HORAS]]*ServInt[[#This Row],[R$ / HORA]]</f>
        <v>0</v>
      </c>
      <c r="O60" s="139">
        <f>BASE!$W$60</f>
        <v>0.66983973762634585</v>
      </c>
      <c r="P60" s="138">
        <f t="shared" si="6"/>
        <v>0</v>
      </c>
      <c r="Q60" s="123">
        <f t="shared" si="7"/>
        <v>0</v>
      </c>
      <c r="R60" s="123"/>
      <c r="S60" s="123">
        <f>(IF(E60="","",LOOKUP(E60,BASE!A$4:A$19,BASE!E$4:E$19)))*ServInt[[#This Row],[TOTAL HORAS]]</f>
        <v>0</v>
      </c>
      <c r="T60" s="143">
        <f>IFERROR(ServInt[[#This Row],[TOTAL3]]*(RESUMO!$F$22/RESUMO!$F$14),0)</f>
        <v>0</v>
      </c>
      <c r="U60" s="11"/>
      <c r="V60" s="11"/>
      <c r="W60" s="115">
        <v>36</v>
      </c>
      <c r="X60" s="115" t="s">
        <v>156</v>
      </c>
      <c r="Y60" s="114" t="s">
        <v>154</v>
      </c>
      <c r="Z60" s="132">
        <v>0</v>
      </c>
      <c r="AA60" s="14">
        <f>LOOKUP(Z60,BASE!A$4:A$125,BASE!B$4:B$125)</f>
        <v>0</v>
      </c>
      <c r="AB60" s="117"/>
      <c r="AC60" s="134"/>
      <c r="AD60" s="135">
        <v>8.8000000000000007</v>
      </c>
      <c r="AE60" s="134" t="s">
        <v>155</v>
      </c>
      <c r="AF60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60" s="13">
        <f>ServExt[[#This Row],[DIAS]]*ServExt[[#This Row],[PESSOAS]]*ServExt[[#This Row],[HORAS DIA]]</f>
        <v>0</v>
      </c>
      <c r="AH60" s="141">
        <f>(IF(Z60="","",LOOKUP(Z60,BASE!A$4:A$125,BASE!H$4:H$125)))*ServExt[[#This Row],[HE CALC]]</f>
        <v>0</v>
      </c>
      <c r="AI60" s="102">
        <f>ServExt[[#This Row],[TOTAL HORAS]]*ServExt[[#This Row],[R$ / HORA]]</f>
        <v>0</v>
      </c>
      <c r="AJ60" s="139">
        <f>BASE!$W$60</f>
        <v>0.66983973762634585</v>
      </c>
      <c r="AK60" s="141">
        <f t="shared" si="4"/>
        <v>0</v>
      </c>
      <c r="AL60" s="143">
        <f t="shared" si="5"/>
        <v>0</v>
      </c>
      <c r="AM60" s="144">
        <f>IF(OR(ServExt[[#This Row],[TIPO H]]="NORMAL",ServExt[[#This Row],[HORAS DIA]]&gt;=8),ServExt[[#This Row],[PESSOAS]]*ServExt[[#This Row],[DIAS]]*2,0)</f>
        <v>0</v>
      </c>
      <c r="AN60" s="144">
        <f>(IF(Z60="","",LOOKUP(Z60,BASE!A$4:A$19,BASE!E$4:E$19)))*ServExt[[#This Row],[TOTAL HORAS]]</f>
        <v>0</v>
      </c>
      <c r="AO60" s="11">
        <f>IF(ServExt[[#This Row],[TIPO H]]="NORMAL",ServExt[[#This Row],[PESSOAS]],0)</f>
        <v>0</v>
      </c>
      <c r="AP60" s="174">
        <f>IFERROR(ServExt[[#This Row],[TOTAL3]]*(RESUMO!$F$22/RESUMO!$F$14),0)</f>
        <v>0</v>
      </c>
      <c r="AR60" s="244">
        <v>38</v>
      </c>
      <c r="AS60" s="2" t="s">
        <v>192</v>
      </c>
    </row>
    <row r="61" spans="1:45" s="2" customFormat="1" ht="14.5" x14ac:dyDescent="0.25">
      <c r="A61" s="14"/>
      <c r="B61" s="115">
        <v>37</v>
      </c>
      <c r="C61" s="115" t="s">
        <v>153</v>
      </c>
      <c r="D61" s="114" t="s">
        <v>154</v>
      </c>
      <c r="E61" s="132">
        <v>0</v>
      </c>
      <c r="F61" s="264">
        <f>LOOKUP('SERVICOS AUTPRO'!$E$25:$E$64,BASE!A$4:A$125,BASE!B$4:B$125)</f>
        <v>0</v>
      </c>
      <c r="G61" s="117"/>
      <c r="H61" s="134"/>
      <c r="I61" s="135">
        <v>8.8000000000000007</v>
      </c>
      <c r="J61" s="134" t="s">
        <v>155</v>
      </c>
      <c r="K61" s="136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61" s="137">
        <f>ServInt[[#This Row],[DIAS]]*ServInt[[#This Row],[PESSOAS]]*ServInt[[#This Row],[HORAS DIA]]</f>
        <v>0</v>
      </c>
      <c r="M61" s="138">
        <f>(IF(ServInt[[#This Row],[CÓDIGO]]="","",LOOKUP(E61,BASE!A$4:A$125,BASE!G$4:G$125)))*ServInt[[#This Row],[HE CALC]]</f>
        <v>0</v>
      </c>
      <c r="N61" s="102">
        <f>ServInt[[#This Row],[TOTAL HORAS]]*ServInt[[#This Row],[R$ / HORA]]</f>
        <v>0</v>
      </c>
      <c r="O61" s="139">
        <f>BASE!$W$60</f>
        <v>0.66983973762634585</v>
      </c>
      <c r="P61" s="138">
        <f t="shared" si="6"/>
        <v>0</v>
      </c>
      <c r="Q61" s="123">
        <f t="shared" si="7"/>
        <v>0</v>
      </c>
      <c r="R61" s="123"/>
      <c r="S61" s="123">
        <f>(IF(E61="","",LOOKUP(E61,BASE!A$4:A$19,BASE!E$4:E$19)))*ServInt[[#This Row],[TOTAL HORAS]]</f>
        <v>0</v>
      </c>
      <c r="T61" s="143">
        <f>IFERROR(ServInt[[#This Row],[TOTAL3]]*(RESUMO!$F$22/RESUMO!$F$14),0)</f>
        <v>0</v>
      </c>
      <c r="U61" s="11"/>
      <c r="V61" s="11"/>
      <c r="W61" s="115">
        <v>37</v>
      </c>
      <c r="X61" s="115" t="s">
        <v>156</v>
      </c>
      <c r="Y61" s="114" t="s">
        <v>154</v>
      </c>
      <c r="Z61" s="132">
        <v>0</v>
      </c>
      <c r="AA61" s="14">
        <f>LOOKUP(Z61,BASE!A$4:A$125,BASE!B$4:B$125)</f>
        <v>0</v>
      </c>
      <c r="AB61" s="117"/>
      <c r="AC61" s="134"/>
      <c r="AD61" s="135">
        <v>8.8000000000000007</v>
      </c>
      <c r="AE61" s="134" t="s">
        <v>155</v>
      </c>
      <c r="AF61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61" s="13">
        <f>ServExt[[#This Row],[DIAS]]*ServExt[[#This Row],[PESSOAS]]*ServExt[[#This Row],[HORAS DIA]]</f>
        <v>0</v>
      </c>
      <c r="AH61" s="141">
        <f>(IF(Z61="","",LOOKUP(Z61,BASE!A$4:A$125,BASE!H$4:H$125)))*ServExt[[#This Row],[HE CALC]]</f>
        <v>0</v>
      </c>
      <c r="AI61" s="102">
        <f>ServExt[[#This Row],[TOTAL HORAS]]*ServExt[[#This Row],[R$ / HORA]]</f>
        <v>0</v>
      </c>
      <c r="AJ61" s="139">
        <f>BASE!$W$60</f>
        <v>0.66983973762634585</v>
      </c>
      <c r="AK61" s="141">
        <f t="shared" si="4"/>
        <v>0</v>
      </c>
      <c r="AL61" s="143">
        <f t="shared" si="5"/>
        <v>0</v>
      </c>
      <c r="AM61" s="144">
        <f>IF(OR(ServExt[[#This Row],[TIPO H]]="NORMAL",ServExt[[#This Row],[HORAS DIA]]&gt;=8),ServExt[[#This Row],[PESSOAS]]*ServExt[[#This Row],[DIAS]]*2,0)</f>
        <v>0</v>
      </c>
      <c r="AN61" s="144">
        <f>(IF(Z61="","",LOOKUP(Z61,BASE!A$4:A$19,BASE!E$4:E$19)))*ServExt[[#This Row],[TOTAL HORAS]]</f>
        <v>0</v>
      </c>
      <c r="AO61" s="11">
        <f>IF(ServExt[[#This Row],[TIPO H]]="NORMAL",ServExt[[#This Row],[PESSOAS]],0)</f>
        <v>0</v>
      </c>
      <c r="AP61" s="174">
        <f>IFERROR(ServExt[[#This Row],[TOTAL3]]*(RESUMO!$F$22/RESUMO!$F$14),0)</f>
        <v>0</v>
      </c>
      <c r="AR61" s="244">
        <v>39</v>
      </c>
      <c r="AS61" s="2" t="s">
        <v>193</v>
      </c>
    </row>
    <row r="62" spans="1:45" ht="14.5" x14ac:dyDescent="0.25">
      <c r="A62" s="97"/>
      <c r="B62" s="115">
        <v>38</v>
      </c>
      <c r="C62" s="115" t="s">
        <v>153</v>
      </c>
      <c r="D62" s="114" t="s">
        <v>154</v>
      </c>
      <c r="E62" s="132">
        <v>0</v>
      </c>
      <c r="F62" s="264">
        <f>LOOKUP('SERVICOS AUTPRO'!$E$25:$E$64,BASE!A$4:A$125,BASE!B$4:B$125)</f>
        <v>0</v>
      </c>
      <c r="G62" s="117"/>
      <c r="H62" s="134"/>
      <c r="I62" s="135">
        <v>8.8000000000000007</v>
      </c>
      <c r="J62" s="134" t="s">
        <v>155</v>
      </c>
      <c r="K62" s="118">
        <f>_xlfn.IFS('SERVICOS AUTPRO'!$J$25:$J$62="EXTRA 150%",((1)*2.5),'SERVICOS AUTPRO'!$J$25:$J$62="EXTRA 100%",((1)*2),'SERVICOS AUTPRO'!$J$25:$J$62="EXTRA 75%",((1)*1.75),'SERVICOS AUTPRO'!$J$25:$J$62="EXTRA 50%",((1)*1.5),'SERVICOS AUTPRO'!$J$25:$J$62="NORMAL",((1)))</f>
        <v>1</v>
      </c>
      <c r="L62" s="137">
        <f>ServInt[[#This Row],[DIAS]]*ServInt[[#This Row],[PESSOAS]]*ServInt[[#This Row],[HORAS DIA]]</f>
        <v>0</v>
      </c>
      <c r="M62" s="138">
        <f>(IF(ServInt[[#This Row],[CÓDIGO]]="","",LOOKUP(E62,BASE!A$4:A$125,BASE!G$4:G$125)))*ServInt[[#This Row],[HE CALC]]</f>
        <v>0</v>
      </c>
      <c r="N62" s="102">
        <f>ServInt[[#This Row],[TOTAL HORAS]]*ServInt[[#This Row],[R$ / HORA]]</f>
        <v>0</v>
      </c>
      <c r="O62" s="139">
        <f>BASE!$W$60</f>
        <v>0.66983973762634585</v>
      </c>
      <c r="P62" s="138">
        <f t="shared" si="6"/>
        <v>0</v>
      </c>
      <c r="Q62" s="123">
        <f t="shared" si="7"/>
        <v>0</v>
      </c>
      <c r="R62" s="123"/>
      <c r="S62" s="123">
        <f>(IF(E62="","",LOOKUP(E62,BASE!A$4:A$19,BASE!E$4:E$19)))*ServInt[[#This Row],[TOTAL HORAS]]</f>
        <v>0</v>
      </c>
      <c r="T62" s="143">
        <f>IFERROR(ServInt[[#This Row],[TOTAL3]]*(RESUMO!$F$22/RESUMO!$F$14),0)</f>
        <v>0</v>
      </c>
      <c r="W62" s="115">
        <v>38</v>
      </c>
      <c r="X62" s="115" t="s">
        <v>156</v>
      </c>
      <c r="Y62" s="114" t="s">
        <v>154</v>
      </c>
      <c r="Z62" s="132">
        <v>0</v>
      </c>
      <c r="AA62" s="14">
        <f>LOOKUP(Z62,BASE!A$4:A$125,BASE!B$4:B$125)</f>
        <v>0</v>
      </c>
      <c r="AB62" s="117"/>
      <c r="AC62" s="134"/>
      <c r="AD62" s="135">
        <v>8.8000000000000007</v>
      </c>
      <c r="AE62" s="134" t="s">
        <v>155</v>
      </c>
      <c r="AF62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62" s="13">
        <f>ServExt[[#This Row],[DIAS]]*ServExt[[#This Row],[PESSOAS]]*ServExt[[#This Row],[HORAS DIA]]</f>
        <v>0</v>
      </c>
      <c r="AH62" s="141">
        <f>(IF(Z62="","",LOOKUP(Z62,BASE!A$4:A$125,BASE!H$4:H$125)))*ServExt[[#This Row],[HE CALC]]</f>
        <v>0</v>
      </c>
      <c r="AI62" s="102">
        <f>ServExt[[#This Row],[TOTAL HORAS]]*ServExt[[#This Row],[R$ / HORA]]</f>
        <v>0</v>
      </c>
      <c r="AJ62" s="139">
        <f>BASE!$W$60</f>
        <v>0.66983973762634585</v>
      </c>
      <c r="AK62" s="141">
        <f t="shared" si="4"/>
        <v>0</v>
      </c>
      <c r="AL62" s="143">
        <f t="shared" si="5"/>
        <v>0</v>
      </c>
      <c r="AM62" s="144">
        <f>IF(OR(ServExt[[#This Row],[TIPO H]]="NORMAL",ServExt[[#This Row],[HORAS DIA]]&gt;=8),ServExt[[#This Row],[PESSOAS]]*ServExt[[#This Row],[DIAS]]*2,0)</f>
        <v>0</v>
      </c>
      <c r="AN62" s="144">
        <f>(IF(Z62="","",LOOKUP(Z62,BASE!A$4:A$19,BASE!E$4:E$19)))*ServExt[[#This Row],[TOTAL HORAS]]</f>
        <v>0</v>
      </c>
      <c r="AO62" s="11">
        <f>IF(ServExt[[#This Row],[TIPO H]]="NORMAL",ServExt[[#This Row],[PESSOAS]],0)</f>
        <v>0</v>
      </c>
      <c r="AP62" s="174">
        <f>IFERROR(ServExt[[#This Row],[TOTAL3]]*(RESUMO!$F$22/RESUMO!$F$14),0)</f>
        <v>0</v>
      </c>
      <c r="AR62" s="244">
        <v>40</v>
      </c>
      <c r="AS62" s="1" t="s">
        <v>194</v>
      </c>
    </row>
    <row r="63" spans="1:45" ht="14.5" x14ac:dyDescent="0.25">
      <c r="A63" s="97"/>
      <c r="B63" s="115">
        <v>38</v>
      </c>
      <c r="C63" s="115" t="s">
        <v>153</v>
      </c>
      <c r="D63" s="114" t="s">
        <v>154</v>
      </c>
      <c r="E63" s="132">
        <v>0</v>
      </c>
      <c r="F63" s="264">
        <f>LOOKUP('SERVICOS AUTPRO'!$E$25:$E$64,BASE!A$4:A$125,BASE!B$4:B$125)</f>
        <v>0</v>
      </c>
      <c r="G63" s="117"/>
      <c r="H63" s="134"/>
      <c r="I63" s="135">
        <v>8.8000000000000007</v>
      </c>
      <c r="J63" s="134" t="s">
        <v>155</v>
      </c>
      <c r="K63" s="136">
        <f>_xlfn.IFS('SERVICOS AUTPRO'!$J$25:$J$64="EXTRA 150%",((1)*2.5),'SERVICOS AUTPRO'!$J$25:$J$64="EXTRA 100%",((1)*2),'SERVICOS AUTPRO'!$J$25:$J$64="EXTRA 75%",((1)*1.75),'SERVICOS AUTPRO'!$J$25:$J$64="EXTRA 50%",((1)*1.5),'SERVICOS AUTPRO'!$J$25:$J$64="NORMAL",((1)))</f>
        <v>1</v>
      </c>
      <c r="L63" s="137">
        <f>ServInt[[#This Row],[DIAS]]*ServInt[[#This Row],[PESSOAS]]*ServInt[[#This Row],[HORAS DIA]]</f>
        <v>0</v>
      </c>
      <c r="M63" s="138">
        <f>(IF(ServInt[[#This Row],[CÓDIGO]]="","",LOOKUP(E63,BASE!A$4:A$125,BASE!G$4:G$125)))*ServInt[[#This Row],[HE CALC]]</f>
        <v>0</v>
      </c>
      <c r="N63" s="102">
        <f>ServInt[[#This Row],[TOTAL HORAS]]*ServInt[[#This Row],[R$ / HORA]]</f>
        <v>0</v>
      </c>
      <c r="O63" s="139">
        <f>BASE!$W$60</f>
        <v>0.66983973762634585</v>
      </c>
      <c r="P63" s="138">
        <f t="shared" si="6"/>
        <v>0</v>
      </c>
      <c r="Q63" s="123">
        <f t="shared" si="7"/>
        <v>0</v>
      </c>
      <c r="R63" s="123"/>
      <c r="S63" s="123">
        <f>(IF(E63="","",LOOKUP(E63,BASE!A$4:A$19,BASE!E$4:E$19)))*ServInt[[#This Row],[TOTAL HORAS]]</f>
        <v>0</v>
      </c>
      <c r="T63" s="143">
        <f>IFERROR(ServInt[[#This Row],[TOTAL3]]*(RESUMO!$F$22/RESUMO!$F$14),0)</f>
        <v>0</v>
      </c>
      <c r="W63" s="115">
        <v>38</v>
      </c>
      <c r="X63" s="115" t="s">
        <v>156</v>
      </c>
      <c r="Y63" s="114" t="s">
        <v>154</v>
      </c>
      <c r="Z63" s="132">
        <v>0</v>
      </c>
      <c r="AA63" s="14">
        <f>LOOKUP(Z63,BASE!A$4:A$125,BASE!B$4:B$125)</f>
        <v>0</v>
      </c>
      <c r="AB63" s="117"/>
      <c r="AC63" s="134"/>
      <c r="AD63" s="135">
        <v>8.8000000000000007</v>
      </c>
      <c r="AE63" s="134" t="s">
        <v>155</v>
      </c>
      <c r="AF63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63" s="13">
        <f>ServExt[[#This Row],[DIAS]]*ServExt[[#This Row],[PESSOAS]]*ServExt[[#This Row],[HORAS DIA]]</f>
        <v>0</v>
      </c>
      <c r="AH63" s="141">
        <f>(IF(Z63="","",LOOKUP(Z63,BASE!A$4:A$125,BASE!H$4:H$125)))*ServExt[[#This Row],[HE CALC]]</f>
        <v>0</v>
      </c>
      <c r="AI63" s="102">
        <f>ServExt[[#This Row],[TOTAL HORAS]]*ServExt[[#This Row],[R$ / HORA]]</f>
        <v>0</v>
      </c>
      <c r="AJ63" s="139">
        <f>BASE!$W$60</f>
        <v>0.66983973762634585</v>
      </c>
      <c r="AK63" s="141">
        <f t="shared" si="4"/>
        <v>0</v>
      </c>
      <c r="AL63" s="143">
        <f t="shared" si="5"/>
        <v>0</v>
      </c>
      <c r="AM63" s="144">
        <f>IF(OR(ServExt[[#This Row],[TIPO H]]="NORMAL",ServExt[[#This Row],[HORAS DIA]]&gt;=8),ServExt[[#This Row],[PESSOAS]]*ServExt[[#This Row],[DIAS]]*2,0)</f>
        <v>0</v>
      </c>
      <c r="AN63" s="144">
        <f>(IF(Z63="","",LOOKUP(Z63,BASE!A$4:A$19,BASE!E$4:E$19)))*ServExt[[#This Row],[TOTAL HORAS]]</f>
        <v>0</v>
      </c>
      <c r="AO63" s="11">
        <f>IF(ServExt[[#This Row],[TIPO H]]="NORMAL",ServExt[[#This Row],[PESSOAS]],0)</f>
        <v>0</v>
      </c>
      <c r="AP63" s="174">
        <f>IFERROR(ServExt[[#This Row],[TOTAL3]]*(RESUMO!$F$22/RESUMO!$F$14),0)</f>
        <v>0</v>
      </c>
      <c r="AR63" s="244">
        <v>41</v>
      </c>
      <c r="AS63" s="1" t="s">
        <v>195</v>
      </c>
    </row>
    <row r="64" spans="1:45" ht="14.5" x14ac:dyDescent="0.25">
      <c r="A64" s="97"/>
      <c r="B64" s="115">
        <v>38</v>
      </c>
      <c r="C64" s="115" t="s">
        <v>153</v>
      </c>
      <c r="D64" s="114" t="s">
        <v>154</v>
      </c>
      <c r="E64" s="132">
        <v>0</v>
      </c>
      <c r="F64" s="264">
        <f>LOOKUP('SERVICOS AUTPRO'!$E$25:$E$64,BASE!A$4:A$125,BASE!B$4:B$125)</f>
        <v>0</v>
      </c>
      <c r="G64" s="117"/>
      <c r="H64" s="134"/>
      <c r="I64" s="135">
        <v>8.8000000000000007</v>
      </c>
      <c r="J64" s="134" t="s">
        <v>155</v>
      </c>
      <c r="K64" s="118">
        <f>_xlfn.IFS('SERVICOS AUTPRO'!$J$25:$J$64="EXTRA 150%",((1)*2.5),'SERVICOS AUTPRO'!$J$25:$J$64="EXTRA 100%",((1)*2),'SERVICOS AUTPRO'!$J$25:$J$64="EXTRA 75%",((1)*1.75),'SERVICOS AUTPRO'!$J$25:$J$64="EXTRA 50%",((1)*1.5),'SERVICOS AUTPRO'!$J$25:$J$64="NORMAL",((1)))</f>
        <v>1</v>
      </c>
      <c r="L64" s="137">
        <f>ServInt[[#This Row],[DIAS]]*ServInt[[#This Row],[PESSOAS]]*ServInt[[#This Row],[HORAS DIA]]</f>
        <v>0</v>
      </c>
      <c r="M64" s="138">
        <f>(IF(ServInt[[#This Row],[CÓDIGO]]="","",LOOKUP(E64,BASE!A$4:A$125,BASE!G$4:G$125)))*ServInt[[#This Row],[HE CALC]]</f>
        <v>0</v>
      </c>
      <c r="N64" s="102">
        <f>ServInt[[#This Row],[TOTAL HORAS]]*ServInt[[#This Row],[R$ / HORA]]</f>
        <v>0</v>
      </c>
      <c r="O64" s="139">
        <f>BASE!$W$60</f>
        <v>0.66983973762634585</v>
      </c>
      <c r="P64" s="138">
        <f t="shared" si="6"/>
        <v>0</v>
      </c>
      <c r="Q64" s="123">
        <f t="shared" si="7"/>
        <v>0</v>
      </c>
      <c r="R64" s="123"/>
      <c r="S64" s="123">
        <f>(IF(E64="","",LOOKUP(E64,BASE!A$4:A$19,BASE!E$4:E$19)))*ServInt[[#This Row],[TOTAL HORAS]]</f>
        <v>0</v>
      </c>
      <c r="T64" s="143">
        <f>IFERROR(ServInt[[#This Row],[TOTAL3]]*(RESUMO!$F$22/RESUMO!$F$14),0)</f>
        <v>0</v>
      </c>
      <c r="W64" s="115">
        <v>38</v>
      </c>
      <c r="X64" s="115" t="s">
        <v>156</v>
      </c>
      <c r="Y64" s="114" t="s">
        <v>154</v>
      </c>
      <c r="Z64" s="132">
        <v>0</v>
      </c>
      <c r="AA64" s="14">
        <f>LOOKUP(Z64,BASE!A$4:A$125,BASE!B$4:B$125)</f>
        <v>0</v>
      </c>
      <c r="AB64" s="117"/>
      <c r="AC64" s="134"/>
      <c r="AD64" s="135">
        <v>8.8000000000000007</v>
      </c>
      <c r="AE64" s="134" t="s">
        <v>155</v>
      </c>
      <c r="AF64" s="118">
        <f>_xlfn.IFS(ServExt[[#This Row],[TIPO H]]="EXTRA 150%",((1)*2.5),ServExt[[#This Row],[TIPO H]]="EXTRA 100%",((1)*2),ServExt[[#This Row],[TIPO H]]="EXTRA 75%",((1)*1.75),ServExt[[#This Row],[TIPO H]]="EXTRA 50%",((1)*1.5),ServExt[[#This Row],[TIPO H]]="NORMAL",((1)))</f>
        <v>1</v>
      </c>
      <c r="AG64" s="13">
        <f>ServExt[[#This Row],[DIAS]]*ServExt[[#This Row],[PESSOAS]]*ServExt[[#This Row],[HORAS DIA]]</f>
        <v>0</v>
      </c>
      <c r="AH64" s="141">
        <f>(IF(Z64="","",LOOKUP(Z64,BASE!A$4:A$125,BASE!H$4:H$125)))*ServExt[[#This Row],[HE CALC]]</f>
        <v>0</v>
      </c>
      <c r="AI64" s="102">
        <f>ServExt[[#This Row],[TOTAL HORAS]]*ServExt[[#This Row],[R$ / HORA]]</f>
        <v>0</v>
      </c>
      <c r="AJ64" s="139">
        <f>BASE!$W$60</f>
        <v>0.66983973762634585</v>
      </c>
      <c r="AK64" s="141">
        <f t="shared" si="4"/>
        <v>0</v>
      </c>
      <c r="AL64" s="143">
        <f t="shared" si="5"/>
        <v>0</v>
      </c>
      <c r="AM64" s="144">
        <f>IF(OR(ServExt[[#This Row],[TIPO H]]="NORMAL",ServExt[[#This Row],[HORAS DIA]]&gt;=8),ServExt[[#This Row],[PESSOAS]]*ServExt[[#This Row],[DIAS]]*2,0)</f>
        <v>0</v>
      </c>
      <c r="AN64" s="144">
        <f>(IF(Z64="","",LOOKUP(Z64,BASE!A$4:A$19,BASE!E$4:E$19)))*ServExt[[#This Row],[TOTAL HORAS]]</f>
        <v>0</v>
      </c>
      <c r="AO64" s="11">
        <f>IF(ServExt[[#This Row],[TIPO H]]="NORMAL",ServExt[[#This Row],[PESSOAS]],0)</f>
        <v>0</v>
      </c>
      <c r="AP64" s="174">
        <f>IFERROR(ServExt[[#This Row],[TOTAL3]]*(RESUMO!$F$22/RESUMO!$F$14),0)</f>
        <v>0</v>
      </c>
      <c r="AR64" s="244">
        <v>42</v>
      </c>
      <c r="AS64" s="1" t="s">
        <v>196</v>
      </c>
    </row>
    <row r="65" spans="1:45" ht="14.5" x14ac:dyDescent="0.35">
      <c r="A65" s="97"/>
      <c r="B65" s="14" t="s">
        <v>197</v>
      </c>
      <c r="C65" s="14"/>
      <c r="D65" s="146"/>
      <c r="E65" s="14"/>
      <c r="F65" s="14"/>
      <c r="G65" s="118">
        <f>SUBTOTAL(109,ServInt[DIAS])</f>
        <v>40</v>
      </c>
      <c r="H65" s="14"/>
      <c r="I65" s="176">
        <f>SUBTOTAL(101,ServInt[HORAS DIA])</f>
        <v>10.58500000000001</v>
      </c>
      <c r="J65" s="14"/>
      <c r="K65" s="14"/>
      <c r="L65" s="13">
        <f>SUBTOTAL(109,ServInt[TOTAL HORAS])</f>
        <v>360</v>
      </c>
      <c r="M65" s="14"/>
      <c r="N65" s="102">
        <f>SUBTOTAL(109,ServInt[TOTAL])</f>
        <v>14687.999999999998</v>
      </c>
      <c r="O65" s="14"/>
      <c r="P65" s="14"/>
      <c r="Q65" s="102">
        <f>SUBTOTAL(109,ServInt[TOTAL3])</f>
        <v>21927.633096311387</v>
      </c>
      <c r="R65" s="14">
        <f>SUBTOTAL(103,ServInt[TOTAL4])</f>
        <v>0</v>
      </c>
      <c r="S65" s="147">
        <f>SUBTOTAL(109,ServInt[MULTA])</f>
        <v>1100.8979154833432</v>
      </c>
      <c r="T65" s="102">
        <f>SUBTOTAL(109,ServInt[VENDA COM IMPOSTOS])</f>
        <v>24707.192221195932</v>
      </c>
      <c r="W65" s="14" t="s">
        <v>198</v>
      </c>
      <c r="X65" s="14"/>
      <c r="Y65" s="114"/>
      <c r="Z65" s="115"/>
      <c r="AA65" s="14"/>
      <c r="AB65" s="117">
        <f>SUBTOTAL(109,ServExt[DIAS])</f>
        <v>140</v>
      </c>
      <c r="AC65" s="134">
        <f>SUBTOTAL(109,ServExt[PESSOAS])</f>
        <v>5</v>
      </c>
      <c r="AD65" s="135">
        <f>SUBTOTAL(101,ServExt[HORAS DIA])</f>
        <v>8.9300000000000068</v>
      </c>
      <c r="AE65" s="115"/>
      <c r="AF65" s="14"/>
      <c r="AG65" s="13">
        <f>SUBTOTAL(109,ServExt[TOTAL HORAS])</f>
        <v>1400</v>
      </c>
      <c r="AH65" s="14"/>
      <c r="AI65" s="102">
        <f>SUBTOTAL(109,ServExt[TOTAL])</f>
        <v>82800</v>
      </c>
      <c r="AJ65" s="217"/>
      <c r="AK65" s="14"/>
      <c r="AL65" s="102">
        <f>SUBTOTAL(109,ServExt[TOTAL3])</f>
        <v>123611.65716057892</v>
      </c>
      <c r="AM65" s="5">
        <f>SUBTOTAL(109,ServExt[TOTAL4])</f>
        <v>280</v>
      </c>
      <c r="AN65" s="5">
        <f>SUBTOTAL(109,ServExt[MULTA])</f>
        <v>4281.2696713241121</v>
      </c>
      <c r="AO65" s="5">
        <f>SUBTOTAL(109,ServExt[Coluna1])</f>
        <v>5</v>
      </c>
      <c r="AP65" s="173">
        <f>SUBTOTAL(109,ServExt[VENDA COM IMPOSTOS])</f>
        <v>139280.74046262415</v>
      </c>
      <c r="AR65" s="244">
        <v>43</v>
      </c>
      <c r="AS65" s="1" t="s">
        <v>199</v>
      </c>
    </row>
    <row r="66" spans="1:45" s="25" customFormat="1" x14ac:dyDescent="0.25">
      <c r="A66" s="254"/>
      <c r="B66" s="715">
        <v>0</v>
      </c>
      <c r="C66" s="715"/>
      <c r="D66" s="715"/>
      <c r="E66" s="715"/>
      <c r="F66" s="715"/>
      <c r="G66" s="715"/>
      <c r="H66" s="715"/>
      <c r="I66" s="715"/>
      <c r="J66" s="715"/>
      <c r="K66" s="715"/>
      <c r="L66" s="715"/>
      <c r="M66" s="715"/>
      <c r="N66" s="715"/>
      <c r="O66" s="715"/>
      <c r="P66" s="715"/>
      <c r="Q66" s="715"/>
      <c r="R66" s="255"/>
      <c r="S66" s="255"/>
      <c r="T66" s="255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J66" s="256"/>
      <c r="AP66" s="57"/>
      <c r="AR66" s="257">
        <v>44</v>
      </c>
      <c r="AS66" s="25" t="s">
        <v>200</v>
      </c>
    </row>
    <row r="67" spans="1:45" s="25" customFormat="1" x14ac:dyDescent="0.25">
      <c r="A67" s="57"/>
      <c r="B67" s="115"/>
      <c r="C67" s="115"/>
      <c r="D67" s="114"/>
      <c r="E67" s="115"/>
      <c r="F67" s="115"/>
      <c r="G67" s="114"/>
      <c r="H67" s="115"/>
      <c r="I67" s="115"/>
      <c r="J67" s="114"/>
      <c r="K67" s="115"/>
      <c r="L67" s="115"/>
      <c r="M67" s="114"/>
      <c r="N67" s="115"/>
      <c r="O67" s="115"/>
      <c r="P67" s="114"/>
      <c r="Q67" s="255"/>
      <c r="R67" s="255"/>
      <c r="S67" s="255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J67" s="256"/>
      <c r="AP67" s="57"/>
      <c r="AR67" s="257">
        <v>45</v>
      </c>
      <c r="AS67" s="25" t="s">
        <v>201</v>
      </c>
    </row>
    <row r="68" spans="1:45" s="25" customFormat="1" x14ac:dyDescent="0.25">
      <c r="A68" s="57"/>
      <c r="B68" s="115"/>
      <c r="C68" s="115"/>
      <c r="D68" s="114"/>
      <c r="E68" s="115"/>
      <c r="F68" s="115"/>
      <c r="G68" s="114"/>
      <c r="H68" s="115"/>
      <c r="I68" s="115"/>
      <c r="J68" s="114"/>
      <c r="K68" s="115"/>
      <c r="L68" s="115"/>
      <c r="M68" s="114"/>
      <c r="N68" s="115"/>
      <c r="O68" s="115"/>
      <c r="P68" s="114"/>
      <c r="Q68" s="255"/>
      <c r="R68" s="255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J68" s="256"/>
      <c r="AP68" s="57"/>
      <c r="AR68" s="257">
        <v>46</v>
      </c>
      <c r="AS68" s="25" t="s">
        <v>202</v>
      </c>
    </row>
    <row r="69" spans="1:45" s="25" customFormat="1" x14ac:dyDescent="0.25">
      <c r="A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J69" s="256"/>
      <c r="AP69" s="57"/>
      <c r="AR69" s="257">
        <v>47</v>
      </c>
      <c r="AS69" s="25" t="s">
        <v>203</v>
      </c>
    </row>
    <row r="70" spans="1:45" s="25" customFormat="1" x14ac:dyDescent="0.25">
      <c r="A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J70" s="256"/>
      <c r="AP70" s="57"/>
      <c r="AR70" s="257">
        <v>48</v>
      </c>
      <c r="AS70" s="25" t="s">
        <v>204</v>
      </c>
    </row>
    <row r="71" spans="1:45" s="25" customFormat="1" x14ac:dyDescent="0.25">
      <c r="A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J71" s="256"/>
      <c r="AP71" s="57"/>
      <c r="AR71" s="257">
        <v>49</v>
      </c>
      <c r="AS71" s="25" t="s">
        <v>205</v>
      </c>
    </row>
    <row r="72" spans="1:45" s="25" customFormat="1" x14ac:dyDescent="0.25">
      <c r="A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J72" s="256"/>
      <c r="AP72" s="57"/>
      <c r="AR72" s="257">
        <v>50</v>
      </c>
      <c r="AS72" s="25" t="s">
        <v>206</v>
      </c>
    </row>
    <row r="73" spans="1:45" s="25" customFormat="1" x14ac:dyDescent="0.25">
      <c r="A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J73" s="256"/>
      <c r="AP73" s="57"/>
      <c r="AR73" s="257">
        <v>51</v>
      </c>
      <c r="AS73" s="25" t="s">
        <v>207</v>
      </c>
    </row>
    <row r="74" spans="1:45" s="25" customFormat="1" x14ac:dyDescent="0.25">
      <c r="A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J74" s="256"/>
      <c r="AP74" s="57"/>
      <c r="AR74" s="257">
        <v>52</v>
      </c>
      <c r="AS74" s="25" t="s">
        <v>208</v>
      </c>
    </row>
    <row r="75" spans="1:45" s="25" customFormat="1" x14ac:dyDescent="0.25">
      <c r="A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J75" s="256"/>
      <c r="AP75" s="57"/>
      <c r="AR75" s="257">
        <v>53</v>
      </c>
      <c r="AS75" s="25" t="s">
        <v>209</v>
      </c>
    </row>
    <row r="76" spans="1:45" s="25" customFormat="1" x14ac:dyDescent="0.25">
      <c r="A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J76" s="256"/>
      <c r="AP76" s="57"/>
      <c r="AR76" s="257">
        <v>54</v>
      </c>
      <c r="AS76" s="25" t="s">
        <v>210</v>
      </c>
    </row>
    <row r="77" spans="1:45" s="25" customFormat="1" x14ac:dyDescent="0.25">
      <c r="A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J77" s="256"/>
      <c r="AP77" s="57"/>
      <c r="AR77" s="257">
        <v>55</v>
      </c>
      <c r="AS77" s="25" t="s">
        <v>211</v>
      </c>
    </row>
    <row r="78" spans="1:45" s="25" customFormat="1" x14ac:dyDescent="0.25">
      <c r="A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J78" s="256"/>
      <c r="AP78" s="57"/>
      <c r="AR78" s="257">
        <v>56</v>
      </c>
      <c r="AS78" s="25" t="s">
        <v>212</v>
      </c>
    </row>
    <row r="79" spans="1:45" s="25" customFormat="1" x14ac:dyDescent="0.25">
      <c r="A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J79" s="256"/>
      <c r="AP79" s="57"/>
      <c r="AR79" s="257">
        <v>57</v>
      </c>
      <c r="AS79" s="25" t="s">
        <v>213</v>
      </c>
    </row>
    <row r="80" spans="1:45" s="25" customFormat="1" x14ac:dyDescent="0.25">
      <c r="A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J80" s="256"/>
      <c r="AP80" s="57"/>
      <c r="AR80" s="257">
        <v>58</v>
      </c>
      <c r="AS80" s="25" t="s">
        <v>214</v>
      </c>
    </row>
    <row r="81" spans="1:45" s="25" customFormat="1" x14ac:dyDescent="0.25">
      <c r="A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J81" s="256"/>
      <c r="AP81" s="57"/>
      <c r="AR81" s="257">
        <v>59</v>
      </c>
      <c r="AS81" s="25" t="s">
        <v>215</v>
      </c>
    </row>
    <row r="82" spans="1:45" s="25" customFormat="1" x14ac:dyDescent="0.25">
      <c r="A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J82" s="256"/>
      <c r="AP82" s="57"/>
      <c r="AR82" s="257">
        <v>60</v>
      </c>
      <c r="AS82" s="25" t="s">
        <v>216</v>
      </c>
    </row>
    <row r="83" spans="1:45" s="25" customFormat="1" x14ac:dyDescent="0.25">
      <c r="A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J83" s="256"/>
      <c r="AP83" s="57"/>
      <c r="AR83" s="257">
        <v>61</v>
      </c>
      <c r="AS83" s="25" t="s">
        <v>217</v>
      </c>
    </row>
    <row r="84" spans="1:45" s="25" customFormat="1" x14ac:dyDescent="0.25">
      <c r="A84" s="57"/>
      <c r="B84" s="115"/>
      <c r="C84" s="115"/>
      <c r="D84" s="114"/>
      <c r="E84" s="115"/>
      <c r="F84" s="115"/>
      <c r="G84" s="115"/>
      <c r="H84" s="115"/>
      <c r="I84" s="258"/>
      <c r="J84" s="115"/>
      <c r="K84" s="115"/>
      <c r="L84" s="115"/>
      <c r="M84" s="115"/>
      <c r="N84" s="115"/>
      <c r="O84" s="258"/>
      <c r="P84" s="259"/>
      <c r="Q84" s="259"/>
      <c r="R84" s="260"/>
      <c r="S84" s="260"/>
      <c r="T84" s="260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J84" s="256"/>
      <c r="AP84" s="57"/>
      <c r="AR84" s="257">
        <v>62</v>
      </c>
      <c r="AS84" s="25" t="s">
        <v>218</v>
      </c>
    </row>
    <row r="85" spans="1:45" s="25" customFormat="1" x14ac:dyDescent="0.25">
      <c r="A85" s="57"/>
      <c r="B85" s="115"/>
      <c r="C85" s="115"/>
      <c r="D85" s="114"/>
      <c r="E85" s="115"/>
      <c r="F85" s="115"/>
      <c r="G85" s="115"/>
      <c r="H85" s="115"/>
      <c r="I85" s="261"/>
      <c r="J85" s="115"/>
      <c r="K85" s="115"/>
      <c r="L85" s="115"/>
      <c r="M85" s="115"/>
      <c r="N85" s="115"/>
      <c r="O85" s="258"/>
      <c r="P85" s="259"/>
      <c r="Q85" s="259"/>
      <c r="R85" s="260"/>
      <c r="S85" s="260"/>
      <c r="T85" s="260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J85" s="256"/>
      <c r="AP85" s="57"/>
      <c r="AR85" s="257">
        <v>63</v>
      </c>
      <c r="AS85" s="25" t="s">
        <v>219</v>
      </c>
    </row>
    <row r="86" spans="1:45" s="25" customFormat="1" x14ac:dyDescent="0.25">
      <c r="A86" s="57"/>
      <c r="B86" s="255"/>
      <c r="C86" s="255"/>
      <c r="D86" s="259"/>
      <c r="E86" s="259"/>
      <c r="F86" s="259"/>
      <c r="G86" s="259"/>
      <c r="H86" s="259"/>
      <c r="I86" s="254"/>
      <c r="J86" s="254"/>
      <c r="K86" s="262"/>
      <c r="L86" s="254"/>
      <c r="M86" s="254"/>
      <c r="N86" s="262"/>
      <c r="O86" s="254"/>
      <c r="P86" s="259"/>
      <c r="Q86" s="259"/>
      <c r="R86" s="260"/>
      <c r="S86" s="260"/>
      <c r="T86" s="260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J86" s="256"/>
      <c r="AP86" s="57"/>
      <c r="AR86" s="257">
        <v>64</v>
      </c>
      <c r="AS86" s="25" t="s">
        <v>220</v>
      </c>
    </row>
    <row r="87" spans="1:45" s="25" customFormat="1" x14ac:dyDescent="0.25">
      <c r="A87" s="57"/>
      <c r="B87" s="255"/>
      <c r="C87" s="255"/>
      <c r="D87" s="259"/>
      <c r="E87" s="259"/>
      <c r="F87" s="259"/>
      <c r="G87" s="259"/>
      <c r="H87" s="259"/>
      <c r="I87" s="254"/>
      <c r="J87" s="254"/>
      <c r="K87" s="262"/>
      <c r="L87" s="254"/>
      <c r="M87" s="254"/>
      <c r="N87" s="262"/>
      <c r="O87" s="254"/>
      <c r="P87" s="259"/>
      <c r="Q87" s="259"/>
      <c r="R87" s="260"/>
      <c r="S87" s="260"/>
      <c r="T87" s="260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J87" s="256"/>
      <c r="AP87" s="57"/>
      <c r="AR87" s="257">
        <v>65</v>
      </c>
      <c r="AS87" s="25" t="s">
        <v>221</v>
      </c>
    </row>
    <row r="88" spans="1:45" s="25" customFormat="1" x14ac:dyDescent="0.25">
      <c r="A88" s="57"/>
      <c r="B88" s="255"/>
      <c r="C88" s="255"/>
      <c r="D88" s="255"/>
      <c r="E88" s="255"/>
      <c r="F88" s="255"/>
      <c r="G88" s="255"/>
      <c r="H88" s="255"/>
      <c r="I88" s="254"/>
      <c r="J88" s="254"/>
      <c r="K88" s="262"/>
      <c r="L88" s="254"/>
      <c r="M88" s="254"/>
      <c r="N88" s="262"/>
      <c r="O88" s="254"/>
      <c r="P88" s="255"/>
      <c r="Q88" s="255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J88" s="256"/>
      <c r="AP88" s="57"/>
      <c r="AR88" s="257">
        <v>66</v>
      </c>
      <c r="AS88" s="25" t="s">
        <v>222</v>
      </c>
    </row>
    <row r="89" spans="1:45" s="25" customFormat="1" x14ac:dyDescent="0.25">
      <c r="A89" s="57"/>
      <c r="B89" s="255"/>
      <c r="C89" s="255"/>
      <c r="D89" s="255"/>
      <c r="E89" s="255"/>
      <c r="F89" s="255"/>
      <c r="G89" s="255"/>
      <c r="H89" s="255"/>
      <c r="I89" s="254"/>
      <c r="J89" s="254"/>
      <c r="K89" s="262"/>
      <c r="L89" s="254"/>
      <c r="M89" s="254"/>
      <c r="N89" s="262"/>
      <c r="O89" s="254"/>
      <c r="P89" s="255"/>
      <c r="Q89" s="255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J89" s="256"/>
      <c r="AP89" s="57"/>
      <c r="AR89" s="257">
        <v>67</v>
      </c>
      <c r="AS89" s="25" t="s">
        <v>223</v>
      </c>
    </row>
    <row r="90" spans="1:45" s="25" customFormat="1" x14ac:dyDescent="0.25">
      <c r="A90" s="57"/>
      <c r="B90" s="255"/>
      <c r="C90" s="255"/>
      <c r="D90" s="255"/>
      <c r="E90" s="255"/>
      <c r="F90" s="255"/>
      <c r="G90" s="255"/>
      <c r="H90" s="255"/>
      <c r="I90" s="254"/>
      <c r="J90" s="254"/>
      <c r="K90" s="262"/>
      <c r="L90" s="254"/>
      <c r="M90" s="254"/>
      <c r="N90" s="262"/>
      <c r="O90" s="254"/>
      <c r="P90" s="255"/>
      <c r="Q90" s="255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J90" s="256"/>
      <c r="AP90" s="57"/>
      <c r="AR90" s="257">
        <v>68</v>
      </c>
      <c r="AS90" s="25" t="s">
        <v>224</v>
      </c>
    </row>
    <row r="91" spans="1:45" s="25" customFormat="1" x14ac:dyDescent="0.25">
      <c r="A91" s="57"/>
      <c r="B91" s="255"/>
      <c r="C91" s="255"/>
      <c r="D91" s="255"/>
      <c r="E91" s="255"/>
      <c r="F91" s="255"/>
      <c r="G91" s="255"/>
      <c r="H91" s="255"/>
      <c r="I91" s="254"/>
      <c r="J91" s="254"/>
      <c r="K91" s="262"/>
      <c r="L91" s="254"/>
      <c r="M91" s="254"/>
      <c r="N91" s="262"/>
      <c r="O91" s="254"/>
      <c r="P91" s="255"/>
      <c r="Q91" s="255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J91" s="256"/>
      <c r="AP91" s="57"/>
      <c r="AR91" s="257">
        <v>69</v>
      </c>
      <c r="AS91" s="25" t="s">
        <v>225</v>
      </c>
    </row>
    <row r="92" spans="1:45" s="25" customFormat="1" x14ac:dyDescent="0.25">
      <c r="A92" s="57"/>
      <c r="B92" s="255"/>
      <c r="C92" s="255"/>
      <c r="D92" s="255"/>
      <c r="E92" s="255"/>
      <c r="F92" s="255"/>
      <c r="G92" s="255"/>
      <c r="H92" s="255"/>
      <c r="I92" s="254"/>
      <c r="J92" s="254"/>
      <c r="K92" s="262"/>
      <c r="L92" s="254"/>
      <c r="M92" s="254"/>
      <c r="N92" s="262"/>
      <c r="O92" s="254"/>
      <c r="P92" s="255"/>
      <c r="Q92" s="255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J92" s="256"/>
      <c r="AP92" s="57"/>
      <c r="AR92" s="257">
        <v>70</v>
      </c>
      <c r="AS92" s="25" t="s">
        <v>226</v>
      </c>
    </row>
    <row r="93" spans="1:45" s="25" customFormat="1" x14ac:dyDescent="0.25">
      <c r="A93" s="57"/>
      <c r="B93" s="255"/>
      <c r="C93" s="255"/>
      <c r="D93" s="255"/>
      <c r="E93" s="255"/>
      <c r="F93" s="255"/>
      <c r="G93" s="255"/>
      <c r="H93" s="255"/>
      <c r="I93" s="254"/>
      <c r="J93" s="254"/>
      <c r="K93" s="262"/>
      <c r="L93" s="254"/>
      <c r="M93" s="254"/>
      <c r="N93" s="262"/>
      <c r="O93" s="254"/>
      <c r="P93" s="255"/>
      <c r="Q93" s="255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J93" s="256"/>
      <c r="AP93" s="57"/>
      <c r="AR93" s="257">
        <v>71</v>
      </c>
      <c r="AS93" s="25" t="s">
        <v>227</v>
      </c>
    </row>
    <row r="94" spans="1:45" s="25" customFormat="1" x14ac:dyDescent="0.25">
      <c r="A94" s="57"/>
      <c r="B94" s="57"/>
      <c r="C94" s="57"/>
      <c r="D94" s="57"/>
      <c r="E94" s="57"/>
      <c r="F94" s="57"/>
      <c r="G94" s="57"/>
      <c r="H94" s="57"/>
      <c r="I94" s="254"/>
      <c r="J94" s="254"/>
      <c r="K94" s="262"/>
      <c r="L94" s="254"/>
      <c r="M94" s="254"/>
      <c r="N94" s="262"/>
      <c r="O94" s="254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J94" s="256"/>
      <c r="AP94" s="57"/>
      <c r="AR94" s="257">
        <v>72</v>
      </c>
      <c r="AS94" s="25" t="s">
        <v>228</v>
      </c>
    </row>
    <row r="95" spans="1:45" s="25" customFormat="1" x14ac:dyDescent="0.25">
      <c r="A95" s="57"/>
      <c r="B95" s="57"/>
      <c r="C95" s="57"/>
      <c r="D95" s="57"/>
      <c r="E95" s="57"/>
      <c r="F95" s="57"/>
      <c r="G95" s="57"/>
      <c r="H95" s="57"/>
      <c r="I95" s="254"/>
      <c r="J95" s="254"/>
      <c r="K95" s="262"/>
      <c r="L95" s="254"/>
      <c r="M95" s="254"/>
      <c r="N95" s="262"/>
      <c r="O95" s="254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J95" s="256"/>
      <c r="AP95" s="57"/>
      <c r="AR95" s="257">
        <v>73</v>
      </c>
      <c r="AS95" s="25" t="s">
        <v>229</v>
      </c>
    </row>
    <row r="96" spans="1:45" s="25" customFormat="1" x14ac:dyDescent="0.25">
      <c r="A96" s="57"/>
      <c r="B96" s="57"/>
      <c r="C96" s="57"/>
      <c r="D96" s="57"/>
      <c r="E96" s="57"/>
      <c r="F96" s="57"/>
      <c r="G96" s="57"/>
      <c r="H96" s="57"/>
      <c r="I96" s="254"/>
      <c r="J96" s="254"/>
      <c r="K96" s="262"/>
      <c r="L96" s="254"/>
      <c r="M96" s="254"/>
      <c r="N96" s="262"/>
      <c r="O96" s="254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J96" s="256"/>
      <c r="AP96" s="57"/>
      <c r="AR96" s="257">
        <v>74</v>
      </c>
      <c r="AS96" s="25" t="s">
        <v>230</v>
      </c>
    </row>
    <row r="97" spans="1:45" s="25" customFormat="1" x14ac:dyDescent="0.25">
      <c r="A97" s="57"/>
      <c r="B97" s="57"/>
      <c r="C97" s="57"/>
      <c r="D97" s="57"/>
      <c r="E97" s="57"/>
      <c r="F97" s="57"/>
      <c r="G97" s="57"/>
      <c r="H97" s="57"/>
      <c r="I97" s="254"/>
      <c r="J97" s="254"/>
      <c r="K97" s="262"/>
      <c r="L97" s="254"/>
      <c r="M97" s="254"/>
      <c r="N97" s="262"/>
      <c r="O97" s="254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J97" s="256"/>
      <c r="AP97" s="57"/>
      <c r="AR97" s="257">
        <v>75</v>
      </c>
      <c r="AS97" s="25" t="s">
        <v>231</v>
      </c>
    </row>
    <row r="98" spans="1:45" s="25" customFormat="1" x14ac:dyDescent="0.25">
      <c r="A98" s="57"/>
      <c r="B98" s="57"/>
      <c r="C98" s="57"/>
      <c r="D98" s="57"/>
      <c r="E98" s="57"/>
      <c r="F98" s="57"/>
      <c r="G98" s="57"/>
      <c r="H98" s="57"/>
      <c r="I98" s="254"/>
      <c r="J98" s="254"/>
      <c r="K98" s="262"/>
      <c r="L98" s="254"/>
      <c r="M98" s="254"/>
      <c r="N98" s="262"/>
      <c r="O98" s="254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J98" s="256"/>
      <c r="AP98" s="57"/>
      <c r="AR98" s="257">
        <v>76</v>
      </c>
      <c r="AS98" s="25" t="s">
        <v>232</v>
      </c>
    </row>
    <row r="99" spans="1:45" s="25" customFormat="1" x14ac:dyDescent="0.25">
      <c r="A99" s="57"/>
      <c r="B99" s="57"/>
      <c r="C99" s="57"/>
      <c r="D99" s="57"/>
      <c r="E99" s="57"/>
      <c r="F99" s="57"/>
      <c r="G99" s="57"/>
      <c r="H99" s="57"/>
      <c r="I99" s="254"/>
      <c r="J99" s="254"/>
      <c r="K99" s="262"/>
      <c r="L99" s="254"/>
      <c r="M99" s="254"/>
      <c r="N99" s="262"/>
      <c r="O99" s="254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J99" s="256"/>
      <c r="AP99" s="57"/>
      <c r="AR99" s="257">
        <v>77</v>
      </c>
      <c r="AS99" s="25" t="s">
        <v>233</v>
      </c>
    </row>
    <row r="100" spans="1:45" s="25" customFormat="1" x14ac:dyDescent="0.25">
      <c r="A100" s="57"/>
      <c r="B100" s="57"/>
      <c r="C100" s="57"/>
      <c r="D100" s="57"/>
      <c r="E100" s="57"/>
      <c r="F100" s="57"/>
      <c r="G100" s="57"/>
      <c r="H100" s="57"/>
      <c r="I100" s="254"/>
      <c r="J100" s="254"/>
      <c r="K100" s="262"/>
      <c r="L100" s="254"/>
      <c r="M100" s="254"/>
      <c r="N100" s="262"/>
      <c r="O100" s="254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J100" s="256"/>
      <c r="AP100" s="57"/>
      <c r="AR100" s="257">
        <v>78</v>
      </c>
      <c r="AS100" s="25" t="s">
        <v>234</v>
      </c>
    </row>
    <row r="101" spans="1:45" s="25" customFormat="1" x14ac:dyDescent="0.25">
      <c r="A101" s="57"/>
      <c r="B101" s="57"/>
      <c r="C101" s="57"/>
      <c r="D101" s="57"/>
      <c r="E101" s="57"/>
      <c r="F101" s="57"/>
      <c r="G101" s="57"/>
      <c r="H101" s="57"/>
      <c r="I101" s="254"/>
      <c r="J101" s="254"/>
      <c r="K101" s="262"/>
      <c r="L101" s="254"/>
      <c r="M101" s="254"/>
      <c r="N101" s="262"/>
      <c r="O101" s="254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J101" s="256"/>
      <c r="AP101" s="57"/>
      <c r="AR101" s="257">
        <v>79</v>
      </c>
      <c r="AS101" s="25" t="s">
        <v>235</v>
      </c>
    </row>
    <row r="102" spans="1:45" s="25" customFormat="1" x14ac:dyDescent="0.25">
      <c r="A102" s="57"/>
      <c r="B102" s="57"/>
      <c r="C102" s="57"/>
      <c r="D102" s="57"/>
      <c r="E102" s="57"/>
      <c r="F102" s="57"/>
      <c r="G102" s="57"/>
      <c r="H102" s="57"/>
      <c r="I102" s="254"/>
      <c r="J102" s="254"/>
      <c r="K102" s="262"/>
      <c r="L102" s="254"/>
      <c r="M102" s="254"/>
      <c r="N102" s="262"/>
      <c r="O102" s="254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J102" s="256"/>
      <c r="AP102" s="57"/>
      <c r="AR102" s="257">
        <v>80</v>
      </c>
      <c r="AS102" s="25" t="s">
        <v>236</v>
      </c>
    </row>
    <row r="103" spans="1:45" s="25" customFormat="1" x14ac:dyDescent="0.25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263"/>
      <c r="L103" s="57"/>
      <c r="M103" s="57"/>
      <c r="N103" s="263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J103" s="256"/>
      <c r="AP103" s="57"/>
      <c r="AR103" s="257">
        <v>81</v>
      </c>
      <c r="AS103" s="25" t="s">
        <v>237</v>
      </c>
    </row>
    <row r="104" spans="1:45" s="25" customFormat="1" x14ac:dyDescent="0.25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263"/>
      <c r="L104" s="57"/>
      <c r="M104" s="57"/>
      <c r="N104" s="263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J104" s="256"/>
      <c r="AP104" s="57"/>
      <c r="AR104" s="257">
        <v>82</v>
      </c>
      <c r="AS104" s="25" t="s">
        <v>238</v>
      </c>
    </row>
    <row r="105" spans="1:45" s="25" customFormat="1" x14ac:dyDescent="0.2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263"/>
      <c r="L105" s="57"/>
      <c r="M105" s="57"/>
      <c r="N105" s="263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J105" s="256"/>
      <c r="AP105" s="57"/>
      <c r="AR105" s="257">
        <v>83</v>
      </c>
      <c r="AS105" s="25" t="s">
        <v>239</v>
      </c>
    </row>
    <row r="106" spans="1:45" s="25" customFormat="1" x14ac:dyDescent="0.25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263"/>
      <c r="L106" s="57"/>
      <c r="M106" s="57"/>
      <c r="N106" s="263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J106" s="256"/>
      <c r="AP106" s="57"/>
      <c r="AR106" s="257">
        <v>84</v>
      </c>
      <c r="AS106" s="25" t="s">
        <v>240</v>
      </c>
    </row>
    <row r="107" spans="1:45" s="25" customFormat="1" x14ac:dyDescent="0.25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263"/>
      <c r="L107" s="57"/>
      <c r="M107" s="57"/>
      <c r="N107" s="263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J107" s="256"/>
      <c r="AP107" s="57"/>
      <c r="AR107" s="257">
        <v>85</v>
      </c>
      <c r="AS107" s="25" t="s">
        <v>241</v>
      </c>
    </row>
    <row r="108" spans="1:45" s="25" customFormat="1" x14ac:dyDescent="0.25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263"/>
      <c r="L108" s="57"/>
      <c r="M108" s="57"/>
      <c r="N108" s="263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J108" s="256"/>
      <c r="AP108" s="57"/>
      <c r="AR108" s="257">
        <v>86</v>
      </c>
      <c r="AS108" s="25" t="s">
        <v>242</v>
      </c>
    </row>
    <row r="109" spans="1:45" s="25" customFormat="1" x14ac:dyDescent="0.25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263"/>
      <c r="L109" s="57"/>
      <c r="M109" s="57"/>
      <c r="N109" s="263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J109" s="256"/>
      <c r="AP109" s="57"/>
      <c r="AR109" s="257">
        <v>87</v>
      </c>
      <c r="AS109" s="25" t="s">
        <v>243</v>
      </c>
    </row>
    <row r="110" spans="1:45" s="25" customFormat="1" x14ac:dyDescent="0.25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263"/>
      <c r="L110" s="57"/>
      <c r="M110" s="57"/>
      <c r="N110" s="263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J110" s="256"/>
      <c r="AP110" s="57"/>
      <c r="AR110" s="257">
        <v>88</v>
      </c>
      <c r="AS110" s="25" t="s">
        <v>244</v>
      </c>
    </row>
    <row r="111" spans="1:45" s="25" customFormat="1" x14ac:dyDescent="0.25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263"/>
      <c r="L111" s="57"/>
      <c r="M111" s="57"/>
      <c r="N111" s="263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J111" s="256"/>
      <c r="AP111" s="57"/>
      <c r="AR111" s="257">
        <v>89</v>
      </c>
      <c r="AS111" s="25" t="s">
        <v>245</v>
      </c>
    </row>
    <row r="112" spans="1:45" s="25" customFormat="1" x14ac:dyDescent="0.25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263"/>
      <c r="L112" s="57"/>
      <c r="M112" s="57"/>
      <c r="N112" s="263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J112" s="256"/>
      <c r="AP112" s="57"/>
      <c r="AR112" s="257">
        <v>90</v>
      </c>
      <c r="AS112" s="25" t="s">
        <v>246</v>
      </c>
    </row>
    <row r="113" spans="1:45" s="25" customFormat="1" x14ac:dyDescent="0.25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263"/>
      <c r="L113" s="57"/>
      <c r="M113" s="57"/>
      <c r="N113" s="263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J113" s="256"/>
      <c r="AP113" s="57"/>
      <c r="AR113" s="257">
        <v>91</v>
      </c>
      <c r="AS113" s="25" t="s">
        <v>247</v>
      </c>
    </row>
    <row r="114" spans="1:45" s="25" customFormat="1" x14ac:dyDescent="0.25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263"/>
      <c r="L114" s="57"/>
      <c r="M114" s="57"/>
      <c r="N114" s="263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J114" s="256"/>
      <c r="AP114" s="57"/>
      <c r="AR114" s="257">
        <v>92</v>
      </c>
      <c r="AS114" s="25" t="s">
        <v>248</v>
      </c>
    </row>
    <row r="115" spans="1:45" s="25" customFormat="1" x14ac:dyDescent="0.2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263"/>
      <c r="L115" s="57"/>
      <c r="M115" s="57"/>
      <c r="N115" s="263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J115" s="256"/>
      <c r="AP115" s="57"/>
      <c r="AR115" s="257">
        <v>93</v>
      </c>
      <c r="AS115" s="25" t="s">
        <v>249</v>
      </c>
    </row>
    <row r="116" spans="1:45" s="25" customFormat="1" x14ac:dyDescent="0.25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263"/>
      <c r="L116" s="57"/>
      <c r="M116" s="57"/>
      <c r="N116" s="263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J116" s="256"/>
      <c r="AP116" s="57"/>
      <c r="AR116" s="257">
        <v>94</v>
      </c>
      <c r="AS116" s="25" t="s">
        <v>250</v>
      </c>
    </row>
    <row r="117" spans="1:45" s="25" customFormat="1" x14ac:dyDescent="0.25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263"/>
      <c r="L117" s="57"/>
      <c r="M117" s="57"/>
      <c r="N117" s="263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J117" s="256"/>
      <c r="AP117" s="57"/>
      <c r="AR117" s="257">
        <v>95</v>
      </c>
      <c r="AS117" s="25" t="s">
        <v>251</v>
      </c>
    </row>
    <row r="118" spans="1:45" s="25" customFormat="1" x14ac:dyDescent="0.25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263"/>
      <c r="L118" s="57"/>
      <c r="M118" s="57"/>
      <c r="N118" s="263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J118" s="256"/>
      <c r="AP118" s="57"/>
      <c r="AR118" s="257">
        <v>96</v>
      </c>
      <c r="AS118" s="25" t="s">
        <v>252</v>
      </c>
    </row>
    <row r="119" spans="1:45" s="25" customFormat="1" x14ac:dyDescent="0.25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263"/>
      <c r="L119" s="57"/>
      <c r="M119" s="57"/>
      <c r="N119" s="263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J119" s="256"/>
      <c r="AP119" s="57"/>
      <c r="AR119" s="257">
        <v>97</v>
      </c>
      <c r="AS119" s="25" t="s">
        <v>253</v>
      </c>
    </row>
    <row r="120" spans="1:45" s="25" customFormat="1" x14ac:dyDescent="0.25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263"/>
      <c r="L120" s="57"/>
      <c r="M120" s="57"/>
      <c r="N120" s="263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J120" s="256"/>
      <c r="AP120" s="57"/>
      <c r="AR120" s="257">
        <v>98</v>
      </c>
      <c r="AS120" s="25" t="s">
        <v>254</v>
      </c>
    </row>
    <row r="121" spans="1:45" s="25" customFormat="1" x14ac:dyDescent="0.25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263"/>
      <c r="L121" s="57"/>
      <c r="M121" s="57"/>
      <c r="N121" s="263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J121" s="256"/>
      <c r="AP121" s="57"/>
      <c r="AR121" s="257">
        <v>99</v>
      </c>
      <c r="AS121" s="25" t="s">
        <v>255</v>
      </c>
    </row>
    <row r="122" spans="1:45" s="25" customFormat="1" x14ac:dyDescent="0.25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263"/>
      <c r="L122" s="57"/>
      <c r="M122" s="57"/>
      <c r="N122" s="263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J122" s="256"/>
      <c r="AP122" s="57"/>
      <c r="AR122" s="257">
        <v>100</v>
      </c>
      <c r="AS122" s="25" t="s">
        <v>256</v>
      </c>
    </row>
    <row r="123" spans="1:45" s="25" customFormat="1" x14ac:dyDescent="0.2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263"/>
      <c r="L123" s="57"/>
      <c r="M123" s="57"/>
      <c r="N123" s="263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J123" s="256"/>
      <c r="AP123" s="57"/>
      <c r="AR123" s="257">
        <v>101</v>
      </c>
      <c r="AS123" s="25" t="s">
        <v>257</v>
      </c>
    </row>
    <row r="124" spans="1:45" s="25" customFormat="1" x14ac:dyDescent="0.25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263"/>
      <c r="L124" s="57"/>
      <c r="M124" s="57"/>
      <c r="N124" s="263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J124" s="256"/>
      <c r="AP124" s="57"/>
      <c r="AR124" s="257">
        <v>102</v>
      </c>
      <c r="AS124" s="25" t="s">
        <v>258</v>
      </c>
    </row>
    <row r="125" spans="1:45" s="25" customFormat="1" x14ac:dyDescent="0.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263"/>
      <c r="L125" s="57"/>
      <c r="M125" s="57"/>
      <c r="N125" s="263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J125" s="256"/>
      <c r="AP125" s="57"/>
      <c r="AR125" s="257">
        <v>103</v>
      </c>
      <c r="AS125" s="25" t="s">
        <v>259</v>
      </c>
    </row>
    <row r="126" spans="1:45" s="25" customFormat="1" x14ac:dyDescent="0.25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263"/>
      <c r="L126" s="57"/>
      <c r="M126" s="57"/>
      <c r="N126" s="263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J126" s="256"/>
      <c r="AP126" s="57"/>
      <c r="AR126" s="257">
        <v>104</v>
      </c>
      <c r="AS126" s="25" t="s">
        <v>260</v>
      </c>
    </row>
    <row r="127" spans="1:45" s="25" customFormat="1" x14ac:dyDescent="0.25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263"/>
      <c r="L127" s="57"/>
      <c r="M127" s="57"/>
      <c r="N127" s="263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J127" s="256"/>
      <c r="AP127" s="57"/>
      <c r="AR127" s="257">
        <v>105</v>
      </c>
      <c r="AS127" s="25" t="s">
        <v>261</v>
      </c>
    </row>
    <row r="128" spans="1:45" s="25" customFormat="1" x14ac:dyDescent="0.25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263"/>
      <c r="L128" s="57"/>
      <c r="M128" s="57"/>
      <c r="N128" s="263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J128" s="256"/>
      <c r="AP128" s="57"/>
      <c r="AR128" s="257">
        <v>106</v>
      </c>
      <c r="AS128" s="25" t="s">
        <v>262</v>
      </c>
    </row>
    <row r="129" spans="1:45" s="25" customFormat="1" x14ac:dyDescent="0.25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263"/>
      <c r="L129" s="57"/>
      <c r="M129" s="57"/>
      <c r="N129" s="263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J129" s="256"/>
      <c r="AP129" s="57"/>
      <c r="AR129" s="257">
        <v>107</v>
      </c>
      <c r="AS129" s="25" t="s">
        <v>263</v>
      </c>
    </row>
    <row r="130" spans="1:45" s="25" customFormat="1" x14ac:dyDescent="0.25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263"/>
      <c r="L130" s="57"/>
      <c r="M130" s="57"/>
      <c r="N130" s="263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J130" s="256"/>
      <c r="AP130" s="57"/>
      <c r="AR130" s="257">
        <v>108</v>
      </c>
      <c r="AS130" s="25" t="s">
        <v>264</v>
      </c>
    </row>
    <row r="131" spans="1:45" s="25" customFormat="1" x14ac:dyDescent="0.2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263"/>
      <c r="L131" s="57"/>
      <c r="M131" s="57"/>
      <c r="N131" s="263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J131" s="256"/>
      <c r="AP131" s="57"/>
      <c r="AR131" s="257">
        <v>109</v>
      </c>
      <c r="AS131" s="25" t="s">
        <v>265</v>
      </c>
    </row>
    <row r="132" spans="1:45" s="25" customFormat="1" x14ac:dyDescent="0.2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263"/>
      <c r="L132" s="57"/>
      <c r="M132" s="57"/>
      <c r="N132" s="263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J132" s="256"/>
      <c r="AP132" s="57"/>
      <c r="AR132" s="257">
        <v>110</v>
      </c>
      <c r="AS132" s="25" t="s">
        <v>266</v>
      </c>
    </row>
    <row r="133" spans="1:45" s="25" customFormat="1" x14ac:dyDescent="0.2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263"/>
      <c r="L133" s="57"/>
      <c r="M133" s="57"/>
      <c r="N133" s="263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J133" s="256"/>
      <c r="AP133" s="57"/>
      <c r="AR133" s="257">
        <v>111</v>
      </c>
      <c r="AS133" s="25" t="s">
        <v>267</v>
      </c>
    </row>
    <row r="134" spans="1:45" s="25" customFormat="1" x14ac:dyDescent="0.25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263"/>
      <c r="L134" s="57"/>
      <c r="M134" s="57"/>
      <c r="N134" s="263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J134" s="256"/>
      <c r="AP134" s="57"/>
      <c r="AR134" s="257">
        <v>112</v>
      </c>
      <c r="AS134" s="25" t="s">
        <v>268</v>
      </c>
    </row>
    <row r="135" spans="1:45" s="25" customFormat="1" x14ac:dyDescent="0.2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263"/>
      <c r="L135" s="57"/>
      <c r="M135" s="57"/>
      <c r="N135" s="263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J135" s="256"/>
      <c r="AP135" s="57"/>
      <c r="AR135" s="257">
        <v>113</v>
      </c>
      <c r="AS135" s="25" t="s">
        <v>269</v>
      </c>
    </row>
    <row r="136" spans="1:45" s="25" customFormat="1" x14ac:dyDescent="0.25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263"/>
      <c r="L136" s="57"/>
      <c r="M136" s="57"/>
      <c r="N136" s="263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J136" s="256"/>
      <c r="AP136" s="57"/>
      <c r="AR136" s="257">
        <v>114</v>
      </c>
      <c r="AS136" s="25" t="s">
        <v>270</v>
      </c>
    </row>
    <row r="137" spans="1:45" s="25" customFormat="1" x14ac:dyDescent="0.25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263"/>
      <c r="L137" s="57"/>
      <c r="M137" s="57"/>
      <c r="N137" s="263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J137" s="256"/>
      <c r="AP137" s="57"/>
      <c r="AR137" s="257">
        <v>115</v>
      </c>
      <c r="AS137" s="25" t="s">
        <v>271</v>
      </c>
    </row>
    <row r="138" spans="1:45" s="25" customFormat="1" x14ac:dyDescent="0.25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263"/>
      <c r="L138" s="57"/>
      <c r="M138" s="57"/>
      <c r="N138" s="263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J138" s="256"/>
      <c r="AP138" s="57"/>
      <c r="AR138" s="257">
        <v>116</v>
      </c>
      <c r="AS138" s="25" t="s">
        <v>272</v>
      </c>
    </row>
    <row r="139" spans="1:45" s="25" customFormat="1" x14ac:dyDescent="0.2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263"/>
      <c r="L139" s="57"/>
      <c r="M139" s="57"/>
      <c r="N139" s="263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J139" s="256"/>
      <c r="AP139" s="57"/>
      <c r="AR139" s="257">
        <v>117</v>
      </c>
      <c r="AS139" s="25" t="s">
        <v>273</v>
      </c>
    </row>
    <row r="140" spans="1:45" s="25" customFormat="1" x14ac:dyDescent="0.2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263"/>
      <c r="L140" s="57"/>
      <c r="M140" s="57"/>
      <c r="N140" s="263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J140" s="256"/>
      <c r="AP140" s="57"/>
      <c r="AR140" s="257">
        <v>118</v>
      </c>
      <c r="AS140" s="25" t="s">
        <v>274</v>
      </c>
    </row>
    <row r="141" spans="1:45" s="25" customFormat="1" x14ac:dyDescent="0.25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263"/>
      <c r="L141" s="57"/>
      <c r="M141" s="57"/>
      <c r="N141" s="263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J141" s="256"/>
      <c r="AP141" s="57"/>
      <c r="AR141" s="257">
        <v>119</v>
      </c>
      <c r="AS141" s="25" t="s">
        <v>275</v>
      </c>
    </row>
    <row r="142" spans="1:45" s="25" customFormat="1" x14ac:dyDescent="0.2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263"/>
      <c r="L142" s="57"/>
      <c r="M142" s="57"/>
      <c r="N142" s="263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J142" s="256"/>
      <c r="AP142" s="57"/>
      <c r="AR142" s="257">
        <v>120</v>
      </c>
      <c r="AS142" s="25" t="s">
        <v>276</v>
      </c>
    </row>
    <row r="143" spans="1:45" s="25" customFormat="1" x14ac:dyDescent="0.2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263"/>
      <c r="L143" s="57"/>
      <c r="M143" s="57"/>
      <c r="N143" s="263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J143" s="256"/>
      <c r="AP143" s="57"/>
      <c r="AR143" s="257">
        <v>121</v>
      </c>
      <c r="AS143" s="25" t="s">
        <v>277</v>
      </c>
    </row>
    <row r="144" spans="1:45" s="25" customFormat="1" x14ac:dyDescent="0.2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263"/>
      <c r="L144" s="57"/>
      <c r="M144" s="57"/>
      <c r="N144" s="263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J144" s="256"/>
      <c r="AP144" s="57"/>
      <c r="AR144" s="257"/>
    </row>
    <row r="145" spans="1:44" s="25" customFormat="1" x14ac:dyDescent="0.2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263"/>
      <c r="L145" s="57"/>
      <c r="M145" s="57"/>
      <c r="N145" s="263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J145" s="256"/>
      <c r="AP145" s="57"/>
      <c r="AR145" s="257"/>
    </row>
    <row r="146" spans="1:44" s="25" customFormat="1" x14ac:dyDescent="0.2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263"/>
      <c r="L146" s="57"/>
      <c r="M146" s="57"/>
      <c r="N146" s="263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J146" s="256"/>
      <c r="AP146" s="57"/>
      <c r="AR146" s="257"/>
    </row>
    <row r="147" spans="1:44" s="25" customFormat="1" x14ac:dyDescent="0.2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263"/>
      <c r="L147" s="57"/>
      <c r="M147" s="57"/>
      <c r="N147" s="263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J147" s="256"/>
      <c r="AP147" s="57"/>
      <c r="AR147" s="257"/>
    </row>
    <row r="148" spans="1:44" s="25" customFormat="1" x14ac:dyDescent="0.2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263"/>
      <c r="L148" s="57"/>
      <c r="M148" s="57"/>
      <c r="N148" s="263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J148" s="256"/>
      <c r="AP148" s="57"/>
      <c r="AR148" s="257"/>
    </row>
    <row r="149" spans="1:44" s="25" customFormat="1" x14ac:dyDescent="0.2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263"/>
      <c r="L149" s="57"/>
      <c r="M149" s="57"/>
      <c r="N149" s="263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J149" s="256"/>
      <c r="AP149" s="57"/>
      <c r="AR149" s="257"/>
    </row>
    <row r="150" spans="1:44" s="25" customFormat="1" x14ac:dyDescent="0.2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263"/>
      <c r="L150" s="57"/>
      <c r="M150" s="57"/>
      <c r="N150" s="263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J150" s="256"/>
      <c r="AP150" s="57"/>
      <c r="AR150" s="257"/>
    </row>
    <row r="151" spans="1:44" s="25" customFormat="1" x14ac:dyDescent="0.2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263"/>
      <c r="L151" s="57"/>
      <c r="M151" s="57"/>
      <c r="N151" s="263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J151" s="256"/>
      <c r="AP151" s="57"/>
      <c r="AR151" s="257"/>
    </row>
    <row r="152" spans="1:44" s="25" customFormat="1" x14ac:dyDescent="0.2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263"/>
      <c r="L152" s="57"/>
      <c r="M152" s="57"/>
      <c r="N152" s="263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J152" s="256"/>
      <c r="AP152" s="57"/>
      <c r="AR152" s="257"/>
    </row>
    <row r="153" spans="1:44" s="25" customFormat="1" x14ac:dyDescent="0.2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263"/>
      <c r="L153" s="57"/>
      <c r="M153" s="57"/>
      <c r="N153" s="263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J153" s="256"/>
      <c r="AP153" s="57"/>
      <c r="AR153" s="257"/>
    </row>
    <row r="154" spans="1:44" s="25" customFormat="1" x14ac:dyDescent="0.2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263"/>
      <c r="L154" s="57"/>
      <c r="M154" s="57"/>
      <c r="N154" s="263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J154" s="256"/>
      <c r="AP154" s="57"/>
      <c r="AR154" s="257"/>
    </row>
    <row r="155" spans="1:44" s="25" customFormat="1" x14ac:dyDescent="0.2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263"/>
      <c r="L155" s="57"/>
      <c r="M155" s="57"/>
      <c r="N155" s="263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J155" s="256"/>
      <c r="AP155" s="57"/>
      <c r="AR155" s="257"/>
    </row>
    <row r="156" spans="1:44" s="25" customFormat="1" x14ac:dyDescent="0.2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263"/>
      <c r="L156" s="57"/>
      <c r="M156" s="57"/>
      <c r="N156" s="263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J156" s="256"/>
      <c r="AP156" s="57"/>
      <c r="AR156" s="257"/>
    </row>
    <row r="157" spans="1:44" s="25" customFormat="1" x14ac:dyDescent="0.2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263"/>
      <c r="L157" s="57"/>
      <c r="M157" s="57"/>
      <c r="N157" s="263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J157" s="256"/>
      <c r="AP157" s="57"/>
      <c r="AR157" s="257"/>
    </row>
    <row r="158" spans="1:44" s="25" customFormat="1" x14ac:dyDescent="0.2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263"/>
      <c r="L158" s="57"/>
      <c r="M158" s="57"/>
      <c r="N158" s="263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J158" s="256"/>
      <c r="AP158" s="57"/>
      <c r="AR158" s="257"/>
    </row>
    <row r="159" spans="1:44" s="25" customFormat="1" x14ac:dyDescent="0.2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263"/>
      <c r="L159" s="57"/>
      <c r="M159" s="57"/>
      <c r="N159" s="263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J159" s="256"/>
      <c r="AP159" s="57"/>
      <c r="AR159" s="257"/>
    </row>
    <row r="160" spans="1:44" s="25" customFormat="1" x14ac:dyDescent="0.2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263"/>
      <c r="L160" s="57"/>
      <c r="M160" s="57"/>
      <c r="N160" s="263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J160" s="256"/>
      <c r="AP160" s="57"/>
      <c r="AR160" s="257"/>
    </row>
    <row r="161" spans="1:44" s="25" customFormat="1" x14ac:dyDescent="0.2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263"/>
      <c r="L161" s="57"/>
      <c r="M161" s="57"/>
      <c r="N161" s="263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J161" s="256"/>
      <c r="AP161" s="57"/>
      <c r="AR161" s="257"/>
    </row>
    <row r="162" spans="1:44" s="25" customFormat="1" x14ac:dyDescent="0.2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263"/>
      <c r="L162" s="57"/>
      <c r="M162" s="57"/>
      <c r="N162" s="263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J162" s="256"/>
      <c r="AP162" s="57"/>
      <c r="AR162" s="257"/>
    </row>
    <row r="163" spans="1:44" s="25" customFormat="1" x14ac:dyDescent="0.2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263"/>
      <c r="L163" s="57"/>
      <c r="M163" s="57"/>
      <c r="N163" s="263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J163" s="256"/>
      <c r="AP163" s="57"/>
      <c r="AR163" s="257"/>
    </row>
    <row r="164" spans="1:44" s="25" customFormat="1" x14ac:dyDescent="0.2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263"/>
      <c r="L164" s="57"/>
      <c r="M164" s="57"/>
      <c r="N164" s="263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J164" s="256"/>
      <c r="AP164" s="57"/>
      <c r="AR164" s="257"/>
    </row>
    <row r="165" spans="1:44" s="25" customFormat="1" x14ac:dyDescent="0.2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263"/>
      <c r="L165" s="57"/>
      <c r="M165" s="57"/>
      <c r="N165" s="263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J165" s="256"/>
      <c r="AP165" s="57"/>
      <c r="AR165" s="257"/>
    </row>
    <row r="166" spans="1:44" s="25" customFormat="1" x14ac:dyDescent="0.2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263"/>
      <c r="L166" s="57"/>
      <c r="M166" s="57"/>
      <c r="N166" s="263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J166" s="256"/>
      <c r="AP166" s="57"/>
      <c r="AR166" s="257"/>
    </row>
    <row r="167" spans="1:44" s="25" customFormat="1" x14ac:dyDescent="0.2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263"/>
      <c r="L167" s="57"/>
      <c r="M167" s="57"/>
      <c r="N167" s="263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J167" s="256"/>
      <c r="AP167" s="57"/>
      <c r="AR167" s="257"/>
    </row>
    <row r="168" spans="1:44" s="25" customFormat="1" x14ac:dyDescent="0.2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263"/>
      <c r="L168" s="57"/>
      <c r="M168" s="57"/>
      <c r="N168" s="263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J168" s="256"/>
      <c r="AP168" s="57"/>
      <c r="AR168" s="257"/>
    </row>
    <row r="169" spans="1:44" s="25" customFormat="1" x14ac:dyDescent="0.2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263"/>
      <c r="L169" s="57"/>
      <c r="M169" s="57"/>
      <c r="N169" s="263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J169" s="256"/>
      <c r="AP169" s="57"/>
      <c r="AR169" s="257"/>
    </row>
    <row r="170" spans="1:44" s="25" customFormat="1" x14ac:dyDescent="0.2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263"/>
      <c r="L170" s="57"/>
      <c r="M170" s="57"/>
      <c r="N170" s="263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J170" s="256"/>
      <c r="AP170" s="57"/>
      <c r="AR170" s="257"/>
    </row>
    <row r="171" spans="1:44" s="25" customFormat="1" x14ac:dyDescent="0.2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263"/>
      <c r="L171" s="57"/>
      <c r="M171" s="57"/>
      <c r="N171" s="263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J171" s="256"/>
      <c r="AP171" s="57"/>
      <c r="AR171" s="257"/>
    </row>
    <row r="172" spans="1:44" s="25" customFormat="1" x14ac:dyDescent="0.2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263"/>
      <c r="L172" s="57"/>
      <c r="M172" s="57"/>
      <c r="N172" s="263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J172" s="256"/>
      <c r="AP172" s="57"/>
      <c r="AR172" s="257"/>
    </row>
    <row r="173" spans="1:44" s="25" customFormat="1" x14ac:dyDescent="0.2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263"/>
      <c r="L173" s="57"/>
      <c r="M173" s="57"/>
      <c r="N173" s="263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J173" s="256"/>
      <c r="AP173" s="57"/>
      <c r="AR173" s="257"/>
    </row>
    <row r="174" spans="1:44" s="25" customFormat="1" x14ac:dyDescent="0.2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263"/>
      <c r="L174" s="57"/>
      <c r="M174" s="57"/>
      <c r="N174" s="263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J174" s="256"/>
      <c r="AP174" s="57"/>
      <c r="AR174" s="257"/>
    </row>
    <row r="175" spans="1:44" s="25" customFormat="1" x14ac:dyDescent="0.2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263"/>
      <c r="L175" s="57"/>
      <c r="M175" s="57"/>
      <c r="N175" s="263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J175" s="256"/>
      <c r="AP175" s="57"/>
      <c r="AR175" s="257"/>
    </row>
    <row r="176" spans="1:44" s="25" customFormat="1" x14ac:dyDescent="0.2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263"/>
      <c r="L176" s="57"/>
      <c r="M176" s="57"/>
      <c r="N176" s="263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J176" s="256"/>
      <c r="AP176" s="57"/>
      <c r="AR176" s="257"/>
    </row>
    <row r="177" spans="1:44" s="25" customFormat="1" x14ac:dyDescent="0.2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263"/>
      <c r="L177" s="57"/>
      <c r="M177" s="57"/>
      <c r="N177" s="263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J177" s="256"/>
      <c r="AP177" s="57"/>
      <c r="AR177" s="257"/>
    </row>
    <row r="178" spans="1:44" s="25" customFormat="1" x14ac:dyDescent="0.2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263"/>
      <c r="L178" s="57"/>
      <c r="M178" s="57"/>
      <c r="N178" s="263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J178" s="256"/>
      <c r="AP178" s="57"/>
      <c r="AR178" s="257"/>
    </row>
    <row r="179" spans="1:44" s="25" customFormat="1" x14ac:dyDescent="0.2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263"/>
      <c r="L179" s="57"/>
      <c r="M179" s="57"/>
      <c r="N179" s="263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J179" s="256"/>
      <c r="AP179" s="57"/>
      <c r="AR179" s="257"/>
    </row>
    <row r="180" spans="1:44" s="25" customFormat="1" x14ac:dyDescent="0.25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263"/>
      <c r="L180" s="57"/>
      <c r="M180" s="57"/>
      <c r="N180" s="263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J180" s="256"/>
      <c r="AP180" s="57"/>
      <c r="AR180" s="257"/>
    </row>
    <row r="181" spans="1:44" s="25" customFormat="1" x14ac:dyDescent="0.25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263"/>
      <c r="L181" s="57"/>
      <c r="M181" s="57"/>
      <c r="N181" s="263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J181" s="256"/>
      <c r="AP181" s="57"/>
      <c r="AR181" s="257"/>
    </row>
    <row r="182" spans="1:44" s="25" customFormat="1" x14ac:dyDescent="0.25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263"/>
      <c r="L182" s="57"/>
      <c r="M182" s="57"/>
      <c r="N182" s="263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J182" s="256"/>
      <c r="AP182" s="57"/>
      <c r="AR182" s="257"/>
    </row>
    <row r="183" spans="1:44" s="25" customFormat="1" x14ac:dyDescent="0.25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263"/>
      <c r="L183" s="57"/>
      <c r="M183" s="57"/>
      <c r="N183" s="263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J183" s="256"/>
      <c r="AP183" s="57"/>
      <c r="AR183" s="257"/>
    </row>
    <row r="184" spans="1:44" s="25" customFormat="1" x14ac:dyDescent="0.25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263"/>
      <c r="L184" s="57"/>
      <c r="M184" s="57"/>
      <c r="N184" s="263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J184" s="256"/>
      <c r="AP184" s="57"/>
      <c r="AR184" s="257"/>
    </row>
    <row r="185" spans="1:44" s="25" customFormat="1" x14ac:dyDescent="0.2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263"/>
      <c r="L185" s="57"/>
      <c r="M185" s="57"/>
      <c r="N185" s="263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J185" s="256"/>
      <c r="AP185" s="57"/>
      <c r="AR185" s="257"/>
    </row>
    <row r="186" spans="1:44" s="25" customFormat="1" x14ac:dyDescent="0.25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263"/>
      <c r="L186" s="57"/>
      <c r="M186" s="57"/>
      <c r="N186" s="263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J186" s="256"/>
      <c r="AP186" s="57"/>
      <c r="AR186" s="257"/>
    </row>
    <row r="187" spans="1:44" s="25" customFormat="1" x14ac:dyDescent="0.25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263"/>
      <c r="L187" s="57"/>
      <c r="M187" s="57"/>
      <c r="N187" s="263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J187" s="256"/>
      <c r="AP187" s="57"/>
      <c r="AR187" s="257"/>
    </row>
    <row r="188" spans="1:44" s="25" customFormat="1" x14ac:dyDescent="0.25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263"/>
      <c r="L188" s="57"/>
      <c r="M188" s="57"/>
      <c r="N188" s="263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J188" s="256"/>
      <c r="AP188" s="57"/>
      <c r="AR188" s="257"/>
    </row>
    <row r="189" spans="1:44" s="25" customFormat="1" x14ac:dyDescent="0.25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263"/>
      <c r="L189" s="57"/>
      <c r="M189" s="57"/>
      <c r="N189" s="263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J189" s="256"/>
      <c r="AP189" s="57"/>
      <c r="AR189" s="257"/>
    </row>
    <row r="190" spans="1:44" s="25" customFormat="1" x14ac:dyDescent="0.25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263"/>
      <c r="L190" s="57"/>
      <c r="M190" s="57"/>
      <c r="N190" s="263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J190" s="256"/>
      <c r="AP190" s="57"/>
      <c r="AR190" s="257"/>
    </row>
    <row r="191" spans="1:44" s="25" customFormat="1" x14ac:dyDescent="0.25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263"/>
      <c r="L191" s="57"/>
      <c r="M191" s="57"/>
      <c r="N191" s="263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J191" s="256"/>
      <c r="AP191" s="57"/>
      <c r="AR191" s="257"/>
    </row>
    <row r="192" spans="1:44" s="25" customFormat="1" x14ac:dyDescent="0.25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263"/>
      <c r="L192" s="57"/>
      <c r="M192" s="57"/>
      <c r="N192" s="263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J192" s="256"/>
      <c r="AP192" s="57"/>
      <c r="AR192" s="257"/>
    </row>
    <row r="193" spans="1:44" s="25" customFormat="1" x14ac:dyDescent="0.25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263"/>
      <c r="L193" s="57"/>
      <c r="M193" s="57"/>
      <c r="N193" s="263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J193" s="256"/>
      <c r="AP193" s="57"/>
      <c r="AR193" s="257"/>
    </row>
    <row r="194" spans="1:44" s="25" customFormat="1" x14ac:dyDescent="0.25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263"/>
      <c r="L194" s="57"/>
      <c r="M194" s="57"/>
      <c r="N194" s="263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J194" s="256"/>
      <c r="AP194" s="57"/>
      <c r="AR194" s="257"/>
    </row>
    <row r="195" spans="1:44" s="25" customFormat="1" x14ac:dyDescent="0.2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263"/>
      <c r="L195" s="57"/>
      <c r="M195" s="57"/>
      <c r="N195" s="263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J195" s="256"/>
      <c r="AP195" s="57"/>
      <c r="AR195" s="257"/>
    </row>
    <row r="196" spans="1:44" s="25" customFormat="1" x14ac:dyDescent="0.25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263"/>
      <c r="L196" s="57"/>
      <c r="M196" s="57"/>
      <c r="N196" s="263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J196" s="256"/>
      <c r="AP196" s="57"/>
      <c r="AR196" s="257"/>
    </row>
    <row r="197" spans="1:44" s="25" customFormat="1" x14ac:dyDescent="0.25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263"/>
      <c r="L197" s="57"/>
      <c r="M197" s="57"/>
      <c r="N197" s="263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J197" s="256"/>
      <c r="AP197" s="57"/>
      <c r="AR197" s="257"/>
    </row>
    <row r="198" spans="1:44" s="25" customFormat="1" x14ac:dyDescent="0.25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263"/>
      <c r="L198" s="57"/>
      <c r="M198" s="57"/>
      <c r="N198" s="263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J198" s="256"/>
      <c r="AP198" s="57"/>
      <c r="AR198" s="257"/>
    </row>
    <row r="199" spans="1:44" s="25" customFormat="1" x14ac:dyDescent="0.25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263"/>
      <c r="L199" s="57"/>
      <c r="M199" s="57"/>
      <c r="N199" s="263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J199" s="256"/>
      <c r="AP199" s="57"/>
      <c r="AR199" s="257"/>
    </row>
    <row r="200" spans="1:44" s="25" customFormat="1" x14ac:dyDescent="0.25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263"/>
      <c r="L200" s="57"/>
      <c r="M200" s="57"/>
      <c r="N200" s="263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J200" s="256"/>
      <c r="AP200" s="57"/>
      <c r="AR200" s="257"/>
    </row>
    <row r="201" spans="1:44" s="25" customFormat="1" x14ac:dyDescent="0.25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263"/>
      <c r="L201" s="57"/>
      <c r="M201" s="57"/>
      <c r="N201" s="263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J201" s="256"/>
      <c r="AP201" s="57"/>
      <c r="AR201" s="257"/>
    </row>
    <row r="202" spans="1:44" s="25" customFormat="1" x14ac:dyDescent="0.25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263"/>
      <c r="L202" s="57"/>
      <c r="M202" s="57"/>
      <c r="N202" s="263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J202" s="256"/>
      <c r="AP202" s="57"/>
      <c r="AR202" s="257"/>
    </row>
    <row r="203" spans="1:44" s="25" customFormat="1" x14ac:dyDescent="0.25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263"/>
      <c r="L203" s="57"/>
      <c r="M203" s="57"/>
      <c r="N203" s="263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J203" s="256"/>
      <c r="AP203" s="57"/>
      <c r="AR203" s="257"/>
    </row>
    <row r="204" spans="1:44" s="25" customFormat="1" x14ac:dyDescent="0.25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263"/>
      <c r="L204" s="57"/>
      <c r="M204" s="57"/>
      <c r="N204" s="263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J204" s="256"/>
      <c r="AP204" s="57"/>
      <c r="AR204" s="257"/>
    </row>
    <row r="205" spans="1:44" s="25" customFormat="1" x14ac:dyDescent="0.2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263"/>
      <c r="L205" s="57"/>
      <c r="M205" s="57"/>
      <c r="N205" s="263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J205" s="256"/>
      <c r="AP205" s="57"/>
      <c r="AR205" s="257"/>
    </row>
    <row r="206" spans="1:44" s="25" customFormat="1" x14ac:dyDescent="0.25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263"/>
      <c r="L206" s="57"/>
      <c r="M206" s="57"/>
      <c r="N206" s="263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J206" s="256"/>
      <c r="AP206" s="57"/>
      <c r="AR206" s="257"/>
    </row>
    <row r="207" spans="1:44" s="25" customFormat="1" x14ac:dyDescent="0.25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263"/>
      <c r="L207" s="57"/>
      <c r="M207" s="57"/>
      <c r="N207" s="263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J207" s="256"/>
      <c r="AP207" s="57"/>
      <c r="AR207" s="257"/>
    </row>
    <row r="208" spans="1:44" s="25" customFormat="1" x14ac:dyDescent="0.25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263"/>
      <c r="L208" s="57"/>
      <c r="M208" s="57"/>
      <c r="N208" s="263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J208" s="256"/>
      <c r="AP208" s="57"/>
      <c r="AR208" s="257"/>
    </row>
    <row r="209" spans="1:44" s="25" customFormat="1" x14ac:dyDescent="0.25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263"/>
      <c r="L209" s="57"/>
      <c r="M209" s="57"/>
      <c r="N209" s="263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J209" s="256"/>
      <c r="AP209" s="57"/>
      <c r="AR209" s="257"/>
    </row>
    <row r="210" spans="1:44" s="25" customFormat="1" x14ac:dyDescent="0.25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263"/>
      <c r="L210" s="57"/>
      <c r="M210" s="57"/>
      <c r="N210" s="263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J210" s="256"/>
      <c r="AP210" s="57"/>
      <c r="AR210" s="257"/>
    </row>
    <row r="211" spans="1:44" s="25" customFormat="1" x14ac:dyDescent="0.25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263"/>
      <c r="L211" s="57"/>
      <c r="M211" s="57"/>
      <c r="N211" s="263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J211" s="256"/>
      <c r="AP211" s="57"/>
      <c r="AR211" s="257"/>
    </row>
    <row r="212" spans="1:44" s="25" customFormat="1" x14ac:dyDescent="0.25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263"/>
      <c r="L212" s="57"/>
      <c r="M212" s="57"/>
      <c r="N212" s="263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J212" s="256"/>
      <c r="AP212" s="57"/>
      <c r="AR212" s="257"/>
    </row>
    <row r="213" spans="1:44" s="25" customFormat="1" x14ac:dyDescent="0.25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263"/>
      <c r="L213" s="57"/>
      <c r="M213" s="57"/>
      <c r="N213" s="263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J213" s="256"/>
      <c r="AP213" s="57"/>
      <c r="AR213" s="257"/>
    </row>
    <row r="214" spans="1:44" s="25" customFormat="1" x14ac:dyDescent="0.25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263"/>
      <c r="L214" s="57"/>
      <c r="M214" s="57"/>
      <c r="N214" s="263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J214" s="256"/>
      <c r="AP214" s="57"/>
      <c r="AR214" s="257"/>
    </row>
    <row r="215" spans="1:44" s="25" customFormat="1" x14ac:dyDescent="0.2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263"/>
      <c r="L215" s="57"/>
      <c r="M215" s="57"/>
      <c r="N215" s="263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J215" s="256"/>
      <c r="AP215" s="57"/>
      <c r="AR215" s="257"/>
    </row>
    <row r="216" spans="1:44" s="25" customFormat="1" x14ac:dyDescent="0.25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263"/>
      <c r="L216" s="57"/>
      <c r="M216" s="57"/>
      <c r="N216" s="263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J216" s="256"/>
      <c r="AP216" s="57"/>
      <c r="AR216" s="257"/>
    </row>
    <row r="217" spans="1:44" s="25" customFormat="1" x14ac:dyDescent="0.25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263"/>
      <c r="L217" s="57"/>
      <c r="M217" s="57"/>
      <c r="N217" s="263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J217" s="256"/>
      <c r="AP217" s="57"/>
      <c r="AR217" s="257"/>
    </row>
    <row r="218" spans="1:44" s="25" customFormat="1" x14ac:dyDescent="0.25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263"/>
      <c r="L218" s="57"/>
      <c r="M218" s="57"/>
      <c r="N218" s="263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J218" s="256"/>
      <c r="AP218" s="57"/>
      <c r="AR218" s="257"/>
    </row>
    <row r="219" spans="1:44" s="25" customFormat="1" x14ac:dyDescent="0.25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263"/>
      <c r="L219" s="57"/>
      <c r="M219" s="57"/>
      <c r="N219" s="263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J219" s="256"/>
      <c r="AP219" s="57"/>
      <c r="AR219" s="257"/>
    </row>
    <row r="220" spans="1:44" s="25" customFormat="1" x14ac:dyDescent="0.25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263"/>
      <c r="L220" s="57"/>
      <c r="M220" s="57"/>
      <c r="N220" s="263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J220" s="256"/>
      <c r="AP220" s="57"/>
      <c r="AR220" s="257"/>
    </row>
    <row r="221" spans="1:44" s="25" customFormat="1" x14ac:dyDescent="0.25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263"/>
      <c r="L221" s="57"/>
      <c r="M221" s="57"/>
      <c r="N221" s="263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J221" s="256"/>
      <c r="AP221" s="57"/>
      <c r="AR221" s="257"/>
    </row>
    <row r="222" spans="1:44" s="25" customFormat="1" x14ac:dyDescent="0.25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263"/>
      <c r="L222" s="57"/>
      <c r="M222" s="57"/>
      <c r="N222" s="263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J222" s="256"/>
      <c r="AP222" s="57"/>
      <c r="AR222" s="257"/>
    </row>
    <row r="223" spans="1:44" s="25" customFormat="1" x14ac:dyDescent="0.25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263"/>
      <c r="L223" s="57"/>
      <c r="M223" s="57"/>
      <c r="N223" s="263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J223" s="256"/>
      <c r="AP223" s="57"/>
      <c r="AR223" s="257"/>
    </row>
    <row r="224" spans="1:44" s="25" customFormat="1" x14ac:dyDescent="0.25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263"/>
      <c r="L224" s="57"/>
      <c r="M224" s="57"/>
      <c r="N224" s="263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J224" s="256"/>
      <c r="AP224" s="57"/>
      <c r="AR224" s="257"/>
    </row>
    <row r="225" spans="1:44" s="25" customFormat="1" x14ac:dyDescent="0.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263"/>
      <c r="L225" s="57"/>
      <c r="M225" s="57"/>
      <c r="N225" s="263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J225" s="256"/>
      <c r="AP225" s="57"/>
      <c r="AR225" s="257"/>
    </row>
    <row r="226" spans="1:44" s="25" customFormat="1" x14ac:dyDescent="0.25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263"/>
      <c r="L226" s="57"/>
      <c r="M226" s="57"/>
      <c r="N226" s="263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J226" s="256"/>
      <c r="AP226" s="57"/>
      <c r="AR226" s="257"/>
    </row>
    <row r="227" spans="1:44" s="25" customFormat="1" x14ac:dyDescent="0.25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263"/>
      <c r="L227" s="57"/>
      <c r="M227" s="57"/>
      <c r="N227" s="263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J227" s="256"/>
      <c r="AP227" s="57"/>
      <c r="AR227" s="257"/>
    </row>
    <row r="228" spans="1:44" s="25" customFormat="1" x14ac:dyDescent="0.25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263"/>
      <c r="L228" s="57"/>
      <c r="M228" s="57"/>
      <c r="N228" s="263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J228" s="256"/>
      <c r="AP228" s="57"/>
      <c r="AR228" s="257"/>
    </row>
    <row r="229" spans="1:44" s="25" customFormat="1" x14ac:dyDescent="0.25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263"/>
      <c r="L229" s="57"/>
      <c r="M229" s="57"/>
      <c r="N229" s="263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J229" s="256"/>
      <c r="AP229" s="57"/>
      <c r="AR229" s="257"/>
    </row>
    <row r="230" spans="1:44" s="25" customFormat="1" x14ac:dyDescent="0.25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263"/>
      <c r="L230" s="57"/>
      <c r="M230" s="57"/>
      <c r="N230" s="263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J230" s="256"/>
      <c r="AP230" s="57"/>
      <c r="AR230" s="257"/>
    </row>
    <row r="231" spans="1:44" s="25" customFormat="1" x14ac:dyDescent="0.25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263"/>
      <c r="L231" s="57"/>
      <c r="M231" s="57"/>
      <c r="N231" s="263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J231" s="256"/>
      <c r="AP231" s="57"/>
      <c r="AR231" s="257"/>
    </row>
    <row r="232" spans="1:44" s="25" customFormat="1" x14ac:dyDescent="0.25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263"/>
      <c r="L232" s="57"/>
      <c r="M232" s="57"/>
      <c r="N232" s="263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J232" s="256"/>
      <c r="AP232" s="57"/>
      <c r="AR232" s="257"/>
    </row>
    <row r="233" spans="1:44" s="25" customFormat="1" x14ac:dyDescent="0.25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263"/>
      <c r="L233" s="57"/>
      <c r="M233" s="57"/>
      <c r="N233" s="263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J233" s="256"/>
      <c r="AP233" s="57"/>
      <c r="AR233" s="257"/>
    </row>
    <row r="234" spans="1:44" s="25" customFormat="1" x14ac:dyDescent="0.25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263"/>
      <c r="L234" s="57"/>
      <c r="M234" s="57"/>
      <c r="N234" s="263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J234" s="256"/>
      <c r="AP234" s="57"/>
      <c r="AR234" s="257"/>
    </row>
    <row r="235" spans="1:44" s="25" customFormat="1" x14ac:dyDescent="0.2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263"/>
      <c r="L235" s="57"/>
      <c r="M235" s="57"/>
      <c r="N235" s="263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J235" s="256"/>
      <c r="AP235" s="57"/>
      <c r="AR235" s="257"/>
    </row>
    <row r="236" spans="1:44" s="25" customFormat="1" x14ac:dyDescent="0.25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263"/>
      <c r="L236" s="57"/>
      <c r="M236" s="57"/>
      <c r="N236" s="263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J236" s="256"/>
      <c r="AP236" s="57"/>
      <c r="AR236" s="257"/>
    </row>
    <row r="237" spans="1:44" s="25" customFormat="1" x14ac:dyDescent="0.25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263"/>
      <c r="L237" s="57"/>
      <c r="M237" s="57"/>
      <c r="N237" s="263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J237" s="256"/>
      <c r="AP237" s="57"/>
      <c r="AR237" s="257"/>
    </row>
    <row r="238" spans="1:44" s="25" customFormat="1" x14ac:dyDescent="0.25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263"/>
      <c r="L238" s="57"/>
      <c r="M238" s="57"/>
      <c r="N238" s="263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J238" s="256"/>
      <c r="AP238" s="57"/>
      <c r="AR238" s="257"/>
    </row>
    <row r="239" spans="1:44" s="25" customFormat="1" x14ac:dyDescent="0.25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263"/>
      <c r="L239" s="57"/>
      <c r="M239" s="57"/>
      <c r="N239" s="263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J239" s="256"/>
      <c r="AP239" s="57"/>
      <c r="AR239" s="257"/>
    </row>
    <row r="240" spans="1:44" s="25" customFormat="1" x14ac:dyDescent="0.25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263"/>
      <c r="L240" s="57"/>
      <c r="M240" s="57"/>
      <c r="N240" s="263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J240" s="256"/>
      <c r="AP240" s="57"/>
      <c r="AR240" s="257"/>
    </row>
    <row r="241" spans="1:44" s="25" customFormat="1" x14ac:dyDescent="0.25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263"/>
      <c r="L241" s="57"/>
      <c r="M241" s="57"/>
      <c r="N241" s="263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J241" s="256"/>
      <c r="AP241" s="57"/>
      <c r="AR241" s="257"/>
    </row>
    <row r="242" spans="1:44" s="25" customFormat="1" x14ac:dyDescent="0.25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263"/>
      <c r="L242" s="57"/>
      <c r="M242" s="57"/>
      <c r="N242" s="263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J242" s="256"/>
      <c r="AP242" s="57"/>
      <c r="AR242" s="257"/>
    </row>
    <row r="243" spans="1:44" s="25" customFormat="1" x14ac:dyDescent="0.25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263"/>
      <c r="L243" s="57"/>
      <c r="M243" s="57"/>
      <c r="N243" s="263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J243" s="256"/>
      <c r="AP243" s="57"/>
      <c r="AR243" s="257"/>
    </row>
    <row r="244" spans="1:44" s="25" customFormat="1" x14ac:dyDescent="0.25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263"/>
      <c r="L244" s="57"/>
      <c r="M244" s="57"/>
      <c r="N244" s="263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J244" s="256"/>
      <c r="AP244" s="57"/>
      <c r="AR244" s="257"/>
    </row>
    <row r="245" spans="1:44" s="25" customFormat="1" x14ac:dyDescent="0.2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263"/>
      <c r="L245" s="57"/>
      <c r="M245" s="57"/>
      <c r="N245" s="263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J245" s="256"/>
      <c r="AP245" s="57"/>
      <c r="AR245" s="257"/>
    </row>
    <row r="246" spans="1:44" s="25" customFormat="1" x14ac:dyDescent="0.25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263"/>
      <c r="L246" s="57"/>
      <c r="M246" s="57"/>
      <c r="N246" s="263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J246" s="256"/>
      <c r="AP246" s="57"/>
      <c r="AR246" s="257"/>
    </row>
    <row r="247" spans="1:44" s="25" customFormat="1" x14ac:dyDescent="0.25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263"/>
      <c r="L247" s="57"/>
      <c r="M247" s="57"/>
      <c r="N247" s="263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J247" s="256"/>
      <c r="AP247" s="57"/>
      <c r="AR247" s="257"/>
    </row>
    <row r="248" spans="1:44" s="25" customFormat="1" x14ac:dyDescent="0.25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263"/>
      <c r="L248" s="57"/>
      <c r="M248" s="57"/>
      <c r="N248" s="263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J248" s="256"/>
      <c r="AP248" s="57"/>
      <c r="AR248" s="257"/>
    </row>
    <row r="249" spans="1:44" s="25" customFormat="1" x14ac:dyDescent="0.25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263"/>
      <c r="L249" s="57"/>
      <c r="M249" s="57"/>
      <c r="N249" s="263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J249" s="256"/>
      <c r="AP249" s="57"/>
      <c r="AR249" s="257"/>
    </row>
    <row r="250" spans="1:44" s="25" customFormat="1" x14ac:dyDescent="0.25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263"/>
      <c r="L250" s="57"/>
      <c r="M250" s="57"/>
      <c r="N250" s="263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J250" s="256"/>
      <c r="AP250" s="57"/>
      <c r="AR250" s="257"/>
    </row>
    <row r="251" spans="1:44" s="25" customFormat="1" x14ac:dyDescent="0.25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263"/>
      <c r="L251" s="57"/>
      <c r="M251" s="57"/>
      <c r="N251" s="263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J251" s="256"/>
      <c r="AP251" s="57"/>
      <c r="AR251" s="257"/>
    </row>
    <row r="252" spans="1:44" s="25" customFormat="1" x14ac:dyDescent="0.25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263"/>
      <c r="L252" s="57"/>
      <c r="M252" s="57"/>
      <c r="N252" s="263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J252" s="256"/>
      <c r="AP252" s="57"/>
      <c r="AR252" s="257"/>
    </row>
    <row r="253" spans="1:44" s="25" customFormat="1" x14ac:dyDescent="0.25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263"/>
      <c r="L253" s="57"/>
      <c r="M253" s="57"/>
      <c r="N253" s="263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J253" s="256"/>
      <c r="AP253" s="57"/>
      <c r="AR253" s="257"/>
    </row>
    <row r="254" spans="1:44" s="25" customFormat="1" x14ac:dyDescent="0.25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263"/>
      <c r="L254" s="57"/>
      <c r="M254" s="57"/>
      <c r="N254" s="263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J254" s="256"/>
      <c r="AP254" s="57"/>
      <c r="AR254" s="257"/>
    </row>
    <row r="255" spans="1:44" s="25" customFormat="1" x14ac:dyDescent="0.2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263"/>
      <c r="L255" s="57"/>
      <c r="M255" s="57"/>
      <c r="N255" s="263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J255" s="256"/>
      <c r="AP255" s="57"/>
      <c r="AR255" s="257"/>
    </row>
    <row r="256" spans="1:44" s="25" customFormat="1" x14ac:dyDescent="0.25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263"/>
      <c r="L256" s="57"/>
      <c r="M256" s="57"/>
      <c r="N256" s="263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J256" s="256"/>
      <c r="AP256" s="57"/>
      <c r="AR256" s="257"/>
    </row>
    <row r="257" spans="1:44" s="25" customFormat="1" x14ac:dyDescent="0.25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263"/>
      <c r="L257" s="57"/>
      <c r="M257" s="57"/>
      <c r="N257" s="263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J257" s="256"/>
      <c r="AP257" s="57"/>
      <c r="AR257" s="257"/>
    </row>
    <row r="258" spans="1:44" s="25" customFormat="1" x14ac:dyDescent="0.25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263"/>
      <c r="L258" s="57"/>
      <c r="M258" s="57"/>
      <c r="N258" s="263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J258" s="256"/>
      <c r="AP258" s="57"/>
      <c r="AR258" s="257"/>
    </row>
    <row r="259" spans="1:44" s="25" customFormat="1" x14ac:dyDescent="0.25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263"/>
      <c r="L259" s="57"/>
      <c r="M259" s="57"/>
      <c r="N259" s="263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J259" s="256"/>
      <c r="AP259" s="57"/>
      <c r="AR259" s="257"/>
    </row>
    <row r="260" spans="1:44" s="25" customFormat="1" x14ac:dyDescent="0.25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263"/>
      <c r="L260" s="57"/>
      <c r="M260" s="57"/>
      <c r="N260" s="263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J260" s="256"/>
      <c r="AP260" s="57"/>
      <c r="AR260" s="257"/>
    </row>
    <row r="261" spans="1:44" s="25" customFormat="1" x14ac:dyDescent="0.25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263"/>
      <c r="L261" s="57"/>
      <c r="M261" s="57"/>
      <c r="N261" s="263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J261" s="256"/>
      <c r="AP261" s="57"/>
      <c r="AR261" s="257"/>
    </row>
    <row r="262" spans="1:44" s="25" customFormat="1" x14ac:dyDescent="0.25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263"/>
      <c r="L262" s="57"/>
      <c r="M262" s="57"/>
      <c r="N262" s="263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J262" s="256"/>
      <c r="AP262" s="57"/>
      <c r="AR262" s="257"/>
    </row>
    <row r="263" spans="1:44" s="25" customFormat="1" x14ac:dyDescent="0.25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263"/>
      <c r="L263" s="57"/>
      <c r="M263" s="57"/>
      <c r="N263" s="263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J263" s="256"/>
      <c r="AP263" s="57"/>
      <c r="AR263" s="257"/>
    </row>
    <row r="264" spans="1:44" s="25" customFormat="1" x14ac:dyDescent="0.25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263"/>
      <c r="L264" s="57"/>
      <c r="M264" s="57"/>
      <c r="N264" s="263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J264" s="256"/>
      <c r="AP264" s="57"/>
      <c r="AR264" s="257"/>
    </row>
    <row r="265" spans="1:44" s="25" customFormat="1" x14ac:dyDescent="0.2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263"/>
      <c r="L265" s="57"/>
      <c r="M265" s="57"/>
      <c r="N265" s="263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J265" s="256"/>
      <c r="AP265" s="57"/>
      <c r="AR265" s="257"/>
    </row>
    <row r="266" spans="1:44" s="25" customFormat="1" x14ac:dyDescent="0.25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263"/>
      <c r="L266" s="57"/>
      <c r="M266" s="57"/>
      <c r="N266" s="263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J266" s="256"/>
      <c r="AP266" s="57"/>
      <c r="AR266" s="257"/>
    </row>
    <row r="267" spans="1:44" s="25" customFormat="1" x14ac:dyDescent="0.25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263"/>
      <c r="L267" s="57"/>
      <c r="M267" s="57"/>
      <c r="N267" s="263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J267" s="256"/>
      <c r="AP267" s="57"/>
      <c r="AR267" s="257"/>
    </row>
    <row r="268" spans="1:44" s="25" customFormat="1" x14ac:dyDescent="0.25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263"/>
      <c r="L268" s="57"/>
      <c r="M268" s="57"/>
      <c r="N268" s="263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J268" s="256"/>
      <c r="AP268" s="57"/>
      <c r="AR268" s="257"/>
    </row>
    <row r="269" spans="1:44" s="25" customFormat="1" x14ac:dyDescent="0.25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263"/>
      <c r="L269" s="57"/>
      <c r="M269" s="57"/>
      <c r="N269" s="263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J269" s="256"/>
      <c r="AP269" s="57"/>
      <c r="AR269" s="257"/>
    </row>
    <row r="270" spans="1:44" s="25" customFormat="1" x14ac:dyDescent="0.25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263"/>
      <c r="L270" s="57"/>
      <c r="M270" s="57"/>
      <c r="N270" s="263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J270" s="256"/>
      <c r="AP270" s="57"/>
      <c r="AR270" s="257"/>
    </row>
    <row r="271" spans="1:44" s="25" customFormat="1" x14ac:dyDescent="0.25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263"/>
      <c r="L271" s="57"/>
      <c r="M271" s="57"/>
      <c r="N271" s="263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J271" s="256"/>
      <c r="AP271" s="57"/>
      <c r="AR271" s="257"/>
    </row>
    <row r="272" spans="1:44" s="25" customFormat="1" x14ac:dyDescent="0.25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263"/>
      <c r="L272" s="57"/>
      <c r="M272" s="57"/>
      <c r="N272" s="263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J272" s="256"/>
      <c r="AP272" s="57"/>
      <c r="AR272" s="257"/>
    </row>
    <row r="273" spans="1:44" s="25" customFormat="1" x14ac:dyDescent="0.25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263"/>
      <c r="L273" s="57"/>
      <c r="M273" s="57"/>
      <c r="N273" s="263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J273" s="256"/>
      <c r="AP273" s="57"/>
      <c r="AR273" s="257"/>
    </row>
    <row r="274" spans="1:44" s="25" customFormat="1" x14ac:dyDescent="0.25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263"/>
      <c r="L274" s="57"/>
      <c r="M274" s="57"/>
      <c r="N274" s="263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J274" s="256"/>
      <c r="AP274" s="57"/>
      <c r="AR274" s="257"/>
    </row>
    <row r="275" spans="1:44" s="25" customFormat="1" x14ac:dyDescent="0.2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263"/>
      <c r="L275" s="57"/>
      <c r="M275" s="57"/>
      <c r="N275" s="263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J275" s="256"/>
      <c r="AP275" s="57"/>
      <c r="AR275" s="257"/>
    </row>
    <row r="276" spans="1:44" s="25" customFormat="1" x14ac:dyDescent="0.25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263"/>
      <c r="L276" s="57"/>
      <c r="M276" s="57"/>
      <c r="N276" s="263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J276" s="256"/>
      <c r="AP276" s="57"/>
      <c r="AR276" s="257"/>
    </row>
    <row r="277" spans="1:44" s="25" customFormat="1" x14ac:dyDescent="0.25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263"/>
      <c r="L277" s="57"/>
      <c r="M277" s="57"/>
      <c r="N277" s="263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J277" s="256"/>
      <c r="AP277" s="57"/>
      <c r="AR277" s="257"/>
    </row>
    <row r="278" spans="1:44" s="25" customFormat="1" x14ac:dyDescent="0.25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263"/>
      <c r="L278" s="57"/>
      <c r="M278" s="57"/>
      <c r="N278" s="263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J278" s="256"/>
      <c r="AP278" s="57"/>
      <c r="AR278" s="257"/>
    </row>
    <row r="279" spans="1:44" s="25" customFormat="1" x14ac:dyDescent="0.25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263"/>
      <c r="L279" s="57"/>
      <c r="M279" s="57"/>
      <c r="N279" s="263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J279" s="256"/>
      <c r="AP279" s="57"/>
      <c r="AR279" s="257"/>
    </row>
    <row r="280" spans="1:44" s="25" customFormat="1" x14ac:dyDescent="0.25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263"/>
      <c r="L280" s="57"/>
      <c r="M280" s="57"/>
      <c r="N280" s="263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J280" s="256"/>
      <c r="AP280" s="57"/>
      <c r="AR280" s="257"/>
    </row>
    <row r="281" spans="1:44" s="25" customFormat="1" x14ac:dyDescent="0.25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263"/>
      <c r="L281" s="57"/>
      <c r="M281" s="57"/>
      <c r="N281" s="263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J281" s="256"/>
      <c r="AP281" s="57"/>
      <c r="AR281" s="257"/>
    </row>
    <row r="282" spans="1:44" s="25" customFormat="1" x14ac:dyDescent="0.25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263"/>
      <c r="L282" s="57"/>
      <c r="M282" s="57"/>
      <c r="N282" s="263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J282" s="256"/>
      <c r="AP282" s="57"/>
      <c r="AR282" s="257"/>
    </row>
    <row r="283" spans="1:44" s="25" customFormat="1" x14ac:dyDescent="0.25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263"/>
      <c r="L283" s="57"/>
      <c r="M283" s="57"/>
      <c r="N283" s="263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J283" s="256"/>
      <c r="AP283" s="57"/>
      <c r="AR283" s="257"/>
    </row>
    <row r="284" spans="1:44" s="25" customFormat="1" x14ac:dyDescent="0.25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263"/>
      <c r="L284" s="57"/>
      <c r="M284" s="57"/>
      <c r="N284" s="263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J284" s="256"/>
      <c r="AP284" s="57"/>
      <c r="AR284" s="257"/>
    </row>
    <row r="285" spans="1:44" s="25" customFormat="1" x14ac:dyDescent="0.2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263"/>
      <c r="L285" s="57"/>
      <c r="M285" s="57"/>
      <c r="N285" s="263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J285" s="256"/>
      <c r="AP285" s="57"/>
      <c r="AR285" s="257"/>
    </row>
    <row r="286" spans="1:44" s="25" customFormat="1" x14ac:dyDescent="0.25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263"/>
      <c r="L286" s="57"/>
      <c r="M286" s="57"/>
      <c r="N286" s="263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J286" s="256"/>
      <c r="AP286" s="57"/>
      <c r="AR286" s="257"/>
    </row>
    <row r="287" spans="1:44" s="25" customFormat="1" x14ac:dyDescent="0.25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263"/>
      <c r="L287" s="57"/>
      <c r="M287" s="57"/>
      <c r="N287" s="263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J287" s="256"/>
      <c r="AP287" s="57"/>
      <c r="AR287" s="257"/>
    </row>
    <row r="288" spans="1:44" s="25" customFormat="1" x14ac:dyDescent="0.25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263"/>
      <c r="L288" s="57"/>
      <c r="M288" s="57"/>
      <c r="N288" s="263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J288" s="256"/>
      <c r="AP288" s="57"/>
      <c r="AR288" s="257"/>
    </row>
    <row r="289" spans="1:44" s="25" customFormat="1" x14ac:dyDescent="0.25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263"/>
      <c r="L289" s="57"/>
      <c r="M289" s="57"/>
      <c r="N289" s="263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J289" s="256"/>
      <c r="AP289" s="57"/>
      <c r="AR289" s="257"/>
    </row>
    <row r="290" spans="1:44" s="25" customFormat="1" x14ac:dyDescent="0.25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263"/>
      <c r="L290" s="57"/>
      <c r="M290" s="57"/>
      <c r="N290" s="263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J290" s="256"/>
      <c r="AP290" s="57"/>
      <c r="AR290" s="257"/>
    </row>
    <row r="291" spans="1:44" s="25" customFormat="1" x14ac:dyDescent="0.25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263"/>
      <c r="L291" s="57"/>
      <c r="M291" s="57"/>
      <c r="N291" s="263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J291" s="256"/>
      <c r="AP291" s="57"/>
      <c r="AR291" s="257"/>
    </row>
    <row r="292" spans="1:44" s="25" customFormat="1" x14ac:dyDescent="0.25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263"/>
      <c r="L292" s="57"/>
      <c r="M292" s="57"/>
      <c r="N292" s="263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J292" s="256"/>
      <c r="AP292" s="57"/>
      <c r="AR292" s="257"/>
    </row>
    <row r="293" spans="1:44" s="25" customFormat="1" x14ac:dyDescent="0.25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263"/>
      <c r="L293" s="57"/>
      <c r="M293" s="57"/>
      <c r="N293" s="263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J293" s="256"/>
      <c r="AP293" s="57"/>
      <c r="AR293" s="257"/>
    </row>
    <row r="294" spans="1:44" s="25" customFormat="1" x14ac:dyDescent="0.25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263"/>
      <c r="L294" s="57"/>
      <c r="M294" s="57"/>
      <c r="N294" s="263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J294" s="256"/>
      <c r="AP294" s="57"/>
      <c r="AR294" s="257"/>
    </row>
    <row r="295" spans="1:44" s="25" customFormat="1" x14ac:dyDescent="0.2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263"/>
      <c r="L295" s="57"/>
      <c r="M295" s="57"/>
      <c r="N295" s="263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J295" s="256"/>
      <c r="AP295" s="57"/>
      <c r="AR295" s="257"/>
    </row>
    <row r="296" spans="1:44" s="25" customFormat="1" x14ac:dyDescent="0.25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263"/>
      <c r="L296" s="57"/>
      <c r="M296" s="57"/>
      <c r="N296" s="263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J296" s="256"/>
      <c r="AP296" s="57"/>
      <c r="AR296" s="257"/>
    </row>
    <row r="297" spans="1:44" s="25" customFormat="1" x14ac:dyDescent="0.25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263"/>
      <c r="L297" s="57"/>
      <c r="M297" s="57"/>
      <c r="N297" s="263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J297" s="256"/>
      <c r="AP297" s="57"/>
      <c r="AR297" s="257"/>
    </row>
    <row r="298" spans="1:44" s="25" customFormat="1" x14ac:dyDescent="0.25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263"/>
      <c r="L298" s="57"/>
      <c r="M298" s="57"/>
      <c r="N298" s="263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J298" s="256"/>
      <c r="AP298" s="57"/>
      <c r="AR298" s="257"/>
    </row>
    <row r="299" spans="1:44" s="25" customFormat="1" x14ac:dyDescent="0.25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263"/>
      <c r="L299" s="57"/>
      <c r="M299" s="57"/>
      <c r="N299" s="263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J299" s="256"/>
      <c r="AP299" s="57"/>
      <c r="AR299" s="257"/>
    </row>
    <row r="300" spans="1:44" s="25" customFormat="1" x14ac:dyDescent="0.25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263"/>
      <c r="L300" s="57"/>
      <c r="M300" s="57"/>
      <c r="N300" s="263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J300" s="256"/>
      <c r="AP300" s="57"/>
      <c r="AR300" s="257"/>
    </row>
    <row r="301" spans="1:44" s="25" customFormat="1" x14ac:dyDescent="0.25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263"/>
      <c r="L301" s="57"/>
      <c r="M301" s="57"/>
      <c r="N301" s="263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J301" s="256"/>
      <c r="AP301" s="57"/>
      <c r="AR301" s="257"/>
    </row>
    <row r="302" spans="1:44" s="25" customFormat="1" x14ac:dyDescent="0.25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263"/>
      <c r="L302" s="57"/>
      <c r="M302" s="57"/>
      <c r="N302" s="263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J302" s="256"/>
      <c r="AP302" s="57"/>
      <c r="AR302" s="257"/>
    </row>
    <row r="303" spans="1:44" s="25" customFormat="1" x14ac:dyDescent="0.25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263"/>
      <c r="L303" s="57"/>
      <c r="M303" s="57"/>
      <c r="N303" s="263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J303" s="256"/>
      <c r="AP303" s="57"/>
      <c r="AR303" s="257"/>
    </row>
    <row r="304" spans="1:44" s="25" customFormat="1" x14ac:dyDescent="0.25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263"/>
      <c r="L304" s="57"/>
      <c r="M304" s="57"/>
      <c r="N304" s="263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J304" s="256"/>
      <c r="AP304" s="57"/>
      <c r="AR304" s="257"/>
    </row>
    <row r="305" spans="1:44" s="25" customFormat="1" x14ac:dyDescent="0.2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263"/>
      <c r="L305" s="57"/>
      <c r="M305" s="57"/>
      <c r="N305" s="263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J305" s="256"/>
      <c r="AP305" s="57"/>
      <c r="AR305" s="257"/>
    </row>
    <row r="306" spans="1:44" s="25" customFormat="1" x14ac:dyDescent="0.25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263"/>
      <c r="L306" s="57"/>
      <c r="M306" s="57"/>
      <c r="N306" s="263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J306" s="256"/>
      <c r="AP306" s="57"/>
      <c r="AR306" s="257"/>
    </row>
    <row r="307" spans="1:44" s="25" customFormat="1" x14ac:dyDescent="0.25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263"/>
      <c r="L307" s="57"/>
      <c r="M307" s="57"/>
      <c r="N307" s="263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J307" s="256"/>
      <c r="AP307" s="57"/>
      <c r="AR307" s="257"/>
    </row>
    <row r="308" spans="1:44" s="25" customFormat="1" x14ac:dyDescent="0.25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263"/>
      <c r="L308" s="57"/>
      <c r="M308" s="57"/>
      <c r="N308" s="263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J308" s="256"/>
      <c r="AP308" s="57"/>
      <c r="AR308" s="257"/>
    </row>
    <row r="309" spans="1:44" s="25" customFormat="1" x14ac:dyDescent="0.25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263"/>
      <c r="L309" s="57"/>
      <c r="M309" s="57"/>
      <c r="N309" s="263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J309" s="256"/>
      <c r="AP309" s="57"/>
      <c r="AR309" s="257"/>
    </row>
    <row r="310" spans="1:44" s="25" customFormat="1" x14ac:dyDescent="0.25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263"/>
      <c r="L310" s="57"/>
      <c r="M310" s="57"/>
      <c r="N310" s="263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J310" s="256"/>
      <c r="AP310" s="57"/>
      <c r="AR310" s="257"/>
    </row>
    <row r="311" spans="1:44" s="25" customFormat="1" x14ac:dyDescent="0.25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263"/>
      <c r="L311" s="57"/>
      <c r="M311" s="57"/>
      <c r="N311" s="263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J311" s="256"/>
      <c r="AP311" s="57"/>
      <c r="AR311" s="257"/>
    </row>
    <row r="312" spans="1:44" s="25" customFormat="1" x14ac:dyDescent="0.25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263"/>
      <c r="L312" s="57"/>
      <c r="M312" s="57"/>
      <c r="N312" s="263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J312" s="256"/>
      <c r="AP312" s="57"/>
      <c r="AR312" s="257"/>
    </row>
    <row r="313" spans="1:44" s="25" customFormat="1" x14ac:dyDescent="0.25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263"/>
      <c r="L313" s="57"/>
      <c r="M313" s="57"/>
      <c r="N313" s="263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J313" s="256"/>
      <c r="AP313" s="57"/>
      <c r="AR313" s="257"/>
    </row>
    <row r="314" spans="1:44" s="25" customFormat="1" x14ac:dyDescent="0.25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263"/>
      <c r="L314" s="57"/>
      <c r="M314" s="57"/>
      <c r="N314" s="263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J314" s="256"/>
      <c r="AP314" s="57"/>
      <c r="AR314" s="257"/>
    </row>
    <row r="315" spans="1:44" s="25" customFormat="1" x14ac:dyDescent="0.2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263"/>
      <c r="L315" s="57"/>
      <c r="M315" s="57"/>
      <c r="N315" s="263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J315" s="256"/>
      <c r="AP315" s="57"/>
      <c r="AR315" s="257"/>
    </row>
    <row r="316" spans="1:44" s="25" customFormat="1" x14ac:dyDescent="0.25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263"/>
      <c r="L316" s="57"/>
      <c r="M316" s="57"/>
      <c r="N316" s="263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J316" s="256"/>
      <c r="AP316" s="57"/>
      <c r="AR316" s="257"/>
    </row>
    <row r="317" spans="1:44" s="25" customFormat="1" x14ac:dyDescent="0.25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263"/>
      <c r="L317" s="57"/>
      <c r="M317" s="57"/>
      <c r="N317" s="263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J317" s="256"/>
      <c r="AP317" s="57"/>
      <c r="AR317" s="257"/>
    </row>
    <row r="318" spans="1:44" s="25" customFormat="1" x14ac:dyDescent="0.25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263"/>
      <c r="L318" s="57"/>
      <c r="M318" s="57"/>
      <c r="N318" s="263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J318" s="256"/>
      <c r="AP318" s="57"/>
      <c r="AR318" s="257"/>
    </row>
    <row r="319" spans="1:44" s="25" customFormat="1" x14ac:dyDescent="0.25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263"/>
      <c r="L319" s="57"/>
      <c r="M319" s="57"/>
      <c r="N319" s="263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J319" s="256"/>
      <c r="AP319" s="57"/>
      <c r="AR319" s="257"/>
    </row>
    <row r="320" spans="1:44" s="25" customFormat="1" x14ac:dyDescent="0.25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263"/>
      <c r="L320" s="57"/>
      <c r="M320" s="57"/>
      <c r="N320" s="263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J320" s="256"/>
      <c r="AP320" s="57"/>
      <c r="AR320" s="257"/>
    </row>
    <row r="321" spans="1:44" s="25" customFormat="1" x14ac:dyDescent="0.25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263"/>
      <c r="L321" s="57"/>
      <c r="M321" s="57"/>
      <c r="N321" s="263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J321" s="256"/>
      <c r="AP321" s="57"/>
      <c r="AR321" s="257"/>
    </row>
    <row r="322" spans="1:44" s="25" customFormat="1" x14ac:dyDescent="0.25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263"/>
      <c r="L322" s="57"/>
      <c r="M322" s="57"/>
      <c r="N322" s="263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J322" s="256"/>
      <c r="AP322" s="57"/>
      <c r="AR322" s="257"/>
    </row>
    <row r="323" spans="1:44" s="25" customFormat="1" x14ac:dyDescent="0.25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263"/>
      <c r="L323" s="57"/>
      <c r="M323" s="57"/>
      <c r="N323" s="263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J323" s="256"/>
      <c r="AP323" s="57"/>
      <c r="AR323" s="257"/>
    </row>
    <row r="324" spans="1:44" s="25" customFormat="1" x14ac:dyDescent="0.25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263"/>
      <c r="L324" s="57"/>
      <c r="M324" s="57"/>
      <c r="N324" s="263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J324" s="256"/>
      <c r="AP324" s="57"/>
      <c r="AR324" s="257"/>
    </row>
    <row r="325" spans="1:44" s="25" customFormat="1" x14ac:dyDescent="0.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263"/>
      <c r="L325" s="57"/>
      <c r="M325" s="57"/>
      <c r="N325" s="263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J325" s="256"/>
      <c r="AP325" s="57"/>
      <c r="AR325" s="257"/>
    </row>
    <row r="326" spans="1:44" s="25" customFormat="1" x14ac:dyDescent="0.25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263"/>
      <c r="L326" s="57"/>
      <c r="M326" s="57"/>
      <c r="N326" s="263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J326" s="256"/>
      <c r="AP326" s="57"/>
      <c r="AR326" s="257"/>
    </row>
    <row r="327" spans="1:44" s="25" customFormat="1" x14ac:dyDescent="0.25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263"/>
      <c r="L327" s="57"/>
      <c r="M327" s="57"/>
      <c r="N327" s="263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J327" s="256"/>
      <c r="AP327" s="57"/>
      <c r="AR327" s="257"/>
    </row>
    <row r="328" spans="1:44" s="25" customFormat="1" x14ac:dyDescent="0.25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263"/>
      <c r="L328" s="57"/>
      <c r="M328" s="57"/>
      <c r="N328" s="263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J328" s="256"/>
      <c r="AP328" s="57"/>
      <c r="AR328" s="257"/>
    </row>
    <row r="329" spans="1:44" s="25" customFormat="1" x14ac:dyDescent="0.25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263"/>
      <c r="L329" s="57"/>
      <c r="M329" s="57"/>
      <c r="N329" s="263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J329" s="256"/>
      <c r="AP329" s="57"/>
      <c r="AR329" s="257"/>
    </row>
    <row r="330" spans="1:44" s="25" customFormat="1" x14ac:dyDescent="0.25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263"/>
      <c r="L330" s="57"/>
      <c r="M330" s="57"/>
      <c r="N330" s="263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J330" s="256"/>
      <c r="AP330" s="57"/>
      <c r="AR330" s="257"/>
    </row>
    <row r="331" spans="1:44" s="25" customFormat="1" x14ac:dyDescent="0.25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263"/>
      <c r="L331" s="57"/>
      <c r="M331" s="57"/>
      <c r="N331" s="263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J331" s="256"/>
      <c r="AP331" s="57"/>
      <c r="AR331" s="257"/>
    </row>
    <row r="332" spans="1:44" s="25" customFormat="1" x14ac:dyDescent="0.25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263"/>
      <c r="L332" s="57"/>
      <c r="M332" s="57"/>
      <c r="N332" s="263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J332" s="256"/>
      <c r="AP332" s="57"/>
      <c r="AR332" s="257"/>
    </row>
    <row r="333" spans="1:44" s="25" customFormat="1" x14ac:dyDescent="0.25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263"/>
      <c r="L333" s="57"/>
      <c r="M333" s="57"/>
      <c r="N333" s="263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J333" s="256"/>
      <c r="AP333" s="57"/>
      <c r="AR333" s="257"/>
    </row>
    <row r="334" spans="1:44" s="25" customFormat="1" x14ac:dyDescent="0.25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263"/>
      <c r="L334" s="57"/>
      <c r="M334" s="57"/>
      <c r="N334" s="263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J334" s="256"/>
      <c r="AP334" s="57"/>
      <c r="AR334" s="257"/>
    </row>
    <row r="335" spans="1:44" s="25" customFormat="1" x14ac:dyDescent="0.2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263"/>
      <c r="L335" s="57"/>
      <c r="M335" s="57"/>
      <c r="N335" s="263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J335" s="256"/>
      <c r="AP335" s="57"/>
      <c r="AR335" s="257"/>
    </row>
    <row r="336" spans="1:44" s="25" customFormat="1" x14ac:dyDescent="0.25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263"/>
      <c r="L336" s="57"/>
      <c r="M336" s="57"/>
      <c r="N336" s="263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J336" s="256"/>
      <c r="AP336" s="57"/>
      <c r="AR336" s="257"/>
    </row>
    <row r="337" spans="1:44" s="25" customFormat="1" x14ac:dyDescent="0.25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263"/>
      <c r="L337" s="57"/>
      <c r="M337" s="57"/>
      <c r="N337" s="263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J337" s="256"/>
      <c r="AP337" s="57"/>
      <c r="AR337" s="257"/>
    </row>
    <row r="338" spans="1:44" s="25" customFormat="1" x14ac:dyDescent="0.25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263"/>
      <c r="L338" s="57"/>
      <c r="M338" s="57"/>
      <c r="N338" s="263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J338" s="256"/>
      <c r="AP338" s="57"/>
      <c r="AR338" s="257"/>
    </row>
    <row r="339" spans="1:44" s="25" customFormat="1" x14ac:dyDescent="0.25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263"/>
      <c r="L339" s="57"/>
      <c r="M339" s="57"/>
      <c r="N339" s="263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J339" s="256"/>
      <c r="AP339" s="57"/>
      <c r="AR339" s="257"/>
    </row>
    <row r="340" spans="1:44" s="25" customFormat="1" x14ac:dyDescent="0.25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263"/>
      <c r="L340" s="57"/>
      <c r="M340" s="57"/>
      <c r="N340" s="263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J340" s="256"/>
      <c r="AP340" s="57"/>
      <c r="AR340" s="257"/>
    </row>
    <row r="341" spans="1:44" s="25" customFormat="1" x14ac:dyDescent="0.25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263"/>
      <c r="L341" s="57"/>
      <c r="M341" s="57"/>
      <c r="N341" s="263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J341" s="256"/>
      <c r="AP341" s="57"/>
      <c r="AR341" s="257"/>
    </row>
    <row r="342" spans="1:44" s="25" customFormat="1" x14ac:dyDescent="0.25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263"/>
      <c r="L342" s="57"/>
      <c r="M342" s="57"/>
      <c r="N342" s="263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J342" s="256"/>
      <c r="AP342" s="57"/>
      <c r="AR342" s="257"/>
    </row>
    <row r="343" spans="1:44" s="25" customFormat="1" x14ac:dyDescent="0.25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263"/>
      <c r="L343" s="57"/>
      <c r="M343" s="57"/>
      <c r="N343" s="263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J343" s="256"/>
      <c r="AP343" s="57"/>
      <c r="AR343" s="257"/>
    </row>
    <row r="344" spans="1:44" s="25" customFormat="1" x14ac:dyDescent="0.25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263"/>
      <c r="L344" s="57"/>
      <c r="M344" s="57"/>
      <c r="N344" s="263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J344" s="256"/>
      <c r="AP344" s="57"/>
      <c r="AR344" s="257"/>
    </row>
    <row r="345" spans="1:44" s="25" customFormat="1" x14ac:dyDescent="0.2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263"/>
      <c r="L345" s="57"/>
      <c r="M345" s="57"/>
      <c r="N345" s="263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J345" s="256"/>
      <c r="AP345" s="57"/>
      <c r="AR345" s="257"/>
    </row>
    <row r="346" spans="1:44" s="25" customFormat="1" x14ac:dyDescent="0.25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263"/>
      <c r="L346" s="57"/>
      <c r="M346" s="57"/>
      <c r="N346" s="263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J346" s="256"/>
      <c r="AP346" s="57"/>
      <c r="AR346" s="257"/>
    </row>
    <row r="347" spans="1:44" s="25" customFormat="1" x14ac:dyDescent="0.25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263"/>
      <c r="L347" s="57"/>
      <c r="M347" s="57"/>
      <c r="N347" s="263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J347" s="256"/>
      <c r="AP347" s="57"/>
      <c r="AR347" s="257"/>
    </row>
    <row r="348" spans="1:44" s="25" customFormat="1" x14ac:dyDescent="0.25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263"/>
      <c r="L348" s="57"/>
      <c r="M348" s="57"/>
      <c r="N348" s="263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J348" s="256"/>
      <c r="AP348" s="57"/>
      <c r="AR348" s="257"/>
    </row>
    <row r="349" spans="1:44" s="25" customFormat="1" x14ac:dyDescent="0.25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263"/>
      <c r="L349" s="57"/>
      <c r="M349" s="57"/>
      <c r="N349" s="263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J349" s="256"/>
      <c r="AP349" s="57"/>
      <c r="AR349" s="257"/>
    </row>
    <row r="350" spans="1:44" s="25" customFormat="1" x14ac:dyDescent="0.25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263"/>
      <c r="L350" s="57"/>
      <c r="M350" s="57"/>
      <c r="N350" s="263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J350" s="256"/>
      <c r="AP350" s="57"/>
      <c r="AR350" s="257"/>
    </row>
    <row r="351" spans="1:44" s="25" customFormat="1" x14ac:dyDescent="0.25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263"/>
      <c r="L351" s="57"/>
      <c r="M351" s="57"/>
      <c r="N351" s="263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J351" s="256"/>
      <c r="AP351" s="57"/>
      <c r="AR351" s="257"/>
    </row>
    <row r="352" spans="1:44" s="25" customFormat="1" x14ac:dyDescent="0.25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263"/>
      <c r="L352" s="57"/>
      <c r="M352" s="57"/>
      <c r="N352" s="263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J352" s="256"/>
      <c r="AP352" s="57"/>
      <c r="AR352" s="257"/>
    </row>
    <row r="353" spans="1:44" s="25" customFormat="1" x14ac:dyDescent="0.25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263"/>
      <c r="L353" s="57"/>
      <c r="M353" s="57"/>
      <c r="N353" s="263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J353" s="256"/>
      <c r="AP353" s="57"/>
      <c r="AR353" s="257"/>
    </row>
    <row r="354" spans="1:44" s="25" customFormat="1" x14ac:dyDescent="0.25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263"/>
      <c r="L354" s="57"/>
      <c r="M354" s="57"/>
      <c r="N354" s="263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J354" s="256"/>
      <c r="AP354" s="57"/>
      <c r="AR354" s="257"/>
    </row>
    <row r="355" spans="1:44" s="25" customFormat="1" x14ac:dyDescent="0.2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263"/>
      <c r="L355" s="57"/>
      <c r="M355" s="57"/>
      <c r="N355" s="263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J355" s="256"/>
      <c r="AP355" s="57"/>
      <c r="AR355" s="257"/>
    </row>
    <row r="356" spans="1:44" s="25" customFormat="1" x14ac:dyDescent="0.25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263"/>
      <c r="L356" s="57"/>
      <c r="M356" s="57"/>
      <c r="N356" s="263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J356" s="256"/>
      <c r="AP356" s="57"/>
      <c r="AR356" s="257"/>
    </row>
    <row r="357" spans="1:44" s="25" customFormat="1" x14ac:dyDescent="0.25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263"/>
      <c r="L357" s="57"/>
      <c r="M357" s="57"/>
      <c r="N357" s="263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J357" s="256"/>
      <c r="AP357" s="57"/>
      <c r="AR357" s="257"/>
    </row>
    <row r="358" spans="1:44" s="25" customFormat="1" x14ac:dyDescent="0.25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263"/>
      <c r="L358" s="57"/>
      <c r="M358" s="57"/>
      <c r="N358" s="263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J358" s="256"/>
      <c r="AP358" s="57"/>
      <c r="AR358" s="257"/>
    </row>
    <row r="359" spans="1:44" s="25" customFormat="1" x14ac:dyDescent="0.25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263"/>
      <c r="L359" s="57"/>
      <c r="M359" s="57"/>
      <c r="N359" s="263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J359" s="256"/>
      <c r="AP359" s="57"/>
      <c r="AR359" s="257"/>
    </row>
    <row r="360" spans="1:44" s="25" customFormat="1" x14ac:dyDescent="0.25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263"/>
      <c r="L360" s="57"/>
      <c r="M360" s="57"/>
      <c r="N360" s="263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J360" s="256"/>
      <c r="AP360" s="57"/>
      <c r="AR360" s="257"/>
    </row>
    <row r="361" spans="1:44" s="25" customFormat="1" x14ac:dyDescent="0.25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263"/>
      <c r="L361" s="57"/>
      <c r="M361" s="57"/>
      <c r="N361" s="263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J361" s="256"/>
      <c r="AP361" s="57"/>
      <c r="AR361" s="257"/>
    </row>
    <row r="362" spans="1:44" s="25" customFormat="1" x14ac:dyDescent="0.25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263"/>
      <c r="L362" s="57"/>
      <c r="M362" s="57"/>
      <c r="N362" s="263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J362" s="256"/>
      <c r="AP362" s="57"/>
      <c r="AR362" s="257"/>
    </row>
    <row r="363" spans="1:44" s="25" customFormat="1" x14ac:dyDescent="0.25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263"/>
      <c r="L363" s="57"/>
      <c r="M363" s="57"/>
      <c r="N363" s="263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J363" s="256"/>
      <c r="AP363" s="57"/>
      <c r="AR363" s="257"/>
    </row>
    <row r="364" spans="1:44" s="25" customFormat="1" x14ac:dyDescent="0.25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263"/>
      <c r="L364" s="57"/>
      <c r="M364" s="57"/>
      <c r="N364" s="263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J364" s="256"/>
      <c r="AP364" s="57"/>
      <c r="AR364" s="257"/>
    </row>
    <row r="365" spans="1:44" s="25" customFormat="1" x14ac:dyDescent="0.2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263"/>
      <c r="L365" s="57"/>
      <c r="M365" s="57"/>
      <c r="N365" s="263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J365" s="256"/>
      <c r="AP365" s="57"/>
      <c r="AR365" s="257"/>
    </row>
    <row r="366" spans="1:44" s="25" customFormat="1" x14ac:dyDescent="0.25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263"/>
      <c r="L366" s="57"/>
      <c r="M366" s="57"/>
      <c r="N366" s="263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J366" s="256"/>
      <c r="AP366" s="57"/>
      <c r="AR366" s="257"/>
    </row>
    <row r="367" spans="1:44" s="25" customFormat="1" x14ac:dyDescent="0.25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263"/>
      <c r="L367" s="57"/>
      <c r="M367" s="57"/>
      <c r="N367" s="263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J367" s="256"/>
      <c r="AP367" s="57"/>
      <c r="AR367" s="257"/>
    </row>
    <row r="368" spans="1:44" s="25" customFormat="1" x14ac:dyDescent="0.25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263"/>
      <c r="L368" s="57"/>
      <c r="M368" s="57"/>
      <c r="N368" s="263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J368" s="256"/>
      <c r="AP368" s="57"/>
      <c r="AR368" s="257"/>
    </row>
    <row r="369" spans="1:44" s="25" customFormat="1" x14ac:dyDescent="0.25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263"/>
      <c r="L369" s="57"/>
      <c r="M369" s="57"/>
      <c r="N369" s="263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J369" s="256"/>
      <c r="AP369" s="57"/>
      <c r="AR369" s="257"/>
    </row>
    <row r="370" spans="1:44" s="25" customFormat="1" x14ac:dyDescent="0.25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263"/>
      <c r="L370" s="57"/>
      <c r="M370" s="57"/>
      <c r="N370" s="263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J370" s="256"/>
      <c r="AP370" s="57"/>
      <c r="AR370" s="257"/>
    </row>
    <row r="371" spans="1:44" s="25" customFormat="1" x14ac:dyDescent="0.25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263"/>
      <c r="L371" s="57"/>
      <c r="M371" s="57"/>
      <c r="N371" s="263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J371" s="256"/>
      <c r="AP371" s="57"/>
      <c r="AR371" s="257"/>
    </row>
    <row r="372" spans="1:44" s="25" customFormat="1" x14ac:dyDescent="0.25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263"/>
      <c r="L372" s="57"/>
      <c r="M372" s="57"/>
      <c r="N372" s="263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J372" s="256"/>
      <c r="AP372" s="57"/>
      <c r="AR372" s="257"/>
    </row>
    <row r="373" spans="1:44" s="25" customFormat="1" x14ac:dyDescent="0.25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263"/>
      <c r="L373" s="57"/>
      <c r="M373" s="57"/>
      <c r="N373" s="263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J373" s="256"/>
      <c r="AP373" s="57"/>
      <c r="AR373" s="257"/>
    </row>
    <row r="374" spans="1:44" s="25" customFormat="1" x14ac:dyDescent="0.25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263"/>
      <c r="L374" s="57"/>
      <c r="M374" s="57"/>
      <c r="N374" s="263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J374" s="256"/>
      <c r="AP374" s="57"/>
      <c r="AR374" s="257"/>
    </row>
    <row r="375" spans="1:44" s="25" customFormat="1" x14ac:dyDescent="0.2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263"/>
      <c r="L375" s="57"/>
      <c r="M375" s="57"/>
      <c r="N375" s="263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J375" s="256"/>
      <c r="AP375" s="57"/>
      <c r="AR375" s="257"/>
    </row>
    <row r="376" spans="1:44" s="25" customFormat="1" x14ac:dyDescent="0.25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263"/>
      <c r="L376" s="57"/>
      <c r="M376" s="57"/>
      <c r="N376" s="263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J376" s="256"/>
      <c r="AP376" s="57"/>
      <c r="AR376" s="257"/>
    </row>
    <row r="377" spans="1:44" s="25" customFormat="1" x14ac:dyDescent="0.25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263"/>
      <c r="L377" s="57"/>
      <c r="M377" s="57"/>
      <c r="N377" s="263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J377" s="256"/>
      <c r="AP377" s="57"/>
      <c r="AR377" s="257"/>
    </row>
    <row r="378" spans="1:44" s="25" customFormat="1" x14ac:dyDescent="0.25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263"/>
      <c r="L378" s="57"/>
      <c r="M378" s="57"/>
      <c r="N378" s="263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J378" s="256"/>
      <c r="AP378" s="57"/>
      <c r="AR378" s="257"/>
    </row>
    <row r="379" spans="1:44" s="25" customFormat="1" x14ac:dyDescent="0.25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263"/>
      <c r="L379" s="57"/>
      <c r="M379" s="57"/>
      <c r="N379" s="263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J379" s="256"/>
      <c r="AP379" s="57"/>
      <c r="AR379" s="257"/>
    </row>
    <row r="380" spans="1:44" s="25" customFormat="1" x14ac:dyDescent="0.25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263"/>
      <c r="L380" s="57"/>
      <c r="M380" s="57"/>
      <c r="N380" s="263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J380" s="256"/>
      <c r="AP380" s="57"/>
      <c r="AR380" s="257"/>
    </row>
    <row r="381" spans="1:44" s="25" customFormat="1" x14ac:dyDescent="0.25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263"/>
      <c r="L381" s="57"/>
      <c r="M381" s="57"/>
      <c r="N381" s="263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J381" s="256"/>
      <c r="AP381" s="57"/>
      <c r="AR381" s="257"/>
    </row>
    <row r="382" spans="1:44" s="25" customFormat="1" x14ac:dyDescent="0.25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263"/>
      <c r="L382" s="57"/>
      <c r="M382" s="57"/>
      <c r="N382" s="263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J382" s="256"/>
      <c r="AP382" s="57"/>
      <c r="AR382" s="257"/>
    </row>
    <row r="383" spans="1:44" s="25" customFormat="1" x14ac:dyDescent="0.25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263"/>
      <c r="L383" s="57"/>
      <c r="M383" s="57"/>
      <c r="N383" s="263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J383" s="256"/>
      <c r="AP383" s="57"/>
      <c r="AR383" s="257"/>
    </row>
    <row r="384" spans="1:44" s="25" customFormat="1" x14ac:dyDescent="0.25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263"/>
      <c r="L384" s="57"/>
      <c r="M384" s="57"/>
      <c r="N384" s="263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J384" s="256"/>
      <c r="AP384" s="57"/>
      <c r="AR384" s="257"/>
    </row>
    <row r="385" spans="1:44" s="25" customFormat="1" x14ac:dyDescent="0.2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263"/>
      <c r="L385" s="57"/>
      <c r="M385" s="57"/>
      <c r="N385" s="263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J385" s="256"/>
      <c r="AP385" s="57"/>
      <c r="AR385" s="257"/>
    </row>
    <row r="386" spans="1:44" s="25" customFormat="1" x14ac:dyDescent="0.25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263"/>
      <c r="L386" s="57"/>
      <c r="M386" s="57"/>
      <c r="N386" s="263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J386" s="256"/>
      <c r="AP386" s="57"/>
      <c r="AR386" s="257"/>
    </row>
    <row r="387" spans="1:44" s="25" customFormat="1" x14ac:dyDescent="0.25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263"/>
      <c r="L387" s="57"/>
      <c r="M387" s="57"/>
      <c r="N387" s="263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J387" s="256"/>
      <c r="AP387" s="57"/>
      <c r="AR387" s="257"/>
    </row>
    <row r="388" spans="1:44" s="25" customFormat="1" x14ac:dyDescent="0.25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263"/>
      <c r="L388" s="57"/>
      <c r="M388" s="57"/>
      <c r="N388" s="263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J388" s="256"/>
      <c r="AP388" s="57"/>
      <c r="AR388" s="257"/>
    </row>
    <row r="389" spans="1:44" s="25" customFormat="1" x14ac:dyDescent="0.25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263"/>
      <c r="L389" s="57"/>
      <c r="M389" s="57"/>
      <c r="N389" s="263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J389" s="256"/>
      <c r="AP389" s="57"/>
      <c r="AR389" s="257"/>
    </row>
    <row r="390" spans="1:44" s="25" customFormat="1" x14ac:dyDescent="0.25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263"/>
      <c r="L390" s="57"/>
      <c r="M390" s="57"/>
      <c r="N390" s="263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J390" s="256"/>
      <c r="AP390" s="57"/>
      <c r="AR390" s="257"/>
    </row>
    <row r="391" spans="1:44" s="25" customFormat="1" x14ac:dyDescent="0.25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263"/>
      <c r="L391" s="57"/>
      <c r="M391" s="57"/>
      <c r="N391" s="263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J391" s="256"/>
      <c r="AP391" s="57"/>
      <c r="AR391" s="257"/>
    </row>
    <row r="392" spans="1:44" s="25" customFormat="1" x14ac:dyDescent="0.25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263"/>
      <c r="L392" s="57"/>
      <c r="M392" s="57"/>
      <c r="N392" s="263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J392" s="256"/>
      <c r="AP392" s="57"/>
      <c r="AR392" s="257"/>
    </row>
    <row r="393" spans="1:44" s="25" customFormat="1" x14ac:dyDescent="0.25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263"/>
      <c r="L393" s="57"/>
      <c r="M393" s="57"/>
      <c r="N393" s="263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J393" s="256"/>
      <c r="AP393" s="57"/>
      <c r="AR393" s="257"/>
    </row>
    <row r="394" spans="1:44" s="25" customFormat="1" x14ac:dyDescent="0.25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263"/>
      <c r="L394" s="57"/>
      <c r="M394" s="57"/>
      <c r="N394" s="263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J394" s="256"/>
      <c r="AP394" s="57"/>
      <c r="AR394" s="257"/>
    </row>
    <row r="395" spans="1:44" s="25" customFormat="1" x14ac:dyDescent="0.2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263"/>
      <c r="L395" s="57"/>
      <c r="M395" s="57"/>
      <c r="N395" s="263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J395" s="256"/>
      <c r="AP395" s="57"/>
      <c r="AR395" s="257"/>
    </row>
    <row r="396" spans="1:44" s="25" customFormat="1" x14ac:dyDescent="0.25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263"/>
      <c r="L396" s="57"/>
      <c r="M396" s="57"/>
      <c r="N396" s="263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J396" s="256"/>
      <c r="AP396" s="57"/>
      <c r="AR396" s="257"/>
    </row>
    <row r="397" spans="1:44" s="25" customFormat="1" x14ac:dyDescent="0.25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263"/>
      <c r="L397" s="57"/>
      <c r="M397" s="57"/>
      <c r="N397" s="263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J397" s="256"/>
      <c r="AP397" s="57"/>
      <c r="AR397" s="257"/>
    </row>
    <row r="398" spans="1:44" s="25" customFormat="1" x14ac:dyDescent="0.25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263"/>
      <c r="L398" s="57"/>
      <c r="M398" s="57"/>
      <c r="N398" s="263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J398" s="256"/>
      <c r="AP398" s="57"/>
      <c r="AR398" s="257"/>
    </row>
    <row r="399" spans="1:44" s="25" customFormat="1" x14ac:dyDescent="0.25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263"/>
      <c r="L399" s="57"/>
      <c r="M399" s="57"/>
      <c r="N399" s="263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J399" s="256"/>
      <c r="AP399" s="57"/>
      <c r="AR399" s="257"/>
    </row>
    <row r="400" spans="1:44" s="25" customFormat="1" x14ac:dyDescent="0.25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263"/>
      <c r="L400" s="57"/>
      <c r="M400" s="57"/>
      <c r="N400" s="263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J400" s="256"/>
      <c r="AP400" s="57"/>
      <c r="AR400" s="257"/>
    </row>
    <row r="401" spans="1:44" s="25" customFormat="1" x14ac:dyDescent="0.25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263"/>
      <c r="L401" s="57"/>
      <c r="M401" s="57"/>
      <c r="N401" s="263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J401" s="256"/>
      <c r="AP401" s="57"/>
      <c r="AR401" s="257"/>
    </row>
    <row r="402" spans="1:44" s="25" customFormat="1" x14ac:dyDescent="0.25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263"/>
      <c r="L402" s="57"/>
      <c r="M402" s="57"/>
      <c r="N402" s="263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J402" s="256"/>
      <c r="AP402" s="57"/>
      <c r="AR402" s="257"/>
    </row>
    <row r="403" spans="1:44" s="25" customFormat="1" x14ac:dyDescent="0.25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263"/>
      <c r="L403" s="57"/>
      <c r="M403" s="57"/>
      <c r="N403" s="263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J403" s="256"/>
      <c r="AP403" s="57"/>
      <c r="AR403" s="257"/>
    </row>
    <row r="404" spans="1:44" s="25" customFormat="1" x14ac:dyDescent="0.25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263"/>
      <c r="L404" s="57"/>
      <c r="M404" s="57"/>
      <c r="N404" s="263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J404" s="256"/>
      <c r="AP404" s="57"/>
      <c r="AR404" s="257"/>
    </row>
    <row r="405" spans="1:44" s="25" customFormat="1" x14ac:dyDescent="0.2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263"/>
      <c r="L405" s="57"/>
      <c r="M405" s="57"/>
      <c r="N405" s="263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J405" s="256"/>
      <c r="AP405" s="57"/>
      <c r="AR405" s="257"/>
    </row>
    <row r="406" spans="1:44" s="25" customFormat="1" x14ac:dyDescent="0.25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263"/>
      <c r="L406" s="57"/>
      <c r="M406" s="57"/>
      <c r="N406" s="263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J406" s="256"/>
      <c r="AP406" s="57"/>
      <c r="AR406" s="257"/>
    </row>
    <row r="407" spans="1:44" s="25" customFormat="1" x14ac:dyDescent="0.25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263"/>
      <c r="L407" s="57"/>
      <c r="M407" s="57"/>
      <c r="N407" s="263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J407" s="256"/>
      <c r="AP407" s="57"/>
      <c r="AR407" s="257"/>
    </row>
    <row r="408" spans="1:44" s="25" customFormat="1" x14ac:dyDescent="0.25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263"/>
      <c r="L408" s="57"/>
      <c r="M408" s="57"/>
      <c r="N408" s="263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J408" s="256"/>
      <c r="AP408" s="57"/>
      <c r="AR408" s="257"/>
    </row>
    <row r="409" spans="1:44" s="25" customFormat="1" x14ac:dyDescent="0.25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263"/>
      <c r="L409" s="57"/>
      <c r="M409" s="57"/>
      <c r="N409" s="263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J409" s="256"/>
      <c r="AP409" s="57"/>
      <c r="AR409" s="257"/>
    </row>
    <row r="410" spans="1:44" s="25" customFormat="1" x14ac:dyDescent="0.25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263"/>
      <c r="L410" s="57"/>
      <c r="M410" s="57"/>
      <c r="N410" s="263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J410" s="256"/>
      <c r="AP410" s="57"/>
      <c r="AR410" s="257"/>
    </row>
    <row r="411" spans="1:44" s="25" customFormat="1" x14ac:dyDescent="0.25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263"/>
      <c r="L411" s="57"/>
      <c r="M411" s="57"/>
      <c r="N411" s="263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J411" s="256"/>
      <c r="AP411" s="57"/>
      <c r="AR411" s="257"/>
    </row>
    <row r="412" spans="1:44" s="25" customFormat="1" x14ac:dyDescent="0.25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263"/>
      <c r="L412" s="57"/>
      <c r="M412" s="57"/>
      <c r="N412" s="263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J412" s="256"/>
      <c r="AP412" s="57"/>
      <c r="AR412" s="257"/>
    </row>
    <row r="413" spans="1:44" s="25" customFormat="1" x14ac:dyDescent="0.25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263"/>
      <c r="L413" s="57"/>
      <c r="M413" s="57"/>
      <c r="N413" s="263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J413" s="256"/>
      <c r="AP413" s="57"/>
      <c r="AR413" s="257"/>
    </row>
    <row r="414" spans="1:44" s="25" customFormat="1" x14ac:dyDescent="0.25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263"/>
      <c r="L414" s="57"/>
      <c r="M414" s="57"/>
      <c r="N414" s="263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J414" s="256"/>
      <c r="AP414" s="57"/>
      <c r="AR414" s="257"/>
    </row>
    <row r="415" spans="1:44" s="25" customFormat="1" x14ac:dyDescent="0.2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263"/>
      <c r="L415" s="57"/>
      <c r="M415" s="57"/>
      <c r="N415" s="263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J415" s="256"/>
      <c r="AP415" s="57"/>
      <c r="AR415" s="257"/>
    </row>
    <row r="416" spans="1:44" s="25" customFormat="1" x14ac:dyDescent="0.25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263"/>
      <c r="L416" s="57"/>
      <c r="M416" s="57"/>
      <c r="N416" s="263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J416" s="256"/>
      <c r="AP416" s="57"/>
      <c r="AR416" s="257"/>
    </row>
    <row r="417" spans="1:44" s="25" customFormat="1" x14ac:dyDescent="0.25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263"/>
      <c r="L417" s="57"/>
      <c r="M417" s="57"/>
      <c r="N417" s="263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J417" s="256"/>
      <c r="AP417" s="57"/>
      <c r="AR417" s="257"/>
    </row>
    <row r="418" spans="1:44" s="25" customFormat="1" x14ac:dyDescent="0.25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263"/>
      <c r="L418" s="57"/>
      <c r="M418" s="57"/>
      <c r="N418" s="263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J418" s="256"/>
      <c r="AP418" s="57"/>
      <c r="AR418" s="257"/>
    </row>
    <row r="419" spans="1:44" s="25" customFormat="1" x14ac:dyDescent="0.25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263"/>
      <c r="L419" s="57"/>
      <c r="M419" s="57"/>
      <c r="N419" s="263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J419" s="256"/>
      <c r="AP419" s="57"/>
      <c r="AR419" s="257"/>
    </row>
    <row r="420" spans="1:44" s="25" customFormat="1" x14ac:dyDescent="0.25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263"/>
      <c r="L420" s="57"/>
      <c r="M420" s="57"/>
      <c r="N420" s="263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J420" s="256"/>
      <c r="AP420" s="57"/>
      <c r="AR420" s="257"/>
    </row>
    <row r="421" spans="1:44" s="25" customFormat="1" x14ac:dyDescent="0.25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263"/>
      <c r="L421" s="57"/>
      <c r="M421" s="57"/>
      <c r="N421" s="263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J421" s="256"/>
      <c r="AP421" s="57"/>
      <c r="AR421" s="257"/>
    </row>
    <row r="422" spans="1:44" s="25" customFormat="1" x14ac:dyDescent="0.25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263"/>
      <c r="L422" s="57"/>
      <c r="M422" s="57"/>
      <c r="N422" s="263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J422" s="256"/>
      <c r="AP422" s="57"/>
      <c r="AR422" s="257"/>
    </row>
    <row r="423" spans="1:44" s="25" customFormat="1" x14ac:dyDescent="0.25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263"/>
      <c r="L423" s="57"/>
      <c r="M423" s="57"/>
      <c r="N423" s="263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J423" s="256"/>
      <c r="AP423" s="57"/>
      <c r="AR423" s="257"/>
    </row>
    <row r="424" spans="1:44" s="25" customFormat="1" x14ac:dyDescent="0.25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263"/>
      <c r="L424" s="57"/>
      <c r="M424" s="57"/>
      <c r="N424" s="263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J424" s="256"/>
      <c r="AP424" s="57"/>
      <c r="AR424" s="257"/>
    </row>
    <row r="425" spans="1:44" s="25" customFormat="1" x14ac:dyDescent="0.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263"/>
      <c r="L425" s="57"/>
      <c r="M425" s="57"/>
      <c r="N425" s="263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J425" s="256"/>
      <c r="AP425" s="57"/>
      <c r="AR425" s="257"/>
    </row>
    <row r="426" spans="1:44" s="25" customFormat="1" x14ac:dyDescent="0.25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263"/>
      <c r="L426" s="57"/>
      <c r="M426" s="57"/>
      <c r="N426" s="263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J426" s="256"/>
      <c r="AP426" s="57"/>
      <c r="AR426" s="257"/>
    </row>
    <row r="427" spans="1:44" s="25" customFormat="1" x14ac:dyDescent="0.25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263"/>
      <c r="L427" s="57"/>
      <c r="M427" s="57"/>
      <c r="N427" s="263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J427" s="256"/>
      <c r="AP427" s="57"/>
      <c r="AR427" s="257"/>
    </row>
    <row r="428" spans="1:44" s="25" customFormat="1" x14ac:dyDescent="0.25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263"/>
      <c r="L428" s="57"/>
      <c r="M428" s="57"/>
      <c r="N428" s="263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J428" s="256"/>
      <c r="AP428" s="57"/>
      <c r="AR428" s="257"/>
    </row>
    <row r="429" spans="1:44" s="25" customFormat="1" x14ac:dyDescent="0.25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263"/>
      <c r="L429" s="57"/>
      <c r="M429" s="57"/>
      <c r="N429" s="263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J429" s="256"/>
      <c r="AP429" s="57"/>
      <c r="AR429" s="257"/>
    </row>
    <row r="430" spans="1:44" s="25" customFormat="1" x14ac:dyDescent="0.25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263"/>
      <c r="L430" s="57"/>
      <c r="M430" s="57"/>
      <c r="N430" s="263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J430" s="256"/>
      <c r="AP430" s="57"/>
      <c r="AR430" s="257"/>
    </row>
    <row r="431" spans="1:44" s="25" customFormat="1" x14ac:dyDescent="0.25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263"/>
      <c r="L431" s="57"/>
      <c r="M431" s="57"/>
      <c r="N431" s="263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J431" s="256"/>
      <c r="AP431" s="57"/>
      <c r="AR431" s="257"/>
    </row>
    <row r="432" spans="1:44" s="25" customFormat="1" x14ac:dyDescent="0.25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263"/>
      <c r="L432" s="57"/>
      <c r="M432" s="57"/>
      <c r="N432" s="263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J432" s="256"/>
      <c r="AP432" s="57"/>
      <c r="AR432" s="257"/>
    </row>
    <row r="433" spans="1:44" s="25" customFormat="1" x14ac:dyDescent="0.25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263"/>
      <c r="L433" s="57"/>
      <c r="M433" s="57"/>
      <c r="N433" s="263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J433" s="256"/>
      <c r="AP433" s="57"/>
      <c r="AR433" s="257"/>
    </row>
    <row r="434" spans="1:44" s="25" customFormat="1" x14ac:dyDescent="0.25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263"/>
      <c r="L434" s="57"/>
      <c r="M434" s="57"/>
      <c r="N434" s="263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J434" s="256"/>
      <c r="AP434" s="57"/>
      <c r="AR434" s="257"/>
    </row>
    <row r="435" spans="1:44" s="25" customFormat="1" x14ac:dyDescent="0.2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263"/>
      <c r="L435" s="57"/>
      <c r="M435" s="57"/>
      <c r="N435" s="263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J435" s="256"/>
      <c r="AP435" s="57"/>
      <c r="AR435" s="257"/>
    </row>
    <row r="436" spans="1:44" s="25" customFormat="1" x14ac:dyDescent="0.25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263"/>
      <c r="L436" s="57"/>
      <c r="M436" s="57"/>
      <c r="N436" s="263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J436" s="256"/>
      <c r="AP436" s="57"/>
      <c r="AR436" s="257"/>
    </row>
    <row r="437" spans="1:44" s="25" customFormat="1" x14ac:dyDescent="0.25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263"/>
      <c r="L437" s="57"/>
      <c r="M437" s="57"/>
      <c r="N437" s="263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J437" s="256"/>
      <c r="AP437" s="57"/>
      <c r="AR437" s="257"/>
    </row>
    <row r="438" spans="1:44" s="25" customFormat="1" x14ac:dyDescent="0.25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263"/>
      <c r="L438" s="57"/>
      <c r="M438" s="57"/>
      <c r="N438" s="263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J438" s="256"/>
      <c r="AP438" s="57"/>
      <c r="AR438" s="257"/>
    </row>
    <row r="439" spans="1:44" s="25" customFormat="1" x14ac:dyDescent="0.25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263"/>
      <c r="L439" s="57"/>
      <c r="M439" s="57"/>
      <c r="N439" s="263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J439" s="256"/>
      <c r="AP439" s="57"/>
      <c r="AR439" s="257"/>
    </row>
    <row r="440" spans="1:44" s="25" customFormat="1" x14ac:dyDescent="0.25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263"/>
      <c r="L440" s="57"/>
      <c r="M440" s="57"/>
      <c r="N440" s="263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J440" s="256"/>
      <c r="AP440" s="57"/>
      <c r="AR440" s="257"/>
    </row>
    <row r="441" spans="1:44" s="25" customFormat="1" x14ac:dyDescent="0.25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263"/>
      <c r="L441" s="57"/>
      <c r="M441" s="57"/>
      <c r="N441" s="263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J441" s="256"/>
      <c r="AP441" s="57"/>
      <c r="AR441" s="257"/>
    </row>
    <row r="442" spans="1:44" s="25" customFormat="1" x14ac:dyDescent="0.25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263"/>
      <c r="L442" s="57"/>
      <c r="M442" s="57"/>
      <c r="N442" s="263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J442" s="256"/>
      <c r="AP442" s="57"/>
      <c r="AR442" s="257"/>
    </row>
    <row r="443" spans="1:44" s="25" customFormat="1" x14ac:dyDescent="0.25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263"/>
      <c r="L443" s="57"/>
      <c r="M443" s="57"/>
      <c r="N443" s="263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J443" s="256"/>
      <c r="AP443" s="57"/>
      <c r="AR443" s="257"/>
    </row>
    <row r="444" spans="1:44" s="25" customFormat="1" x14ac:dyDescent="0.25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263"/>
      <c r="L444" s="57"/>
      <c r="M444" s="57"/>
      <c r="N444" s="263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J444" s="256"/>
      <c r="AP444" s="57"/>
      <c r="AR444" s="257"/>
    </row>
    <row r="445" spans="1:44" s="25" customFormat="1" x14ac:dyDescent="0.2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263"/>
      <c r="L445" s="57"/>
      <c r="M445" s="57"/>
      <c r="N445" s="263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J445" s="256"/>
      <c r="AP445" s="57"/>
      <c r="AR445" s="257"/>
    </row>
    <row r="446" spans="1:44" s="25" customFormat="1" x14ac:dyDescent="0.25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263"/>
      <c r="L446" s="57"/>
      <c r="M446" s="57"/>
      <c r="N446" s="263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J446" s="256"/>
      <c r="AP446" s="57"/>
      <c r="AR446" s="257"/>
    </row>
    <row r="447" spans="1:44" s="25" customFormat="1" x14ac:dyDescent="0.25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263"/>
      <c r="L447" s="57"/>
      <c r="M447" s="57"/>
      <c r="N447" s="263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J447" s="256"/>
      <c r="AP447" s="57"/>
      <c r="AR447" s="257"/>
    </row>
    <row r="448" spans="1:44" s="25" customFormat="1" x14ac:dyDescent="0.25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263"/>
      <c r="L448" s="57"/>
      <c r="M448" s="57"/>
      <c r="N448" s="263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J448" s="256"/>
      <c r="AP448" s="57"/>
      <c r="AR448" s="257"/>
    </row>
    <row r="449" spans="1:44" s="25" customFormat="1" x14ac:dyDescent="0.25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263"/>
      <c r="L449" s="57"/>
      <c r="M449" s="57"/>
      <c r="N449" s="263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J449" s="256"/>
      <c r="AP449" s="57"/>
      <c r="AR449" s="257"/>
    </row>
    <row r="450" spans="1:44" s="25" customFormat="1" x14ac:dyDescent="0.25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263"/>
      <c r="L450" s="57"/>
      <c r="M450" s="57"/>
      <c r="N450" s="263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J450" s="256"/>
      <c r="AP450" s="57"/>
      <c r="AR450" s="257"/>
    </row>
    <row r="451" spans="1:44" s="25" customFormat="1" x14ac:dyDescent="0.25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263"/>
      <c r="L451" s="57"/>
      <c r="M451" s="57"/>
      <c r="N451" s="263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J451" s="256"/>
      <c r="AP451" s="57"/>
      <c r="AR451" s="257"/>
    </row>
    <row r="452" spans="1:44" s="25" customFormat="1" x14ac:dyDescent="0.25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263"/>
      <c r="L452" s="57"/>
      <c r="M452" s="57"/>
      <c r="N452" s="263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J452" s="256"/>
      <c r="AP452" s="57"/>
      <c r="AR452" s="257"/>
    </row>
    <row r="453" spans="1:44" s="25" customFormat="1" x14ac:dyDescent="0.25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263"/>
      <c r="L453" s="57"/>
      <c r="M453" s="57"/>
      <c r="N453" s="263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J453" s="256"/>
      <c r="AP453" s="57"/>
      <c r="AR453" s="257"/>
    </row>
    <row r="454" spans="1:44" s="25" customFormat="1" x14ac:dyDescent="0.25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263"/>
      <c r="L454" s="57"/>
      <c r="M454" s="57"/>
      <c r="N454" s="263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J454" s="256"/>
      <c r="AP454" s="57"/>
      <c r="AR454" s="257"/>
    </row>
    <row r="455" spans="1:44" s="25" customFormat="1" x14ac:dyDescent="0.2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263"/>
      <c r="L455" s="57"/>
      <c r="M455" s="57"/>
      <c r="N455" s="263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J455" s="256"/>
      <c r="AP455" s="57"/>
      <c r="AR455" s="257"/>
    </row>
    <row r="456" spans="1:44" s="25" customFormat="1" x14ac:dyDescent="0.25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263"/>
      <c r="L456" s="57"/>
      <c r="M456" s="57"/>
      <c r="N456" s="263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J456" s="256"/>
      <c r="AP456" s="57"/>
      <c r="AR456" s="257"/>
    </row>
    <row r="457" spans="1:44" s="25" customFormat="1" x14ac:dyDescent="0.25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263"/>
      <c r="L457" s="57"/>
      <c r="M457" s="57"/>
      <c r="N457" s="263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J457" s="256"/>
      <c r="AP457" s="57"/>
      <c r="AR457" s="257"/>
    </row>
    <row r="458" spans="1:44" s="25" customFormat="1" x14ac:dyDescent="0.25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263"/>
      <c r="L458" s="57"/>
      <c r="M458" s="57"/>
      <c r="N458" s="263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J458" s="256"/>
      <c r="AP458" s="57"/>
      <c r="AR458" s="257"/>
    </row>
    <row r="459" spans="1:44" s="25" customFormat="1" x14ac:dyDescent="0.25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263"/>
      <c r="L459" s="57"/>
      <c r="M459" s="57"/>
      <c r="N459" s="263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J459" s="256"/>
      <c r="AP459" s="57"/>
      <c r="AR459" s="257"/>
    </row>
    <row r="460" spans="1:44" s="25" customFormat="1" x14ac:dyDescent="0.25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263"/>
      <c r="L460" s="57"/>
      <c r="M460" s="57"/>
      <c r="N460" s="263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J460" s="256"/>
      <c r="AP460" s="57"/>
      <c r="AR460" s="257"/>
    </row>
    <row r="461" spans="1:44" s="25" customFormat="1" x14ac:dyDescent="0.25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263"/>
      <c r="L461" s="57"/>
      <c r="M461" s="57"/>
      <c r="N461" s="263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J461" s="256"/>
      <c r="AP461" s="57"/>
      <c r="AR461" s="257"/>
    </row>
    <row r="462" spans="1:44" s="25" customFormat="1" x14ac:dyDescent="0.25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263"/>
      <c r="L462" s="57"/>
      <c r="M462" s="57"/>
      <c r="N462" s="263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J462" s="256"/>
      <c r="AP462" s="57"/>
      <c r="AR462" s="257"/>
    </row>
    <row r="463" spans="1:44" s="25" customFormat="1" x14ac:dyDescent="0.25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263"/>
      <c r="L463" s="57"/>
      <c r="M463" s="57"/>
      <c r="N463" s="263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J463" s="256"/>
      <c r="AP463" s="57"/>
      <c r="AR463" s="257"/>
    </row>
    <row r="464" spans="1:44" s="25" customFormat="1" x14ac:dyDescent="0.25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263"/>
      <c r="L464" s="57"/>
      <c r="M464" s="57"/>
      <c r="N464" s="263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J464" s="256"/>
      <c r="AP464" s="57"/>
      <c r="AR464" s="257"/>
    </row>
    <row r="465" spans="1:44" s="25" customFormat="1" x14ac:dyDescent="0.2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263"/>
      <c r="L465" s="57"/>
      <c r="M465" s="57"/>
      <c r="N465" s="263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J465" s="256"/>
      <c r="AP465" s="57"/>
      <c r="AR465" s="257"/>
    </row>
    <row r="466" spans="1:44" s="25" customFormat="1" x14ac:dyDescent="0.25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263"/>
      <c r="L466" s="57"/>
      <c r="M466" s="57"/>
      <c r="N466" s="263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J466" s="256"/>
      <c r="AP466" s="57"/>
      <c r="AR466" s="257"/>
    </row>
    <row r="467" spans="1:44" s="25" customFormat="1" x14ac:dyDescent="0.25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263"/>
      <c r="L467" s="57"/>
      <c r="M467" s="57"/>
      <c r="N467" s="263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J467" s="256"/>
      <c r="AP467" s="57"/>
      <c r="AR467" s="257"/>
    </row>
    <row r="468" spans="1:44" s="25" customFormat="1" x14ac:dyDescent="0.25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263"/>
      <c r="L468" s="57"/>
      <c r="M468" s="57"/>
      <c r="N468" s="263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J468" s="256"/>
      <c r="AP468" s="57"/>
      <c r="AR468" s="257"/>
    </row>
    <row r="469" spans="1:44" s="25" customFormat="1" x14ac:dyDescent="0.25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263"/>
      <c r="L469" s="57"/>
      <c r="M469" s="57"/>
      <c r="N469" s="263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J469" s="256"/>
      <c r="AP469" s="57"/>
      <c r="AR469" s="257"/>
    </row>
    <row r="470" spans="1:44" s="25" customFormat="1" x14ac:dyDescent="0.25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263"/>
      <c r="L470" s="57"/>
      <c r="M470" s="57"/>
      <c r="N470" s="263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J470" s="256"/>
      <c r="AP470" s="57"/>
      <c r="AR470" s="257"/>
    </row>
    <row r="471" spans="1:44" s="25" customFormat="1" x14ac:dyDescent="0.25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263"/>
      <c r="L471" s="57"/>
      <c r="M471" s="57"/>
      <c r="N471" s="263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J471" s="256"/>
      <c r="AP471" s="57"/>
      <c r="AR471" s="257"/>
    </row>
    <row r="472" spans="1:44" s="25" customFormat="1" x14ac:dyDescent="0.25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263"/>
      <c r="L472" s="57"/>
      <c r="M472" s="57"/>
      <c r="N472" s="263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J472" s="256"/>
      <c r="AP472" s="57"/>
      <c r="AR472" s="257"/>
    </row>
    <row r="473" spans="1:44" s="25" customFormat="1" x14ac:dyDescent="0.25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263"/>
      <c r="L473" s="57"/>
      <c r="M473" s="57"/>
      <c r="N473" s="263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J473" s="256"/>
      <c r="AP473" s="57"/>
      <c r="AR473" s="257"/>
    </row>
    <row r="474" spans="1:44" s="25" customFormat="1" x14ac:dyDescent="0.25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263"/>
      <c r="L474" s="57"/>
      <c r="M474" s="57"/>
      <c r="N474" s="263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J474" s="256"/>
      <c r="AP474" s="57"/>
      <c r="AR474" s="257"/>
    </row>
    <row r="475" spans="1:44" s="25" customFormat="1" x14ac:dyDescent="0.2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263"/>
      <c r="L475" s="57"/>
      <c r="M475" s="57"/>
      <c r="N475" s="263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J475" s="256"/>
      <c r="AP475" s="57"/>
      <c r="AR475" s="257"/>
    </row>
    <row r="476" spans="1:44" s="25" customFormat="1" x14ac:dyDescent="0.25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263"/>
      <c r="L476" s="57"/>
      <c r="M476" s="57"/>
      <c r="N476" s="263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J476" s="256"/>
      <c r="AP476" s="57"/>
      <c r="AR476" s="257"/>
    </row>
    <row r="477" spans="1:44" s="25" customFormat="1" x14ac:dyDescent="0.25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263"/>
      <c r="L477" s="57"/>
      <c r="M477" s="57"/>
      <c r="N477" s="263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J477" s="256"/>
      <c r="AP477" s="57"/>
      <c r="AR477" s="257"/>
    </row>
    <row r="478" spans="1:44" s="25" customFormat="1" x14ac:dyDescent="0.25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263"/>
      <c r="L478" s="57"/>
      <c r="M478" s="57"/>
      <c r="N478" s="263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J478" s="256"/>
      <c r="AP478" s="57"/>
      <c r="AR478" s="257"/>
    </row>
    <row r="479" spans="1:44" s="25" customFormat="1" x14ac:dyDescent="0.25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263"/>
      <c r="L479" s="57"/>
      <c r="M479" s="57"/>
      <c r="N479" s="263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J479" s="256"/>
      <c r="AP479" s="57"/>
      <c r="AR479" s="257"/>
    </row>
    <row r="480" spans="1:44" s="25" customFormat="1" x14ac:dyDescent="0.25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263"/>
      <c r="L480" s="57"/>
      <c r="M480" s="57"/>
      <c r="N480" s="263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J480" s="256"/>
      <c r="AP480" s="57"/>
      <c r="AR480" s="257"/>
    </row>
    <row r="481" spans="1:44" s="25" customFormat="1" x14ac:dyDescent="0.25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263"/>
      <c r="L481" s="57"/>
      <c r="M481" s="57"/>
      <c r="N481" s="263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J481" s="256"/>
      <c r="AP481" s="57"/>
      <c r="AR481" s="257"/>
    </row>
    <row r="482" spans="1:44" s="25" customFormat="1" x14ac:dyDescent="0.25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263"/>
      <c r="L482" s="57"/>
      <c r="M482" s="57"/>
      <c r="N482" s="263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J482" s="256"/>
      <c r="AP482" s="57"/>
      <c r="AR482" s="257"/>
    </row>
    <row r="483" spans="1:44" s="25" customFormat="1" x14ac:dyDescent="0.25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263"/>
      <c r="L483" s="57"/>
      <c r="M483" s="57"/>
      <c r="N483" s="263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J483" s="256"/>
      <c r="AP483" s="57"/>
      <c r="AR483" s="257"/>
    </row>
    <row r="484" spans="1:44" s="25" customFormat="1" x14ac:dyDescent="0.25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263"/>
      <c r="L484" s="57"/>
      <c r="M484" s="57"/>
      <c r="N484" s="263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J484" s="256"/>
      <c r="AP484" s="57"/>
      <c r="AR484" s="257"/>
    </row>
    <row r="485" spans="1:44" s="25" customFormat="1" x14ac:dyDescent="0.2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263"/>
      <c r="L485" s="57"/>
      <c r="M485" s="57"/>
      <c r="N485" s="263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J485" s="256"/>
      <c r="AP485" s="57"/>
      <c r="AR485" s="257"/>
    </row>
    <row r="486" spans="1:44" s="25" customFormat="1" x14ac:dyDescent="0.25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263"/>
      <c r="L486" s="57"/>
      <c r="M486" s="57"/>
      <c r="N486" s="263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J486" s="256"/>
      <c r="AP486" s="57"/>
      <c r="AR486" s="257"/>
    </row>
    <row r="487" spans="1:44" s="25" customFormat="1" x14ac:dyDescent="0.25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263"/>
      <c r="L487" s="57"/>
      <c r="M487" s="57"/>
      <c r="N487" s="263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J487" s="256"/>
      <c r="AP487" s="57"/>
      <c r="AR487" s="257"/>
    </row>
    <row r="488" spans="1:44" s="25" customFormat="1" x14ac:dyDescent="0.25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263"/>
      <c r="L488" s="57"/>
      <c r="M488" s="57"/>
      <c r="N488" s="263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J488" s="256"/>
      <c r="AP488" s="57"/>
      <c r="AR488" s="257"/>
    </row>
    <row r="489" spans="1:44" s="25" customFormat="1" x14ac:dyDescent="0.25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263"/>
      <c r="L489" s="57"/>
      <c r="M489" s="57"/>
      <c r="N489" s="263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J489" s="256"/>
      <c r="AP489" s="57"/>
      <c r="AR489" s="257"/>
    </row>
    <row r="490" spans="1:44" s="25" customFormat="1" x14ac:dyDescent="0.25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263"/>
      <c r="L490" s="57"/>
      <c r="M490" s="57"/>
      <c r="N490" s="263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J490" s="256"/>
      <c r="AP490" s="57"/>
      <c r="AR490" s="257"/>
    </row>
    <row r="491" spans="1:44" s="25" customFormat="1" x14ac:dyDescent="0.25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263"/>
      <c r="L491" s="57"/>
      <c r="M491" s="57"/>
      <c r="N491" s="263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J491" s="256"/>
      <c r="AP491" s="57"/>
      <c r="AR491" s="257"/>
    </row>
    <row r="492" spans="1:44" s="25" customFormat="1" x14ac:dyDescent="0.25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263"/>
      <c r="L492" s="57"/>
      <c r="M492" s="57"/>
      <c r="N492" s="263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J492" s="256"/>
      <c r="AP492" s="57"/>
      <c r="AR492" s="257"/>
    </row>
    <row r="493" spans="1:44" s="25" customFormat="1" x14ac:dyDescent="0.25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263"/>
      <c r="L493" s="57"/>
      <c r="M493" s="57"/>
      <c r="N493" s="263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J493" s="256"/>
      <c r="AP493" s="57"/>
      <c r="AR493" s="257"/>
    </row>
    <row r="494" spans="1:44" s="25" customFormat="1" x14ac:dyDescent="0.25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263"/>
      <c r="L494" s="57"/>
      <c r="M494" s="57"/>
      <c r="N494" s="263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J494" s="256"/>
      <c r="AP494" s="57"/>
      <c r="AR494" s="257"/>
    </row>
    <row r="495" spans="1:44" s="25" customFormat="1" x14ac:dyDescent="0.2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263"/>
      <c r="L495" s="57"/>
      <c r="M495" s="57"/>
      <c r="N495" s="263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J495" s="256"/>
      <c r="AP495" s="57"/>
      <c r="AR495" s="257"/>
    </row>
    <row r="496" spans="1:44" s="25" customFormat="1" x14ac:dyDescent="0.25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263"/>
      <c r="L496" s="57"/>
      <c r="M496" s="57"/>
      <c r="N496" s="263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J496" s="256"/>
      <c r="AP496" s="57"/>
      <c r="AR496" s="257"/>
    </row>
    <row r="497" spans="1:44" s="25" customFormat="1" x14ac:dyDescent="0.25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263"/>
      <c r="L497" s="57"/>
      <c r="M497" s="57"/>
      <c r="N497" s="263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J497" s="256"/>
      <c r="AP497" s="57"/>
      <c r="AR497" s="257"/>
    </row>
  </sheetData>
  <sheetProtection algorithmName="SHA-512" hashValue="OwxhBqDOH6bpYyQO4Z8baj3FVJSdAakJ4G//NtvMDmT/RFO2tgwO/qMwWibuJSEVmAlxtzNWmMGlmZ3vG/MYww==" saltValue="WEE+ziRMRyDjC4u4BaPBjw==" spinCount="100000" sheet="1" formatCells="0" formatColumns="0" formatRows="0" insertColumns="0" insertRows="0" insertHyperlinks="0" selectLockedCells="1" sort="0" autoFilter="0" pivotTables="0"/>
  <mergeCells count="29">
    <mergeCell ref="B2:E4"/>
    <mergeCell ref="O2:P2"/>
    <mergeCell ref="O3:P3"/>
    <mergeCell ref="O4:P4"/>
    <mergeCell ref="F2:J4"/>
    <mergeCell ref="D10:F10"/>
    <mergeCell ref="D6:F6"/>
    <mergeCell ref="W23:Y23"/>
    <mergeCell ref="J14:J15"/>
    <mergeCell ref="AR22:AS22"/>
    <mergeCell ref="G23:J23"/>
    <mergeCell ref="AB23:AE23"/>
    <mergeCell ref="AF23:AI23"/>
    <mergeCell ref="K23:N23"/>
    <mergeCell ref="J16:J20"/>
    <mergeCell ref="H15:I15"/>
    <mergeCell ref="H16:I16"/>
    <mergeCell ref="H17:I17"/>
    <mergeCell ref="D20:G20"/>
    <mergeCell ref="H20:I20"/>
    <mergeCell ref="H18:I18"/>
    <mergeCell ref="D14:I14"/>
    <mergeCell ref="B23:D23"/>
    <mergeCell ref="B66:Q66"/>
    <mergeCell ref="W22:AP22"/>
    <mergeCell ref="B22:T22"/>
    <mergeCell ref="H19:I19"/>
    <mergeCell ref="E18:F18"/>
    <mergeCell ref="F19:G19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M25:M64 F25 F26:F64 AA25:AA64" calculatedColumn="1"/>
  </ignoredErrors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DF0024-8646-4FC3-95AB-09D9BE36CBFD}">
          <x14:formula1>
            <xm:f>BASE!$BA$3:$BA$19</xm:f>
          </x14:formula1>
          <xm:sqref>C25:C64 X25:X64</xm:sqref>
        </x14:dataValidation>
        <x14:dataValidation type="list" allowBlank="1" showInputMessage="1" showErrorMessage="1" xr:uid="{E310B6CD-1D5A-461A-8297-219643B06E55}">
          <x14:formula1>
            <xm:f>BASE!$O$3:$O$7</xm:f>
          </x14:formula1>
          <xm:sqref>J25:J64 AE25:AE64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0338-200D-4FF4-BA67-7E1D5ED537F5}">
  <sheetPr>
    <tabColor rgb="FF92D050"/>
  </sheetPr>
  <dimension ref="A1:AV142"/>
  <sheetViews>
    <sheetView showGridLines="0" zoomScale="80" zoomScaleNormal="80" workbookViewId="0">
      <selection activeCell="J24" sqref="J24"/>
    </sheetView>
  </sheetViews>
  <sheetFormatPr defaultColWidth="8.81640625" defaultRowHeight="11.5" x14ac:dyDescent="0.25"/>
  <cols>
    <col min="1" max="1" width="4.1796875" style="1" customWidth="1"/>
    <col min="2" max="2" width="9.453125" style="5" bestFit="1" customWidth="1"/>
    <col min="3" max="3" width="21.54296875" style="5" bestFit="1" customWidth="1"/>
    <col min="4" max="4" width="44.1796875" style="5" customWidth="1"/>
    <col min="5" max="5" width="13.54296875" style="5" bestFit="1" customWidth="1"/>
    <col min="6" max="6" width="35.81640625" style="5" bestFit="1" customWidth="1"/>
    <col min="7" max="7" width="14.54296875" style="5" customWidth="1"/>
    <col min="8" max="8" width="19.453125" style="5" customWidth="1"/>
    <col min="9" max="9" width="14.54296875" style="5" bestFit="1" customWidth="1"/>
    <col min="10" max="10" width="11" style="5" bestFit="1" customWidth="1"/>
    <col min="11" max="11" width="12.54296875" style="79" hidden="1" customWidth="1"/>
    <col min="12" max="12" width="20.81640625" style="5" bestFit="1" customWidth="1"/>
    <col min="13" max="13" width="14.81640625" style="5" hidden="1" customWidth="1"/>
    <col min="14" max="14" width="11" style="79" hidden="1" customWidth="1"/>
    <col min="15" max="15" width="13.26953125" style="5" hidden="1" customWidth="1"/>
    <col min="16" max="16" width="11.453125" style="5" hidden="1" customWidth="1"/>
    <col min="17" max="18" width="12" style="5" hidden="1" customWidth="1"/>
    <col min="19" max="19" width="11.26953125" style="5" hidden="1" customWidth="1"/>
    <col min="20" max="20" width="29.54296875" style="1" bestFit="1" customWidth="1"/>
    <col min="21" max="22" width="8.7265625" style="1" customWidth="1"/>
    <col min="23" max="23" width="9.453125" style="5" bestFit="1" customWidth="1"/>
    <col min="24" max="24" width="21.54296875" style="5" bestFit="1" customWidth="1"/>
    <col min="25" max="25" width="60.453125" style="5" customWidth="1"/>
    <col min="26" max="26" width="13.54296875" style="5" bestFit="1" customWidth="1"/>
    <col min="27" max="27" width="32.7265625" style="5" bestFit="1" customWidth="1"/>
    <col min="28" max="28" width="9.453125" style="5" bestFit="1" customWidth="1"/>
    <col min="29" max="29" width="13.54296875" style="5" bestFit="1" customWidth="1"/>
    <col min="30" max="30" width="14.54296875" style="5" bestFit="1" customWidth="1"/>
    <col min="31" max="31" width="11" style="5" bestFit="1" customWidth="1"/>
    <col min="32" max="32" width="12.54296875" style="5" hidden="1" customWidth="1"/>
    <col min="33" max="33" width="20.81640625" style="5" bestFit="1" customWidth="1"/>
    <col min="34" max="34" width="14.81640625" style="5" hidden="1" customWidth="1"/>
    <col min="35" max="35" width="11" style="5" hidden="1" customWidth="1"/>
    <col min="36" max="36" width="13.26953125" style="5" hidden="1" customWidth="1"/>
    <col min="37" max="37" width="11.453125" style="5" hidden="1" customWidth="1"/>
    <col min="38" max="39" width="12" style="5" hidden="1" customWidth="1"/>
    <col min="40" max="40" width="11.26953125" style="5" hidden="1" customWidth="1"/>
    <col min="41" max="41" width="12.1796875" style="5" hidden="1" customWidth="1"/>
    <col min="42" max="42" width="29.54296875" style="1" bestFit="1" customWidth="1"/>
    <col min="43" max="46" width="8.81640625" style="1"/>
    <col min="47" max="47" width="4" style="244" bestFit="1" customWidth="1"/>
    <col min="48" max="48" width="38.26953125" style="1" bestFit="1" customWidth="1"/>
    <col min="49" max="71" width="8.81640625" style="1"/>
    <col min="72" max="72" width="3" style="1" bestFit="1" customWidth="1"/>
    <col min="73" max="73" width="32.7265625" style="1" bestFit="1" customWidth="1"/>
    <col min="74" max="16384" width="8.81640625" style="1"/>
  </cols>
  <sheetData>
    <row r="1" spans="1:47" s="152" customFormat="1" ht="15" customHeight="1" x14ac:dyDescent="0.25">
      <c r="A1" s="733"/>
      <c r="B1" s="733"/>
      <c r="C1" s="733"/>
      <c r="D1" s="733"/>
      <c r="E1" s="733"/>
      <c r="F1" s="734" t="s">
        <v>107</v>
      </c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U1" s="245"/>
    </row>
    <row r="2" spans="1:47" s="97" customFormat="1" ht="22.5" customHeight="1" x14ac:dyDescent="0.35">
      <c r="A2" s="733"/>
      <c r="B2" s="733"/>
      <c r="C2" s="733"/>
      <c r="D2" s="733"/>
      <c r="E2" s="733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27"/>
      <c r="AJ2" s="127"/>
      <c r="AU2" s="168"/>
    </row>
    <row r="3" spans="1:47" s="97" customFormat="1" ht="22.5" customHeight="1" x14ac:dyDescent="0.35">
      <c r="A3" s="733"/>
      <c r="B3" s="733"/>
      <c r="C3" s="733"/>
      <c r="D3" s="733"/>
      <c r="E3" s="733"/>
      <c r="F3" s="734"/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27"/>
      <c r="AJ3" s="127"/>
      <c r="AU3" s="168"/>
    </row>
    <row r="4" spans="1:47" s="97" customFormat="1" ht="22.5" customHeight="1" x14ac:dyDescent="0.35">
      <c r="A4" s="733"/>
      <c r="B4" s="733"/>
      <c r="C4" s="733"/>
      <c r="D4" s="733"/>
      <c r="E4" s="733"/>
      <c r="F4" s="734"/>
      <c r="G4" s="734"/>
      <c r="H4" s="734"/>
      <c r="I4" s="734"/>
      <c r="J4" s="734"/>
      <c r="K4" s="734"/>
      <c r="L4" s="734"/>
      <c r="M4" s="734"/>
      <c r="N4" s="734"/>
      <c r="O4" s="734"/>
      <c r="P4" s="734"/>
      <c r="Q4" s="734"/>
      <c r="R4" s="734"/>
      <c r="S4" s="734"/>
      <c r="T4" s="734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27"/>
      <c r="AJ4" s="127"/>
      <c r="AU4" s="168"/>
    </row>
    <row r="5" spans="1:47" s="97" customFormat="1" x14ac:dyDescent="0.25">
      <c r="A5" s="251"/>
      <c r="B5" s="251"/>
      <c r="C5" s="251"/>
      <c r="D5" s="713" t="s">
        <v>108</v>
      </c>
      <c r="E5" s="713"/>
      <c r="F5" s="713"/>
      <c r="H5" s="157" t="s">
        <v>69</v>
      </c>
      <c r="I5" s="150"/>
      <c r="J5" s="15"/>
      <c r="K5" s="79"/>
      <c r="L5" s="175" t="s">
        <v>69</v>
      </c>
      <c r="M5" s="252"/>
      <c r="N5" s="252"/>
      <c r="O5" s="252"/>
      <c r="P5" s="252"/>
      <c r="Q5" s="252"/>
      <c r="R5" s="252"/>
      <c r="S5" s="252"/>
      <c r="T5" s="252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27"/>
      <c r="AJ5" s="127"/>
      <c r="AU5" s="168"/>
    </row>
    <row r="6" spans="1:47" s="97" customFormat="1" x14ac:dyDescent="0.25">
      <c r="A6" s="251"/>
      <c r="B6" s="251"/>
      <c r="C6" s="251"/>
      <c r="D6" s="155" t="s">
        <v>38</v>
      </c>
      <c r="E6" s="156" t="s">
        <v>109</v>
      </c>
      <c r="F6" s="155" t="s">
        <v>110</v>
      </c>
      <c r="G6" s="116"/>
      <c r="H6" s="155" t="s">
        <v>111</v>
      </c>
      <c r="I6" s="150"/>
      <c r="J6" s="12"/>
      <c r="K6" s="79"/>
      <c r="L6" s="155" t="s">
        <v>69</v>
      </c>
      <c r="M6" s="252"/>
      <c r="N6" s="252"/>
      <c r="O6" s="252"/>
      <c r="P6" s="252"/>
      <c r="Q6" s="252"/>
      <c r="R6" s="252"/>
      <c r="S6" s="252"/>
      <c r="T6" s="252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27"/>
      <c r="AJ6" s="127"/>
      <c r="AU6" s="168"/>
    </row>
    <row r="7" spans="1:47" s="97" customFormat="1" x14ac:dyDescent="0.25">
      <c r="A7" s="251"/>
      <c r="B7" s="251"/>
      <c r="C7" s="251"/>
      <c r="D7" s="113" t="s">
        <v>108</v>
      </c>
      <c r="E7" s="112">
        <f>ServExt8[[#Totals],[TOTAL4]]/2</f>
        <v>1245</v>
      </c>
      <c r="F7" s="20">
        <f>(E7*H7)/O71</f>
        <v>140572.31370229647</v>
      </c>
      <c r="G7" s="117"/>
      <c r="H7" s="103">
        <v>90</v>
      </c>
      <c r="I7" s="118"/>
      <c r="J7" s="13"/>
      <c r="K7" s="79"/>
      <c r="L7" s="22">
        <f>(E7*H7)</f>
        <v>112050</v>
      </c>
      <c r="M7" s="252"/>
      <c r="N7" s="252"/>
      <c r="O7" s="252"/>
      <c r="P7" s="252"/>
      <c r="Q7" s="252"/>
      <c r="R7" s="252"/>
      <c r="S7" s="252"/>
      <c r="T7" s="252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27"/>
      <c r="AJ7" s="127"/>
      <c r="AU7" s="168"/>
    </row>
    <row r="8" spans="1:47" s="97" customFormat="1" x14ac:dyDescent="0.25">
      <c r="A8" s="251"/>
      <c r="B8" s="251"/>
      <c r="C8" s="251"/>
      <c r="D8" s="114"/>
      <c r="E8" s="115"/>
      <c r="F8" s="14"/>
      <c r="G8" s="115"/>
      <c r="H8" s="100"/>
      <c r="I8" s="14"/>
      <c r="J8" s="14"/>
      <c r="K8" s="79"/>
      <c r="L8" s="17"/>
      <c r="M8" s="252"/>
      <c r="N8" s="252"/>
      <c r="O8" s="252"/>
      <c r="P8" s="252"/>
      <c r="Q8" s="252"/>
      <c r="R8" s="252"/>
      <c r="S8" s="252"/>
      <c r="T8" s="252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27"/>
      <c r="AJ8" s="127"/>
      <c r="AU8" s="168"/>
    </row>
    <row r="9" spans="1:47" s="97" customFormat="1" x14ac:dyDescent="0.25">
      <c r="A9" s="251"/>
      <c r="B9" s="251"/>
      <c r="C9" s="251"/>
      <c r="D9" s="713" t="s">
        <v>113</v>
      </c>
      <c r="E9" s="713"/>
      <c r="F9" s="713"/>
      <c r="G9" s="115"/>
      <c r="H9" s="157" t="s">
        <v>69</v>
      </c>
      <c r="I9" s="14"/>
      <c r="J9" s="15"/>
      <c r="K9" s="79"/>
      <c r="L9" s="175" t="s">
        <v>69</v>
      </c>
      <c r="M9" s="252"/>
      <c r="N9" s="252"/>
      <c r="O9" s="252"/>
      <c r="P9" s="252"/>
      <c r="Q9" s="252"/>
      <c r="R9" s="252"/>
      <c r="S9" s="252"/>
      <c r="T9" s="252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27"/>
      <c r="AJ9" s="127"/>
      <c r="AU9" s="168"/>
    </row>
    <row r="10" spans="1:47" s="97" customFormat="1" x14ac:dyDescent="0.25">
      <c r="A10" s="251"/>
      <c r="B10" s="251"/>
      <c r="C10" s="251"/>
      <c r="D10" s="155" t="s">
        <v>38</v>
      </c>
      <c r="E10" s="156" t="s">
        <v>109</v>
      </c>
      <c r="F10" s="155" t="s">
        <v>110</v>
      </c>
      <c r="G10" s="115"/>
      <c r="H10" s="155" t="s">
        <v>114</v>
      </c>
      <c r="I10" s="14"/>
      <c r="J10" s="14"/>
      <c r="K10" s="79"/>
      <c r="L10" s="155" t="s">
        <v>69</v>
      </c>
      <c r="M10" s="252"/>
      <c r="N10" s="252"/>
      <c r="O10" s="252"/>
      <c r="P10" s="252"/>
      <c r="Q10" s="252"/>
      <c r="R10" s="252"/>
      <c r="S10" s="252"/>
      <c r="T10" s="252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27"/>
      <c r="AJ10" s="127"/>
      <c r="AU10" s="168"/>
    </row>
    <row r="11" spans="1:47" s="97" customFormat="1" x14ac:dyDescent="0.25">
      <c r="A11" s="251"/>
      <c r="B11" s="251"/>
      <c r="C11" s="251"/>
      <c r="D11" s="113" t="s">
        <v>115</v>
      </c>
      <c r="E11" s="112">
        <f>ServExt8[[#Totals],[TOTAL4]]</f>
        <v>2490</v>
      </c>
      <c r="F11" s="20">
        <f>(E11*H11)/O75</f>
        <v>78095.729834609156</v>
      </c>
      <c r="G11" s="115"/>
      <c r="H11" s="103">
        <v>25</v>
      </c>
      <c r="I11" s="14"/>
      <c r="J11" s="14"/>
      <c r="K11" s="79"/>
      <c r="L11" s="22">
        <f>(E11*H11)</f>
        <v>62250</v>
      </c>
      <c r="M11" s="252"/>
      <c r="N11" s="252"/>
      <c r="O11" s="252"/>
      <c r="P11" s="252"/>
      <c r="Q11" s="252"/>
      <c r="R11" s="252"/>
      <c r="S11" s="252"/>
      <c r="T11" s="252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27"/>
      <c r="AJ11" s="127"/>
      <c r="AU11" s="168"/>
    </row>
    <row r="12" spans="1:47" s="97" customFormat="1" x14ac:dyDescent="0.25">
      <c r="A12" s="167"/>
      <c r="B12" s="167"/>
      <c r="C12" s="167"/>
      <c r="D12" s="114"/>
      <c r="E12" s="115"/>
      <c r="F12" s="14"/>
      <c r="G12" s="115"/>
      <c r="H12" s="115"/>
      <c r="I12" s="14"/>
      <c r="J12" s="14"/>
      <c r="K12" s="79"/>
      <c r="L12" s="17"/>
      <c r="M12" s="253"/>
      <c r="N12" s="253"/>
      <c r="O12" s="253"/>
      <c r="P12" s="253"/>
      <c r="Q12" s="253"/>
      <c r="R12" s="253"/>
      <c r="S12" s="253"/>
      <c r="T12" s="253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27"/>
      <c r="AJ12" s="127"/>
      <c r="AU12" s="168"/>
    </row>
    <row r="13" spans="1:47" s="97" customFormat="1" x14ac:dyDescent="0.25">
      <c r="A13" s="167"/>
      <c r="B13" s="167"/>
      <c r="C13" s="167"/>
      <c r="D13" s="713" t="s">
        <v>116</v>
      </c>
      <c r="E13" s="713"/>
      <c r="F13" s="713"/>
      <c r="G13" s="713"/>
      <c r="H13" s="713"/>
      <c r="I13" s="713"/>
      <c r="J13" s="719" t="s">
        <v>117</v>
      </c>
      <c r="K13" s="79"/>
      <c r="L13" s="175" t="s">
        <v>69</v>
      </c>
      <c r="O13" s="167"/>
      <c r="P13" s="167"/>
      <c r="Q13" s="168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27"/>
      <c r="AJ13" s="127"/>
      <c r="AU13" s="168"/>
    </row>
    <row r="14" spans="1:47" s="97" customFormat="1" x14ac:dyDescent="0.25">
      <c r="A14" s="167"/>
      <c r="B14" s="167"/>
      <c r="C14" s="167"/>
      <c r="D14" s="155" t="s">
        <v>38</v>
      </c>
      <c r="E14" s="156" t="s">
        <v>118</v>
      </c>
      <c r="F14" s="155" t="s">
        <v>119</v>
      </c>
      <c r="G14" s="155" t="s">
        <v>120</v>
      </c>
      <c r="H14" s="725" t="s">
        <v>110</v>
      </c>
      <c r="I14" s="725"/>
      <c r="J14" s="720"/>
      <c r="K14" s="79"/>
      <c r="L14" s="160" t="s">
        <v>110</v>
      </c>
      <c r="O14" s="167"/>
      <c r="P14" s="167"/>
      <c r="Q14" s="168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27"/>
      <c r="AJ14" s="127"/>
      <c r="AU14" s="168"/>
    </row>
    <row r="15" spans="1:47" s="97" customFormat="1" x14ac:dyDescent="0.25">
      <c r="A15" s="167"/>
      <c r="B15" s="167"/>
      <c r="C15" s="167"/>
      <c r="D15" s="113" t="s">
        <v>121</v>
      </c>
      <c r="E15" s="119">
        <v>8</v>
      </c>
      <c r="F15" s="120">
        <v>75</v>
      </c>
      <c r="G15" s="104">
        <v>234</v>
      </c>
      <c r="H15" s="716">
        <f>(((G15*E15*BASE!M3)+(F15*E15))/O79)</f>
        <v>3101.2472956008646</v>
      </c>
      <c r="I15" s="716"/>
      <c r="J15" s="724">
        <v>5</v>
      </c>
      <c r="K15" s="79"/>
      <c r="L15" s="18">
        <f>((G15*E15*BASE!M3)+(F15*E15))</f>
        <v>2472</v>
      </c>
      <c r="O15" s="167"/>
      <c r="P15" s="167"/>
      <c r="Q15" s="168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27"/>
      <c r="AJ15" s="127"/>
      <c r="AU15" s="168"/>
    </row>
    <row r="16" spans="1:47" s="97" customFormat="1" x14ac:dyDescent="0.25">
      <c r="A16" s="167"/>
      <c r="B16" s="167"/>
      <c r="C16" s="167"/>
      <c r="D16" s="113" t="s">
        <v>278</v>
      </c>
      <c r="E16" s="119">
        <v>220</v>
      </c>
      <c r="F16" s="120"/>
      <c r="G16" s="104">
        <v>10</v>
      </c>
      <c r="H16" s="716">
        <f>(((G16*E16*BASE!M4)+(F16*E16))/O80)</f>
        <v>2346.0082697304279</v>
      </c>
      <c r="I16" s="716"/>
      <c r="J16" s="724"/>
      <c r="K16" s="79"/>
      <c r="L16" s="18">
        <f>((G16*E16*BASE!M4)+(F16*E16))</f>
        <v>1870</v>
      </c>
      <c r="O16" s="732" t="s">
        <v>279</v>
      </c>
      <c r="P16" s="732"/>
      <c r="Q16" s="169">
        <v>43420</v>
      </c>
      <c r="U16" s="170"/>
      <c r="V16" s="170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27"/>
      <c r="AJ16" s="127"/>
      <c r="AU16" s="168"/>
    </row>
    <row r="17" spans="1:48" s="97" customFormat="1" x14ac:dyDescent="0.25">
      <c r="A17" s="167"/>
      <c r="B17" s="127"/>
      <c r="C17" s="127"/>
      <c r="D17" s="113" t="s">
        <v>123</v>
      </c>
      <c r="E17" s="717" t="s">
        <v>124</v>
      </c>
      <c r="F17" s="717"/>
      <c r="G17" s="153">
        <f>ROUNDUP(ServExt8[[#Totals],[Coluna1]]/4,0)</f>
        <v>4</v>
      </c>
      <c r="H17" s="716">
        <f>(L17/O81)</f>
        <v>63982.043719920752</v>
      </c>
      <c r="I17" s="716"/>
      <c r="J17" s="724"/>
      <c r="K17" s="79"/>
      <c r="L17" s="18">
        <f>IF(ServExt8[[#Totals],[DIAS]]&gt;=30,BASE!W3*(J15),ServExt8[[#Totals],[DIAS]]*BASE!W4*1.3)*G17</f>
        <v>51000</v>
      </c>
      <c r="O17" s="167"/>
      <c r="P17" s="167"/>
      <c r="Q17" s="169"/>
      <c r="U17" s="170"/>
      <c r="V17" s="170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27"/>
      <c r="AJ17" s="127"/>
      <c r="AU17" s="168"/>
    </row>
    <row r="18" spans="1:48" s="97" customFormat="1" x14ac:dyDescent="0.25">
      <c r="A18" s="167"/>
      <c r="B18" s="127"/>
      <c r="C18" s="127"/>
      <c r="D18" s="113" t="s">
        <v>125</v>
      </c>
      <c r="E18" s="119">
        <v>0</v>
      </c>
      <c r="F18" s="718">
        <v>0</v>
      </c>
      <c r="G18" s="718"/>
      <c r="H18" s="716">
        <f>L18/O82</f>
        <v>0</v>
      </c>
      <c r="I18" s="716"/>
      <c r="J18" s="724"/>
      <c r="K18" s="79"/>
      <c r="L18" s="18">
        <f>F18*E18</f>
        <v>0</v>
      </c>
      <c r="O18" s="167"/>
      <c r="P18" s="167"/>
      <c r="Q18" s="169"/>
      <c r="U18" s="170"/>
      <c r="V18" s="170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27"/>
      <c r="AJ18" s="127"/>
      <c r="AU18" s="168"/>
    </row>
    <row r="19" spans="1:48" s="152" customFormat="1" x14ac:dyDescent="0.25">
      <c r="B19" s="151"/>
      <c r="C19" s="151"/>
      <c r="D19" s="726" t="s">
        <v>92</v>
      </c>
      <c r="E19" s="726"/>
      <c r="F19" s="726"/>
      <c r="G19" s="726"/>
      <c r="H19" s="727">
        <f>SUM(H15:I18)</f>
        <v>69429.29928525204</v>
      </c>
      <c r="I19" s="728"/>
      <c r="J19" s="724"/>
      <c r="K19" s="79"/>
      <c r="L19" s="20">
        <f>SUM(L15:L18)</f>
        <v>55342</v>
      </c>
      <c r="M19" s="151"/>
      <c r="N19" s="166"/>
      <c r="O19" s="151"/>
      <c r="P19" s="151"/>
      <c r="Q19" s="151"/>
      <c r="R19" s="151"/>
      <c r="S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U19" s="245"/>
    </row>
    <row r="20" spans="1:48" x14ac:dyDescent="0.25">
      <c r="A20" s="4"/>
      <c r="B20" s="97"/>
      <c r="C20" s="97"/>
      <c r="D20" s="97"/>
      <c r="E20" s="97"/>
      <c r="F20" s="97"/>
      <c r="G20" s="97"/>
      <c r="H20" s="97"/>
      <c r="I20" s="97"/>
      <c r="J20" s="97"/>
      <c r="K20" s="126"/>
      <c r="L20" s="97"/>
      <c r="M20" s="97"/>
      <c r="N20" s="126"/>
      <c r="O20" s="97"/>
    </row>
    <row r="21" spans="1:48" s="5" customFormat="1" ht="15.75" customHeight="1" x14ac:dyDescent="0.25">
      <c r="A21" s="97"/>
      <c r="B21" s="714" t="s">
        <v>126</v>
      </c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W21" s="714" t="s">
        <v>127</v>
      </c>
      <c r="X21" s="714"/>
      <c r="Y21" s="714"/>
      <c r="Z21" s="714"/>
      <c r="AA21" s="714"/>
      <c r="AB21" s="714"/>
      <c r="AC21" s="714"/>
      <c r="AD21" s="714"/>
      <c r="AE21" s="714"/>
      <c r="AF21" s="714"/>
      <c r="AG21" s="714"/>
      <c r="AH21" s="714"/>
      <c r="AI21" s="714"/>
      <c r="AJ21" s="714"/>
      <c r="AK21" s="714"/>
      <c r="AL21" s="714"/>
      <c r="AM21" s="714"/>
      <c r="AN21" s="714"/>
      <c r="AO21" s="714"/>
      <c r="AP21" s="714"/>
      <c r="AU21" s="721" t="s">
        <v>128</v>
      </c>
      <c r="AV21" s="721"/>
    </row>
    <row r="22" spans="1:48" s="5" customFormat="1" x14ac:dyDescent="0.25">
      <c r="A22" s="97"/>
      <c r="B22" s="714" t="s">
        <v>38</v>
      </c>
      <c r="C22" s="714"/>
      <c r="D22" s="714"/>
      <c r="E22" s="163" t="s">
        <v>129</v>
      </c>
      <c r="F22" s="163" t="s">
        <v>130</v>
      </c>
      <c r="G22" s="722" t="s">
        <v>131</v>
      </c>
      <c r="H22" s="722"/>
      <c r="I22" s="722"/>
      <c r="J22" s="722"/>
      <c r="K22" s="723" t="s">
        <v>69</v>
      </c>
      <c r="L22" s="723"/>
      <c r="M22" s="723"/>
      <c r="N22" s="723"/>
      <c r="O22" s="723" t="s">
        <v>132</v>
      </c>
      <c r="P22" s="723"/>
      <c r="Q22" s="723"/>
      <c r="R22" s="164"/>
      <c r="S22" s="164"/>
      <c r="T22" s="164"/>
      <c r="W22" s="714" t="s">
        <v>38</v>
      </c>
      <c r="X22" s="714"/>
      <c r="Y22" s="714"/>
      <c r="Z22" s="163" t="s">
        <v>129</v>
      </c>
      <c r="AA22" s="163" t="s">
        <v>130</v>
      </c>
      <c r="AB22" s="722" t="s">
        <v>131</v>
      </c>
      <c r="AC22" s="722"/>
      <c r="AD22" s="722"/>
      <c r="AE22" s="722"/>
      <c r="AF22" s="723" t="s">
        <v>69</v>
      </c>
      <c r="AG22" s="723"/>
      <c r="AH22" s="723"/>
      <c r="AI22" s="723"/>
      <c r="AJ22" s="723" t="s">
        <v>132</v>
      </c>
      <c r="AK22" s="723"/>
      <c r="AL22" s="723"/>
      <c r="AM22" s="164"/>
      <c r="AN22" s="164"/>
      <c r="AO22" s="164"/>
      <c r="AP22" s="165" t="s">
        <v>132</v>
      </c>
      <c r="AU22" s="168">
        <v>1</v>
      </c>
      <c r="AV22" s="97" t="s">
        <v>133</v>
      </c>
    </row>
    <row r="23" spans="1:48" s="11" customFormat="1" x14ac:dyDescent="0.25">
      <c r="A23" s="14"/>
      <c r="B23" s="127" t="s">
        <v>134</v>
      </c>
      <c r="C23" s="127" t="s">
        <v>135</v>
      </c>
      <c r="D23" s="127" t="s">
        <v>136</v>
      </c>
      <c r="E23" s="128" t="s">
        <v>137</v>
      </c>
      <c r="F23" s="127" t="s">
        <v>138</v>
      </c>
      <c r="G23" s="128" t="s">
        <v>139</v>
      </c>
      <c r="H23" s="128" t="s">
        <v>140</v>
      </c>
      <c r="I23" s="128" t="s">
        <v>141</v>
      </c>
      <c r="J23" s="128" t="s">
        <v>142</v>
      </c>
      <c r="K23" s="122" t="s">
        <v>143</v>
      </c>
      <c r="L23" s="122" t="s">
        <v>144</v>
      </c>
      <c r="M23" s="129" t="s">
        <v>145</v>
      </c>
      <c r="N23" s="122" t="s">
        <v>110</v>
      </c>
      <c r="O23" s="122" t="s">
        <v>112</v>
      </c>
      <c r="P23" s="129" t="s">
        <v>146</v>
      </c>
      <c r="Q23" s="122" t="s">
        <v>147</v>
      </c>
      <c r="R23" s="122" t="s">
        <v>148</v>
      </c>
      <c r="S23" s="122" t="s">
        <v>149</v>
      </c>
      <c r="T23" s="122" t="s">
        <v>150</v>
      </c>
      <c r="W23" s="130" t="s">
        <v>134</v>
      </c>
      <c r="X23" s="130" t="s">
        <v>135</v>
      </c>
      <c r="Y23" s="130" t="s">
        <v>136</v>
      </c>
      <c r="Z23" s="116" t="s">
        <v>137</v>
      </c>
      <c r="AA23" s="130" t="s">
        <v>138</v>
      </c>
      <c r="AB23" s="116" t="s">
        <v>139</v>
      </c>
      <c r="AC23" s="116" t="s">
        <v>140</v>
      </c>
      <c r="AD23" s="116" t="s">
        <v>141</v>
      </c>
      <c r="AE23" s="116" t="s">
        <v>142</v>
      </c>
      <c r="AF23" s="12" t="s">
        <v>143</v>
      </c>
      <c r="AG23" s="12" t="s">
        <v>144</v>
      </c>
      <c r="AH23" s="131" t="s">
        <v>145</v>
      </c>
      <c r="AI23" s="12" t="s">
        <v>110</v>
      </c>
      <c r="AJ23" s="12" t="s">
        <v>112</v>
      </c>
      <c r="AK23" s="131" t="s">
        <v>146</v>
      </c>
      <c r="AL23" s="12" t="s">
        <v>147</v>
      </c>
      <c r="AM23" s="12" t="s">
        <v>148</v>
      </c>
      <c r="AN23" s="12" t="s">
        <v>149</v>
      </c>
      <c r="AO23" s="12" t="s">
        <v>151</v>
      </c>
      <c r="AP23" s="12" t="s">
        <v>150</v>
      </c>
      <c r="AU23" s="168">
        <v>2</v>
      </c>
      <c r="AV23" s="97" t="s">
        <v>152</v>
      </c>
    </row>
    <row r="24" spans="1:48" s="2" customFormat="1" ht="14.5" x14ac:dyDescent="0.25">
      <c r="A24" s="3"/>
      <c r="B24" s="115">
        <v>1</v>
      </c>
      <c r="C24" s="115" t="s">
        <v>156</v>
      </c>
      <c r="D24" s="114" t="s">
        <v>154</v>
      </c>
      <c r="E24" s="132">
        <v>0</v>
      </c>
      <c r="F24" s="133">
        <f>LOOKUP('SERVICOS MONTAGEM'!$E$24:$E$63,BASE!A$4:A$125,BASE!B$4:B$125)</f>
        <v>0</v>
      </c>
      <c r="G24" s="117"/>
      <c r="H24" s="134"/>
      <c r="I24" s="135">
        <v>8.8000000000000007</v>
      </c>
      <c r="J24" s="134" t="s">
        <v>155</v>
      </c>
      <c r="K24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24" s="137">
        <f>ServInt10[[#This Row],[DIAS]]*ServInt10[[#This Row],[PESSOAS]]*ServInt10[[#This Row],[HORAS DIA]]</f>
        <v>0</v>
      </c>
      <c r="M24" s="138">
        <f>(IF(ServInt10[[#This Row],[CÓDIGO]]="","",LOOKUP(ServInt10[[#This Row],[CÓDIGO]],BASE!A$4:A$125,BASE!G$4:G$125)))*ServInt10[[#This Row],[HE CALC]]</f>
        <v>0</v>
      </c>
      <c r="N24" s="102">
        <f>ServInt10[[#This Row],[TOTAL HORAS]]*ServInt10[[#This Row],[R$ / HORA]]</f>
        <v>0</v>
      </c>
      <c r="O24" s="139">
        <f>BASE!$W$54</f>
        <v>0.79709863947533133</v>
      </c>
      <c r="P24" s="138">
        <f>ServInt10[[#This Row],[R$ / HORA]]/ServInt10[[#This Row],[MARK-UP]]</f>
        <v>0</v>
      </c>
      <c r="Q24" s="123">
        <f>ServInt10[[#This Row],[TOTAL]]/ServInt10[[#This Row],[MARK-UP]]</f>
        <v>0</v>
      </c>
      <c r="R24" s="123"/>
      <c r="S24" s="123">
        <f>(IF(E24="","",LOOKUP(E24,BASE!A$4:A$125,BASE!E$4:E$125)))*ServInt10[[#This Row],[TOTAL HORAS]]</f>
        <v>0</v>
      </c>
      <c r="T24" s="140">
        <f>IFERROR(ServInt10[[#This Row],[TOTAL3]]*(RESUMO!$F$32/RESUMO!$F$24),0)</f>
        <v>0</v>
      </c>
      <c r="W24" s="115">
        <v>1</v>
      </c>
      <c r="X24" s="115" t="s">
        <v>156</v>
      </c>
      <c r="Y24" s="114" t="s">
        <v>846</v>
      </c>
      <c r="Z24" s="132">
        <v>86</v>
      </c>
      <c r="AA24" s="14" t="str">
        <f>LOOKUP(Z24,BASE!A$4:A$125,BASE!B$4:B$125)</f>
        <v>Montador de Instalações Elétricas III</v>
      </c>
      <c r="AB24" s="117">
        <v>83</v>
      </c>
      <c r="AC24" s="134">
        <v>6</v>
      </c>
      <c r="AD24" s="135">
        <v>8.8000000000000007</v>
      </c>
      <c r="AE24" s="134" t="s">
        <v>155</v>
      </c>
      <c r="AF24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24" s="13">
        <f t="shared" ref="AG24:AG43" si="0">AC24*AB24*AD24</f>
        <v>4382.4000000000005</v>
      </c>
      <c r="AH24" s="141">
        <f>(IF(Z24="","",LOOKUP(Z24,BASE!A$4:A$125,BASE!H$4:H$125)))*ServExt8[[#This Row],[HE CALC]]</f>
        <v>27</v>
      </c>
      <c r="AI24" s="102">
        <f>ServExt8[[#This Row],[TOTAL HORAS]]*ServExt8[[#This Row],[R$ / HORA]]</f>
        <v>118324.80000000002</v>
      </c>
      <c r="AJ24" s="142">
        <f>BASE!$W$54</f>
        <v>0.79709863947533133</v>
      </c>
      <c r="AK24" s="141">
        <f t="shared" ref="AK24:AK43" si="1">AH24/AJ24</f>
        <v>33.872846675252163</v>
      </c>
      <c r="AL24" s="143">
        <f t="shared" ref="AL24:AL43" si="2">AI24/AJ24</f>
        <v>148444.36326962512</v>
      </c>
      <c r="AM24" s="144">
        <f>IF(OR(ServExt8[[#This Row],[TIPO H]]="NORMAL",ServExt8[[#This Row],[HORAS DIA]]&gt;=8),ServExt8[[#This Row],[PESSOAS]]*ServExt8[[#This Row],[DIAS]]*2,0)</f>
        <v>996</v>
      </c>
      <c r="AN24" s="144">
        <f>(IF(Z24="","",LOOKUP(Z24,BASE!A$4:A$125,BASE!E$4:E$125)))*ServExt8[[#This Row],[TOTAL HORAS]]</f>
        <v>4233.5288466816864</v>
      </c>
      <c r="AO24" s="11">
        <f>IF(ServExt8[[#This Row],[TIPO H]]="NORMAL",ServExt8[[#This Row],[PESSOAS]],0)</f>
        <v>6</v>
      </c>
      <c r="AP24" s="145">
        <f>IFERROR(ServExt8[[#This Row],[TOTAL3]]*(RESUMO!$F$32/RESUMO!$F$24),0)</f>
        <v>167261.25438830999</v>
      </c>
      <c r="AU24" s="168">
        <v>3</v>
      </c>
      <c r="AV24" s="97" t="s">
        <v>157</v>
      </c>
    </row>
    <row r="25" spans="1:48" s="2" customFormat="1" ht="14.5" x14ac:dyDescent="0.25">
      <c r="A25" s="3"/>
      <c r="B25" s="115">
        <v>2</v>
      </c>
      <c r="C25" s="115" t="s">
        <v>156</v>
      </c>
      <c r="D25" s="114" t="s">
        <v>154</v>
      </c>
      <c r="E25" s="132">
        <v>0</v>
      </c>
      <c r="F25" s="133">
        <f>LOOKUP('SERVICOS MONTAGEM'!$E$24:$E$63,BASE!A$4:A$125,BASE!B$4:B$125)</f>
        <v>0</v>
      </c>
      <c r="G25" s="117"/>
      <c r="H25" s="134"/>
      <c r="I25" s="135">
        <v>8.8000000000000007</v>
      </c>
      <c r="J25" s="134" t="s">
        <v>155</v>
      </c>
      <c r="K25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25" s="137">
        <f>ServInt10[[#This Row],[DIAS]]*ServInt10[[#This Row],[PESSOAS]]*ServInt10[[#This Row],[HORAS DIA]]</f>
        <v>0</v>
      </c>
      <c r="M25" s="138">
        <f>(IF(ServInt10[[#This Row],[CÓDIGO]]="","",LOOKUP(ServInt10[[#This Row],[CÓDIGO]],BASE!A$4:A$125,BASE!G$4:G$125)))*ServInt10[[#This Row],[HE CALC]]</f>
        <v>0</v>
      </c>
      <c r="N25" s="102">
        <f>ServInt10[[#This Row],[TOTAL HORAS]]*ServInt10[[#This Row],[R$ / HORA]]</f>
        <v>0</v>
      </c>
      <c r="O25" s="139">
        <f>BASE!$W$54</f>
        <v>0.79709863947533133</v>
      </c>
      <c r="P25" s="138">
        <f>ServInt10[[#This Row],[R$ / HORA]]/ServInt10[[#This Row],[MARK-UP]]</f>
        <v>0</v>
      </c>
      <c r="Q25" s="123">
        <f>ServInt10[[#This Row],[TOTAL]]/ServInt10[[#This Row],[MARK-UP]]</f>
        <v>0</v>
      </c>
      <c r="R25" s="123"/>
      <c r="S25" s="123">
        <f>(IF(E25="","",LOOKUP(E25,BASE!A$4:A$125,BASE!E$4:E$125)))*ServInt10[[#This Row],[TOTAL HORAS]]</f>
        <v>0</v>
      </c>
      <c r="T25" s="140">
        <f>IFERROR(ServInt10[[#This Row],[TOTAL3]]*(RESUMO!$F$32/RESUMO!$F$24),0)</f>
        <v>0</v>
      </c>
      <c r="W25" s="115">
        <v>2</v>
      </c>
      <c r="X25" s="115" t="s">
        <v>156</v>
      </c>
      <c r="Y25" s="114" t="s">
        <v>846</v>
      </c>
      <c r="Z25" s="132">
        <v>99</v>
      </c>
      <c r="AA25" s="14" t="str">
        <f>LOOKUP(Z25,BASE!A$4:A$125,BASE!B$4:B$125)</f>
        <v>Ajudante de Montador</v>
      </c>
      <c r="AB25" s="117">
        <v>83</v>
      </c>
      <c r="AC25" s="134">
        <v>5</v>
      </c>
      <c r="AD25" s="135">
        <v>8.8000000000000007</v>
      </c>
      <c r="AE25" s="134" t="s">
        <v>155</v>
      </c>
      <c r="AF25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25" s="13">
        <f t="shared" si="0"/>
        <v>3652.0000000000005</v>
      </c>
      <c r="AH25" s="141">
        <f>(IF(Z25="","",LOOKUP(Z25,BASE!A$4:A$125,BASE!H$4:H$125)))*ServExt8[[#This Row],[HE CALC]]</f>
        <v>17</v>
      </c>
      <c r="AI25" s="102">
        <f>ServExt8[[#This Row],[TOTAL HORAS]]*ServExt8[[#This Row],[R$ / HORA]]</f>
        <v>62084.000000000007</v>
      </c>
      <c r="AJ25" s="142">
        <f>BASE!$W$54</f>
        <v>0.79709863947533133</v>
      </c>
      <c r="AK25" s="141">
        <f t="shared" si="1"/>
        <v>21.327347906640252</v>
      </c>
      <c r="AL25" s="143">
        <f t="shared" si="2"/>
        <v>77887.474555050212</v>
      </c>
      <c r="AM25" s="144">
        <f>IF(OR(ServExt8[[#This Row],[TIPO H]]="NORMAL",ServExt8[[#This Row],[HORAS DIA]]&gt;=8),ServExt8[[#This Row],[PESSOAS]]*ServExt8[[#This Row],[DIAS]]*2,0)</f>
        <v>830</v>
      </c>
      <c r="AN25" s="144">
        <f>(IF(Z25="","",LOOKUP(Z25,BASE!A$4:A$125,BASE!E$4:E$125)))*ServExt8[[#This Row],[TOTAL HORAS]]</f>
        <v>2275.1296094640047</v>
      </c>
      <c r="AO25" s="11">
        <f>IF(ServExt8[[#This Row],[TIPO H]]="NORMAL",ServExt8[[#This Row],[PESSOAS]],0)</f>
        <v>5</v>
      </c>
      <c r="AP25" s="145">
        <f>IFERROR(ServExt8[[#This Row],[TOTAL3]]*(RESUMO!$F$32/RESUMO!$F$24),0)</f>
        <v>87760.534709915737</v>
      </c>
      <c r="AU25" s="168">
        <v>4</v>
      </c>
      <c r="AV25" s="97" t="s">
        <v>158</v>
      </c>
    </row>
    <row r="26" spans="1:48" s="2" customFormat="1" ht="14.5" x14ac:dyDescent="0.25">
      <c r="A26" s="3"/>
      <c r="B26" s="115">
        <v>3</v>
      </c>
      <c r="C26" s="115" t="s">
        <v>156</v>
      </c>
      <c r="D26" s="114" t="s">
        <v>154</v>
      </c>
      <c r="E26" s="132">
        <v>0</v>
      </c>
      <c r="F26" s="133">
        <f>LOOKUP('SERVICOS MONTAGEM'!$E$24:$E$63,BASE!A$4:A$125,BASE!B$4:B$125)</f>
        <v>0</v>
      </c>
      <c r="G26" s="117"/>
      <c r="H26" s="134"/>
      <c r="I26" s="135">
        <v>8.8000000000000007</v>
      </c>
      <c r="J26" s="134" t="s">
        <v>155</v>
      </c>
      <c r="K26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26" s="137">
        <f>ServInt10[[#This Row],[DIAS]]*ServInt10[[#This Row],[PESSOAS]]*ServInt10[[#This Row],[HORAS DIA]]</f>
        <v>0</v>
      </c>
      <c r="M26" s="138">
        <f>(IF(ServInt10[[#This Row],[CÓDIGO]]="","",LOOKUP(ServInt10[[#This Row],[CÓDIGO]],BASE!A$4:A$125,BASE!G$4:G$125)))*ServInt10[[#This Row],[HE CALC]]</f>
        <v>0</v>
      </c>
      <c r="N26" s="102">
        <f>ServInt10[[#This Row],[TOTAL HORAS]]*ServInt10[[#This Row],[R$ / HORA]]</f>
        <v>0</v>
      </c>
      <c r="O26" s="139">
        <f>BASE!$W$54</f>
        <v>0.79709863947533133</v>
      </c>
      <c r="P26" s="138">
        <f>ServInt10[[#This Row],[R$ / HORA]]/ServInt10[[#This Row],[MARK-UP]]</f>
        <v>0</v>
      </c>
      <c r="Q26" s="123">
        <f>ServInt10[[#This Row],[TOTAL]]/ServInt10[[#This Row],[MARK-UP]]</f>
        <v>0</v>
      </c>
      <c r="R26" s="123"/>
      <c r="S26" s="123">
        <f>(IF(E26="","",LOOKUP(E26,BASE!A$4:A$125,BASE!E$4:E$125)))*ServInt10[[#This Row],[TOTAL HORAS]]</f>
        <v>0</v>
      </c>
      <c r="T26" s="140">
        <f>IFERROR(ServInt10[[#This Row],[TOTAL3]]*(RESUMO!$F$32/RESUMO!$F$24),0)</f>
        <v>0</v>
      </c>
      <c r="W26" s="115">
        <v>3</v>
      </c>
      <c r="X26" s="115" t="s">
        <v>156</v>
      </c>
      <c r="Y26" s="114" t="s">
        <v>848</v>
      </c>
      <c r="Z26" s="132">
        <v>76</v>
      </c>
      <c r="AA26" s="14" t="str">
        <f>LOOKUP(Z26,BASE!A$4:A$125,BASE!B$4:B$125)</f>
        <v>Encarregado de Instalações Elétricas III</v>
      </c>
      <c r="AB26" s="117">
        <v>83</v>
      </c>
      <c r="AC26" s="134">
        <v>1</v>
      </c>
      <c r="AD26" s="135">
        <v>8.8000000000000007</v>
      </c>
      <c r="AE26" s="134" t="s">
        <v>155</v>
      </c>
      <c r="AF26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26" s="13">
        <f t="shared" si="0"/>
        <v>730.40000000000009</v>
      </c>
      <c r="AH26" s="141">
        <f>(IF(Z26="","",LOOKUP(Z26,BASE!A$4:A$125,BASE!H$4:H$125)))*ServExt8[[#This Row],[HE CALC]]</f>
        <v>35</v>
      </c>
      <c r="AI26" s="102">
        <f>ServExt8[[#This Row],[TOTAL HORAS]]*ServExt8[[#This Row],[R$ / HORA]]</f>
        <v>25564.000000000004</v>
      </c>
      <c r="AJ26" s="142">
        <f>BASE!$W$54</f>
        <v>0.79709863947533133</v>
      </c>
      <c r="AK26" s="141">
        <f t="shared" si="1"/>
        <v>43.909245690141695</v>
      </c>
      <c r="AL26" s="143">
        <f t="shared" si="2"/>
        <v>32071.313052079498</v>
      </c>
      <c r="AM26" s="144">
        <f>IF(OR(ServExt8[[#This Row],[TIPO H]]="NORMAL",ServExt8[[#This Row],[HORAS DIA]]&gt;=8),ServExt8[[#This Row],[PESSOAS]]*ServExt8[[#This Row],[DIAS]]*2,0)</f>
        <v>166</v>
      </c>
      <c r="AN26" s="144">
        <f>(IF(Z26="","",LOOKUP(Z26,BASE!A$4:A$125,BASE!E$4:E$125)))*ServExt8[[#This Row],[TOTAL HORAS]]</f>
        <v>923.22114672370549</v>
      </c>
      <c r="AO26" s="11">
        <f>IF(ServExt8[[#This Row],[TIPO H]]="NORMAL",ServExt8[[#This Row],[PESSOAS]],0)</f>
        <v>1</v>
      </c>
      <c r="AP26" s="145">
        <f>IFERROR(ServExt8[[#This Row],[TOTAL3]]*(RESUMO!$F$32/RESUMO!$F$24),0)</f>
        <v>36136.690762906481</v>
      </c>
      <c r="AU26" s="168">
        <v>5</v>
      </c>
      <c r="AV26" s="97" t="s">
        <v>159</v>
      </c>
    </row>
    <row r="27" spans="1:48" s="2" customFormat="1" ht="14.5" x14ac:dyDescent="0.25">
      <c r="A27" s="3"/>
      <c r="B27" s="115">
        <v>4</v>
      </c>
      <c r="C27" s="115" t="s">
        <v>156</v>
      </c>
      <c r="D27" s="114" t="s">
        <v>154</v>
      </c>
      <c r="E27" s="132">
        <v>0</v>
      </c>
      <c r="F27" s="133">
        <f>LOOKUP('SERVICOS MONTAGEM'!$E$24:$E$63,BASE!A$4:A$125,BASE!B$4:B$125)</f>
        <v>0</v>
      </c>
      <c r="G27" s="117"/>
      <c r="H27" s="134"/>
      <c r="I27" s="135">
        <v>8.8000000000000007</v>
      </c>
      <c r="J27" s="134" t="s">
        <v>155</v>
      </c>
      <c r="K27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27" s="137">
        <f>ServInt10[[#This Row],[DIAS]]*ServInt10[[#This Row],[PESSOAS]]*ServInt10[[#This Row],[HORAS DIA]]</f>
        <v>0</v>
      </c>
      <c r="M27" s="138">
        <f>(IF(ServInt10[[#This Row],[CÓDIGO]]="","",LOOKUP(ServInt10[[#This Row],[CÓDIGO]],BASE!A$4:A$125,BASE!G$4:G$125)))*ServInt10[[#This Row],[HE CALC]]</f>
        <v>0</v>
      </c>
      <c r="N27" s="102">
        <f>ServInt10[[#This Row],[TOTAL HORAS]]*ServInt10[[#This Row],[R$ / HORA]]</f>
        <v>0</v>
      </c>
      <c r="O27" s="139">
        <f>BASE!$W$54</f>
        <v>0.79709863947533133</v>
      </c>
      <c r="P27" s="138">
        <f>ServInt10[[#This Row],[R$ / HORA]]/ServInt10[[#This Row],[MARK-UP]]</f>
        <v>0</v>
      </c>
      <c r="Q27" s="123">
        <f>ServInt10[[#This Row],[TOTAL]]/ServInt10[[#This Row],[MARK-UP]]</f>
        <v>0</v>
      </c>
      <c r="R27" s="123"/>
      <c r="S27" s="123">
        <f>(IF(E27="","",LOOKUP(E27,BASE!A$4:A$125,BASE!E$4:E$125)))*ServInt10[[#This Row],[TOTAL HORAS]]</f>
        <v>0</v>
      </c>
      <c r="T27" s="140">
        <f>IFERROR(ServInt10[[#This Row],[TOTAL3]]*(RESUMO!$F$32/RESUMO!$F$24),0)</f>
        <v>0</v>
      </c>
      <c r="W27" s="115">
        <v>4</v>
      </c>
      <c r="X27" s="115" t="s">
        <v>156</v>
      </c>
      <c r="Y27" s="114" t="s">
        <v>849</v>
      </c>
      <c r="Z27" s="132">
        <v>84</v>
      </c>
      <c r="AA27" s="14" t="str">
        <f>LOOKUP(Z27,BASE!A$4:A$125,BASE!B$4:B$125)</f>
        <v>Montador de Instalações Elétricas I</v>
      </c>
      <c r="AB27" s="117">
        <v>83</v>
      </c>
      <c r="AC27" s="134">
        <v>1</v>
      </c>
      <c r="AD27" s="135">
        <v>8.8000000000000007</v>
      </c>
      <c r="AE27" s="134" t="s">
        <v>155</v>
      </c>
      <c r="AF27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27" s="13">
        <f t="shared" si="0"/>
        <v>730.40000000000009</v>
      </c>
      <c r="AH27" s="141">
        <f>(IF(Z27="","",LOOKUP(Z27,BASE!A$4:A$125,BASE!H$4:H$125)))*ServExt8[[#This Row],[HE CALC]]</f>
        <v>19</v>
      </c>
      <c r="AI27" s="102">
        <f>ServExt8[[#This Row],[TOTAL HORAS]]*ServExt8[[#This Row],[R$ / HORA]]</f>
        <v>13877.600000000002</v>
      </c>
      <c r="AJ27" s="142">
        <f>BASE!$W$54</f>
        <v>0.79709863947533133</v>
      </c>
      <c r="AK27" s="141">
        <f t="shared" si="1"/>
        <v>23.836447660362634</v>
      </c>
      <c r="AL27" s="143">
        <f t="shared" si="2"/>
        <v>17410.14137112887</v>
      </c>
      <c r="AM27" s="144">
        <f>IF(OR(ServExt8[[#This Row],[TIPO H]]="NORMAL",ServExt8[[#This Row],[HORAS DIA]]&gt;=8),ServExt8[[#This Row],[PESSOAS]]*ServExt8[[#This Row],[DIAS]]*2,0)</f>
        <v>166</v>
      </c>
      <c r="AN27" s="144">
        <f>(IF(Z27="","",LOOKUP(Z27,BASE!A$4:A$125,BASE!E$4:E$125)))*ServExt8[[#This Row],[TOTAL HORAS]]</f>
        <v>503.99238026193353</v>
      </c>
      <c r="AO27" s="11">
        <f>IF(ServExt8[[#This Row],[TIPO H]]="NORMAL",ServExt8[[#This Row],[PESSOAS]],0)</f>
        <v>1</v>
      </c>
      <c r="AP27" s="145">
        <f>IFERROR(ServExt8[[#This Row],[TOTAL3]]*(RESUMO!$F$32/RESUMO!$F$24),0)</f>
        <v>19617.060699863516</v>
      </c>
      <c r="AU27" s="168">
        <v>6</v>
      </c>
      <c r="AV27" s="97" t="s">
        <v>160</v>
      </c>
    </row>
    <row r="28" spans="1:48" s="2" customFormat="1" ht="14.5" x14ac:dyDescent="0.25">
      <c r="A28" s="3"/>
      <c r="B28" s="115">
        <v>5</v>
      </c>
      <c r="C28" s="115" t="s">
        <v>156</v>
      </c>
      <c r="D28" s="114" t="s">
        <v>154</v>
      </c>
      <c r="E28" s="132">
        <v>0</v>
      </c>
      <c r="F28" s="133">
        <f>LOOKUP('SERVICOS MONTAGEM'!$E$24:$E$63,BASE!A$4:A$125,BASE!B$4:B$125)</f>
        <v>0</v>
      </c>
      <c r="G28" s="117"/>
      <c r="H28" s="134"/>
      <c r="I28" s="135">
        <v>8.8000000000000007</v>
      </c>
      <c r="J28" s="134" t="s">
        <v>155</v>
      </c>
      <c r="K28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28" s="137">
        <f>ServInt10[[#This Row],[DIAS]]*ServInt10[[#This Row],[PESSOAS]]*ServInt10[[#This Row],[HORAS DIA]]</f>
        <v>0</v>
      </c>
      <c r="M28" s="138">
        <f>(IF(ServInt10[[#This Row],[CÓDIGO]]="","",LOOKUP(ServInt10[[#This Row],[CÓDIGO]],BASE!A$4:A$125,BASE!G$4:G$125)))*ServInt10[[#This Row],[HE CALC]]</f>
        <v>0</v>
      </c>
      <c r="N28" s="102">
        <f>ServInt10[[#This Row],[TOTAL HORAS]]*ServInt10[[#This Row],[R$ / HORA]]</f>
        <v>0</v>
      </c>
      <c r="O28" s="139">
        <f>BASE!$W$54</f>
        <v>0.79709863947533133</v>
      </c>
      <c r="P28" s="138">
        <f>ServInt10[[#This Row],[R$ / HORA]]/ServInt10[[#This Row],[MARK-UP]]</f>
        <v>0</v>
      </c>
      <c r="Q28" s="123">
        <f>ServInt10[[#This Row],[TOTAL]]/ServInt10[[#This Row],[MARK-UP]]</f>
        <v>0</v>
      </c>
      <c r="R28" s="123"/>
      <c r="S28" s="123">
        <f>(IF(E28="","",LOOKUP(E28,BASE!A$4:A$125,BASE!E$4:E$125)))*ServInt10[[#This Row],[TOTAL HORAS]]</f>
        <v>0</v>
      </c>
      <c r="T28" s="140">
        <f>IFERROR(ServInt10[[#This Row],[TOTAL3]]*(RESUMO!$F$32/RESUMO!$F$24),0)</f>
        <v>0</v>
      </c>
      <c r="W28" s="115">
        <v>5</v>
      </c>
      <c r="X28" s="115" t="s">
        <v>156</v>
      </c>
      <c r="Y28" s="114" t="s">
        <v>850</v>
      </c>
      <c r="Z28" s="132">
        <v>102</v>
      </c>
      <c r="AA28" s="14" t="str">
        <f>LOOKUP(Z28,BASE!A$4:A$125,BASE!B$4:B$125)</f>
        <v>Técnico em Segurança do Trabalho III</v>
      </c>
      <c r="AB28" s="117">
        <v>83</v>
      </c>
      <c r="AC28" s="134">
        <v>1</v>
      </c>
      <c r="AD28" s="135">
        <v>8.8000000000000007</v>
      </c>
      <c r="AE28" s="134" t="s">
        <v>155</v>
      </c>
      <c r="AF28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28" s="13">
        <f t="shared" si="0"/>
        <v>730.40000000000009</v>
      </c>
      <c r="AH28" s="141">
        <f>(IF(Z28="","",LOOKUP(Z28,BASE!A$4:A$125,BASE!H$4:H$125)))*ServExt8[[#This Row],[HE CALC]]</f>
        <v>45</v>
      </c>
      <c r="AI28" s="102">
        <f>ServExt8[[#This Row],[TOTAL HORAS]]*ServExt8[[#This Row],[R$ / HORA]]</f>
        <v>32868.000000000007</v>
      </c>
      <c r="AJ28" s="142">
        <f>BASE!$W$54</f>
        <v>0.79709863947533133</v>
      </c>
      <c r="AK28" s="141">
        <f t="shared" si="1"/>
        <v>56.454744458753609</v>
      </c>
      <c r="AL28" s="143">
        <f t="shared" si="2"/>
        <v>41234.545352673646</v>
      </c>
      <c r="AM28" s="144">
        <f>IF(OR(ServExt8[[#This Row],[TIPO H]]="NORMAL",ServExt8[[#This Row],[HORAS DIA]]&gt;=8),ServExt8[[#This Row],[PESSOAS]]*ServExt8[[#This Row],[DIAS]]*2,0)</f>
        <v>166</v>
      </c>
      <c r="AN28" s="144">
        <f>(IF(Z28="","",LOOKUP(Z28,BASE!A$4:A$125,BASE!E$4:E$125)))*ServExt8[[#This Row],[TOTAL HORAS]]</f>
        <v>1191.253092546717</v>
      </c>
      <c r="AO28" s="11">
        <f>IF(ServExt8[[#This Row],[TIPO H]]="NORMAL",ServExt8[[#This Row],[PESSOAS]],0)</f>
        <v>1</v>
      </c>
      <c r="AP28" s="145">
        <f>IFERROR(ServExt8[[#This Row],[TOTAL3]]*(RESUMO!$F$32/RESUMO!$F$24),0)</f>
        <v>46461.459552308334</v>
      </c>
      <c r="AU28" s="168">
        <v>7</v>
      </c>
      <c r="AV28" s="97" t="s">
        <v>161</v>
      </c>
    </row>
    <row r="29" spans="1:48" s="2" customFormat="1" ht="14.5" x14ac:dyDescent="0.25">
      <c r="A29" s="3"/>
      <c r="B29" s="115">
        <v>6</v>
      </c>
      <c r="C29" s="115" t="s">
        <v>156</v>
      </c>
      <c r="D29" s="114" t="s">
        <v>154</v>
      </c>
      <c r="E29" s="132">
        <v>0</v>
      </c>
      <c r="F29" s="133">
        <f>LOOKUP('SERVICOS MONTAGEM'!$E$24:$E$63,BASE!A$4:A$125,BASE!B$4:B$125)</f>
        <v>0</v>
      </c>
      <c r="G29" s="117"/>
      <c r="H29" s="134"/>
      <c r="I29" s="135">
        <v>8.8000000000000007</v>
      </c>
      <c r="J29" s="134" t="s">
        <v>155</v>
      </c>
      <c r="K29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29" s="137">
        <f>ServInt10[[#This Row],[DIAS]]*ServInt10[[#This Row],[PESSOAS]]*ServInt10[[#This Row],[HORAS DIA]]</f>
        <v>0</v>
      </c>
      <c r="M29" s="138">
        <f>(IF(ServInt10[[#This Row],[CÓDIGO]]="","",LOOKUP(ServInt10[[#This Row],[CÓDIGO]],BASE!A$4:A$125,BASE!G$4:G$125)))*ServInt10[[#This Row],[HE CALC]]</f>
        <v>0</v>
      </c>
      <c r="N29" s="102">
        <f>ServInt10[[#This Row],[TOTAL HORAS]]*ServInt10[[#This Row],[R$ / HORA]]</f>
        <v>0</v>
      </c>
      <c r="O29" s="139">
        <f>BASE!$W$54</f>
        <v>0.79709863947533133</v>
      </c>
      <c r="P29" s="138">
        <f>ServInt10[[#This Row],[R$ / HORA]]/ServInt10[[#This Row],[MARK-UP]]</f>
        <v>0</v>
      </c>
      <c r="Q29" s="123">
        <f>ServInt10[[#This Row],[TOTAL]]/ServInt10[[#This Row],[MARK-UP]]</f>
        <v>0</v>
      </c>
      <c r="R29" s="123"/>
      <c r="S29" s="123">
        <f>(IF(E29="","",LOOKUP(E29,BASE!A$4:A$125,BASE!E$4:E$125)))*ServInt10[[#This Row],[TOTAL HORAS]]</f>
        <v>0</v>
      </c>
      <c r="T29" s="140">
        <f>IFERROR(ServInt10[[#This Row],[TOTAL3]]*(RESUMO!$F$32/RESUMO!$F$24),0)</f>
        <v>0</v>
      </c>
      <c r="W29" s="115">
        <v>6</v>
      </c>
      <c r="X29" s="115" t="s">
        <v>156</v>
      </c>
      <c r="Y29" s="114" t="s">
        <v>851</v>
      </c>
      <c r="Z29" s="132">
        <v>85</v>
      </c>
      <c r="AA29" s="14" t="str">
        <f>LOOKUP(Z29,BASE!A$4:A$125,BASE!B$4:B$125)</f>
        <v>Montador de Instalações Elétricas II</v>
      </c>
      <c r="AB29" s="117">
        <v>83</v>
      </c>
      <c r="AC29" s="134">
        <v>1</v>
      </c>
      <c r="AD29" s="135">
        <v>8.8000000000000007</v>
      </c>
      <c r="AE29" s="134" t="s">
        <v>155</v>
      </c>
      <c r="AF29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29" s="13">
        <f t="shared" si="0"/>
        <v>730.40000000000009</v>
      </c>
      <c r="AH29" s="141">
        <f>(IF(Z29="","",LOOKUP(Z29,BASE!A$4:A$125,BASE!H$4:H$125)))*ServExt8[[#This Row],[HE CALC]]</f>
        <v>23</v>
      </c>
      <c r="AI29" s="102">
        <f>ServExt8[[#This Row],[TOTAL HORAS]]*ServExt8[[#This Row],[R$ / HORA]]</f>
        <v>16799.2</v>
      </c>
      <c r="AJ29" s="142">
        <f>BASE!$W$54</f>
        <v>0.79709863947533133</v>
      </c>
      <c r="AK29" s="141">
        <f t="shared" si="1"/>
        <v>28.8546471678074</v>
      </c>
      <c r="AL29" s="143">
        <f t="shared" si="2"/>
        <v>21075.434291366524</v>
      </c>
      <c r="AM29" s="144">
        <f>IF(OR(ServExt8[[#This Row],[TIPO H]]="NORMAL",ServExt8[[#This Row],[HORAS DIA]]&gt;=8),ServExt8[[#This Row],[PESSOAS]]*ServExt8[[#This Row],[DIAS]]*2,0)</f>
        <v>166</v>
      </c>
      <c r="AN29" s="144">
        <f>(IF(Z29="","",LOOKUP(Z29,BASE!A$4:A$125,BASE!E$4:E$125)))*ServExt8[[#This Row],[TOTAL HORAS]]</f>
        <v>604.79026068777398</v>
      </c>
      <c r="AO29" s="11">
        <f>IF(ServExt8[[#This Row],[TIPO H]]="NORMAL",ServExt8[[#This Row],[PESSOAS]],0)</f>
        <v>1</v>
      </c>
      <c r="AP29" s="145">
        <f>IFERROR(ServExt8[[#This Row],[TOTAL3]]*(RESUMO!$F$32/RESUMO!$F$24),0)</f>
        <v>23746.968215624252</v>
      </c>
      <c r="AU29" s="168">
        <v>8</v>
      </c>
      <c r="AV29" s="97" t="s">
        <v>162</v>
      </c>
    </row>
    <row r="30" spans="1:48" s="2" customFormat="1" ht="14.5" x14ac:dyDescent="0.25">
      <c r="A30" s="3"/>
      <c r="B30" s="115">
        <v>7</v>
      </c>
      <c r="C30" s="115" t="s">
        <v>156</v>
      </c>
      <c r="D30" s="114" t="s">
        <v>154</v>
      </c>
      <c r="E30" s="132">
        <v>0</v>
      </c>
      <c r="F30" s="133">
        <f>LOOKUP('SERVICOS MONTAGEM'!$E$24:$E$63,BASE!A$4:A$125,BASE!B$4:B$125)</f>
        <v>0</v>
      </c>
      <c r="G30" s="117"/>
      <c r="H30" s="134"/>
      <c r="I30" s="135">
        <v>8.8000000000000007</v>
      </c>
      <c r="J30" s="134" t="s">
        <v>155</v>
      </c>
      <c r="K30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0" s="137">
        <f>ServInt10[[#This Row],[DIAS]]*ServInt10[[#This Row],[PESSOAS]]*ServInt10[[#This Row],[HORAS DIA]]</f>
        <v>0</v>
      </c>
      <c r="M30" s="138">
        <f>(IF(ServInt10[[#This Row],[CÓDIGO]]="","",LOOKUP(ServInt10[[#This Row],[CÓDIGO]],BASE!A$4:A$125,BASE!G$4:G$125)))*ServInt10[[#This Row],[HE CALC]]</f>
        <v>0</v>
      </c>
      <c r="N30" s="102">
        <f>ServInt10[[#This Row],[TOTAL HORAS]]*ServInt10[[#This Row],[R$ / HORA]]</f>
        <v>0</v>
      </c>
      <c r="O30" s="139">
        <f>BASE!$W$54</f>
        <v>0.79709863947533133</v>
      </c>
      <c r="P30" s="138">
        <f>ServInt10[[#This Row],[R$ / HORA]]/ServInt10[[#This Row],[MARK-UP]]</f>
        <v>0</v>
      </c>
      <c r="Q30" s="123">
        <f>ServInt10[[#This Row],[TOTAL]]/ServInt10[[#This Row],[MARK-UP]]</f>
        <v>0</v>
      </c>
      <c r="R30" s="123"/>
      <c r="S30" s="123">
        <f>(IF(E30="","",LOOKUP(E30,BASE!A$4:A$125,BASE!E$4:E$125)))*ServInt10[[#This Row],[TOTAL HORAS]]</f>
        <v>0</v>
      </c>
      <c r="T30" s="140">
        <f>IFERROR(ServInt10[[#This Row],[TOTAL3]]*(RESUMO!$F$32/RESUMO!$F$24),0)</f>
        <v>0</v>
      </c>
      <c r="W30" s="115">
        <v>7</v>
      </c>
      <c r="X30" s="115" t="s">
        <v>156</v>
      </c>
      <c r="Y30" s="114"/>
      <c r="Z30" s="132">
        <v>0</v>
      </c>
      <c r="AA30" s="14">
        <f>LOOKUP(Z30,BASE!A$4:A$125,BASE!B$4:B$125)</f>
        <v>0</v>
      </c>
      <c r="AB30" s="117"/>
      <c r="AC30" s="134"/>
      <c r="AD30" s="135">
        <v>8.8000000000000007</v>
      </c>
      <c r="AE30" s="134" t="s">
        <v>155</v>
      </c>
      <c r="AF30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0" s="13">
        <f t="shared" si="0"/>
        <v>0</v>
      </c>
      <c r="AH30" s="141">
        <f>(IF(Z30="","",LOOKUP(Z30,BASE!A$4:A$125,BASE!H$4:H$125)))*ServExt8[[#This Row],[HE CALC]]</f>
        <v>0</v>
      </c>
      <c r="AI30" s="102">
        <f>ServExt8[[#This Row],[TOTAL HORAS]]*ServExt8[[#This Row],[R$ / HORA]]</f>
        <v>0</v>
      </c>
      <c r="AJ30" s="142">
        <f>BASE!$W$54</f>
        <v>0.79709863947533133</v>
      </c>
      <c r="AK30" s="141">
        <f t="shared" si="1"/>
        <v>0</v>
      </c>
      <c r="AL30" s="143">
        <f t="shared" si="2"/>
        <v>0</v>
      </c>
      <c r="AM30" s="144">
        <f>IF(OR(ServExt8[[#This Row],[TIPO H]]="NORMAL",ServExt8[[#This Row],[HORAS DIA]]&gt;=8),ServExt8[[#This Row],[PESSOAS]]*ServExt8[[#This Row],[DIAS]]*2,0)</f>
        <v>0</v>
      </c>
      <c r="AN30" s="144">
        <f>(IF(Z30="","",LOOKUP(Z30,BASE!A$4:A$125,BASE!E$4:E$125)))*ServExt8[[#This Row],[TOTAL HORAS]]</f>
        <v>0</v>
      </c>
      <c r="AO30" s="11">
        <f>IF(ServExt8[[#This Row],[TIPO H]]="NORMAL",ServExt8[[#This Row],[PESSOAS]],0)</f>
        <v>0</v>
      </c>
      <c r="AP30" s="145">
        <f>IFERROR(ServExt8[[#This Row],[TOTAL3]]*(RESUMO!$F$32/RESUMO!$F$24),0)</f>
        <v>0</v>
      </c>
      <c r="AU30" s="168">
        <v>9</v>
      </c>
      <c r="AV30" s="97" t="s">
        <v>163</v>
      </c>
    </row>
    <row r="31" spans="1:48" s="2" customFormat="1" ht="14.5" x14ac:dyDescent="0.25">
      <c r="A31" s="3"/>
      <c r="B31" s="115">
        <v>8</v>
      </c>
      <c r="C31" s="115" t="s">
        <v>156</v>
      </c>
      <c r="D31" s="114" t="s">
        <v>154</v>
      </c>
      <c r="E31" s="132">
        <v>0</v>
      </c>
      <c r="F31" s="133">
        <f>LOOKUP('SERVICOS MONTAGEM'!$E$24:$E$63,BASE!A$4:A$125,BASE!B$4:B$125)</f>
        <v>0</v>
      </c>
      <c r="G31" s="117"/>
      <c r="H31" s="134"/>
      <c r="I31" s="135">
        <v>8.8000000000000007</v>
      </c>
      <c r="J31" s="134" t="s">
        <v>155</v>
      </c>
      <c r="K31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1" s="137">
        <f>ServInt10[[#This Row],[DIAS]]*ServInt10[[#This Row],[PESSOAS]]*ServInt10[[#This Row],[HORAS DIA]]</f>
        <v>0</v>
      </c>
      <c r="M31" s="138">
        <f>(IF(ServInt10[[#This Row],[CÓDIGO]]="","",LOOKUP(ServInt10[[#This Row],[CÓDIGO]],BASE!A$4:A$125,BASE!G$4:G$125)))*ServInt10[[#This Row],[HE CALC]]</f>
        <v>0</v>
      </c>
      <c r="N31" s="102">
        <f>ServInt10[[#This Row],[TOTAL HORAS]]*ServInt10[[#This Row],[R$ / HORA]]</f>
        <v>0</v>
      </c>
      <c r="O31" s="139">
        <f>BASE!$W$54</f>
        <v>0.79709863947533133</v>
      </c>
      <c r="P31" s="138">
        <f>ServInt10[[#This Row],[R$ / HORA]]/ServInt10[[#This Row],[MARK-UP]]</f>
        <v>0</v>
      </c>
      <c r="Q31" s="123">
        <f>ServInt10[[#This Row],[TOTAL]]/ServInt10[[#This Row],[MARK-UP]]</f>
        <v>0</v>
      </c>
      <c r="R31" s="123"/>
      <c r="S31" s="123">
        <f>(IF(E31="","",LOOKUP(E31,BASE!A$4:A$125,BASE!E$4:E$125)))*ServInt10[[#This Row],[TOTAL HORAS]]</f>
        <v>0</v>
      </c>
      <c r="T31" s="140">
        <f>IFERROR(ServInt10[[#This Row],[TOTAL3]]*(RESUMO!$F$32/RESUMO!$F$24),0)</f>
        <v>0</v>
      </c>
      <c r="W31" s="115">
        <v>8</v>
      </c>
      <c r="X31" s="115" t="s">
        <v>156</v>
      </c>
      <c r="Y31" s="114"/>
      <c r="Z31" s="132">
        <v>0</v>
      </c>
      <c r="AA31" s="14">
        <f>LOOKUP(Z31,BASE!A$4:A$125,BASE!B$4:B$125)</f>
        <v>0</v>
      </c>
      <c r="AB31" s="117"/>
      <c r="AC31" s="134"/>
      <c r="AD31" s="135">
        <v>8.8000000000000007</v>
      </c>
      <c r="AE31" s="134" t="s">
        <v>155</v>
      </c>
      <c r="AF31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1" s="13">
        <f t="shared" si="0"/>
        <v>0</v>
      </c>
      <c r="AH31" s="141">
        <f>(IF(Z31="","",LOOKUP(Z31,BASE!A$4:A$125,BASE!H$4:H$125)))*ServExt8[[#This Row],[HE CALC]]</f>
        <v>0</v>
      </c>
      <c r="AI31" s="102">
        <f>ServExt8[[#This Row],[TOTAL HORAS]]*ServExt8[[#This Row],[R$ / HORA]]</f>
        <v>0</v>
      </c>
      <c r="AJ31" s="142">
        <f>BASE!$W$54</f>
        <v>0.79709863947533133</v>
      </c>
      <c r="AK31" s="141">
        <f t="shared" si="1"/>
        <v>0</v>
      </c>
      <c r="AL31" s="143">
        <f t="shared" si="2"/>
        <v>0</v>
      </c>
      <c r="AM31" s="144">
        <f>IF(OR(ServExt8[[#This Row],[TIPO H]]="NORMAL",ServExt8[[#This Row],[HORAS DIA]]&gt;=8),ServExt8[[#This Row],[PESSOAS]]*ServExt8[[#This Row],[DIAS]]*2,0)</f>
        <v>0</v>
      </c>
      <c r="AN31" s="144">
        <f>(IF(Z31="","",LOOKUP(Z31,BASE!A$4:A$125,BASE!E$4:E$125)))*ServExt8[[#This Row],[TOTAL HORAS]]</f>
        <v>0</v>
      </c>
      <c r="AO31" s="11">
        <f>IF(ServExt8[[#This Row],[TIPO H]]="NORMAL",ServExt8[[#This Row],[PESSOAS]],0)</f>
        <v>0</v>
      </c>
      <c r="AP31" s="145">
        <f>IFERROR(ServExt8[[#This Row],[TOTAL3]]*(RESUMO!$F$32/RESUMO!$F$24),0)</f>
        <v>0</v>
      </c>
      <c r="AU31" s="168">
        <v>10</v>
      </c>
      <c r="AV31" s="97" t="s">
        <v>164</v>
      </c>
    </row>
    <row r="32" spans="1:48" s="2" customFormat="1" ht="14.5" x14ac:dyDescent="0.25">
      <c r="A32" s="3"/>
      <c r="B32" s="115">
        <v>9</v>
      </c>
      <c r="C32" s="115" t="s">
        <v>156</v>
      </c>
      <c r="D32" s="114" t="s">
        <v>154</v>
      </c>
      <c r="E32" s="132">
        <v>0</v>
      </c>
      <c r="F32" s="133">
        <f>LOOKUP('SERVICOS MONTAGEM'!$E$24:$E$63,BASE!A$4:A$125,BASE!B$4:B$125)</f>
        <v>0</v>
      </c>
      <c r="G32" s="117"/>
      <c r="H32" s="134"/>
      <c r="I32" s="135">
        <v>8.8000000000000007</v>
      </c>
      <c r="J32" s="134" t="s">
        <v>155</v>
      </c>
      <c r="K32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2" s="137">
        <f>ServInt10[[#This Row],[DIAS]]*ServInt10[[#This Row],[PESSOAS]]*ServInt10[[#This Row],[HORAS DIA]]</f>
        <v>0</v>
      </c>
      <c r="M32" s="138">
        <f>(IF(ServInt10[[#This Row],[CÓDIGO]]="","",LOOKUP(ServInt10[[#This Row],[CÓDIGO]],BASE!A$4:A$125,BASE!G$4:G$125)))*ServInt10[[#This Row],[HE CALC]]</f>
        <v>0</v>
      </c>
      <c r="N32" s="102">
        <f>ServInt10[[#This Row],[TOTAL HORAS]]*ServInt10[[#This Row],[R$ / HORA]]</f>
        <v>0</v>
      </c>
      <c r="O32" s="139">
        <f>BASE!$W$54</f>
        <v>0.79709863947533133</v>
      </c>
      <c r="P32" s="138">
        <f>ServInt10[[#This Row],[R$ / HORA]]/ServInt10[[#This Row],[MARK-UP]]</f>
        <v>0</v>
      </c>
      <c r="Q32" s="123">
        <f>ServInt10[[#This Row],[TOTAL]]/ServInt10[[#This Row],[MARK-UP]]</f>
        <v>0</v>
      </c>
      <c r="R32" s="123"/>
      <c r="S32" s="123">
        <f>(IF(E32="","",LOOKUP(E32,BASE!A$4:A$125,BASE!E$4:E$125)))*ServInt10[[#This Row],[TOTAL HORAS]]</f>
        <v>0</v>
      </c>
      <c r="T32" s="140">
        <f>IFERROR(ServInt10[[#This Row],[TOTAL3]]*(RESUMO!$F$32/RESUMO!$F$24),0)</f>
        <v>0</v>
      </c>
      <c r="W32" s="115">
        <v>9</v>
      </c>
      <c r="X32" s="115" t="s">
        <v>156</v>
      </c>
      <c r="Y32" s="114"/>
      <c r="Z32" s="132">
        <v>0</v>
      </c>
      <c r="AA32" s="14">
        <f>LOOKUP(Z32,BASE!A$4:A$125,BASE!B$4:B$125)</f>
        <v>0</v>
      </c>
      <c r="AB32" s="117"/>
      <c r="AC32" s="134"/>
      <c r="AD32" s="135">
        <v>8.8000000000000007</v>
      </c>
      <c r="AE32" s="134" t="s">
        <v>155</v>
      </c>
      <c r="AF32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2" s="13">
        <f t="shared" si="0"/>
        <v>0</v>
      </c>
      <c r="AH32" s="141">
        <f>(IF(Z32="","",LOOKUP(Z32,BASE!A$4:A$125,BASE!H$4:H$125)))*ServExt8[[#This Row],[HE CALC]]</f>
        <v>0</v>
      </c>
      <c r="AI32" s="102">
        <f>ServExt8[[#This Row],[TOTAL HORAS]]*ServExt8[[#This Row],[R$ / HORA]]</f>
        <v>0</v>
      </c>
      <c r="AJ32" s="142">
        <f>BASE!$W$54</f>
        <v>0.79709863947533133</v>
      </c>
      <c r="AK32" s="141">
        <f t="shared" si="1"/>
        <v>0</v>
      </c>
      <c r="AL32" s="143">
        <f t="shared" si="2"/>
        <v>0</v>
      </c>
      <c r="AM32" s="144">
        <f>IF(OR(ServExt8[[#This Row],[TIPO H]]="NORMAL",ServExt8[[#This Row],[HORAS DIA]]&gt;=8),ServExt8[[#This Row],[PESSOAS]]*ServExt8[[#This Row],[DIAS]]*2,0)</f>
        <v>0</v>
      </c>
      <c r="AN32" s="144">
        <f>(IF(Z32="","",LOOKUP(Z32,BASE!A$4:A$125,BASE!E$4:E$125)))*ServExt8[[#This Row],[TOTAL HORAS]]</f>
        <v>0</v>
      </c>
      <c r="AO32" s="11">
        <f>IF(ServExt8[[#This Row],[TIPO H]]="NORMAL",ServExt8[[#This Row],[PESSOAS]],0)</f>
        <v>0</v>
      </c>
      <c r="AP32" s="145">
        <f>IFERROR(ServExt8[[#This Row],[TOTAL3]]*(RESUMO!$F$32/RESUMO!$F$24),0)</f>
        <v>0</v>
      </c>
      <c r="AU32" s="168">
        <v>11</v>
      </c>
      <c r="AV32" s="97" t="s">
        <v>165</v>
      </c>
    </row>
    <row r="33" spans="1:48" s="2" customFormat="1" ht="14.5" x14ac:dyDescent="0.25">
      <c r="A33" s="3"/>
      <c r="B33" s="115">
        <v>10</v>
      </c>
      <c r="C33" s="115" t="s">
        <v>156</v>
      </c>
      <c r="D33" s="114" t="s">
        <v>154</v>
      </c>
      <c r="E33" s="132">
        <v>0</v>
      </c>
      <c r="F33" s="133">
        <f>LOOKUP('SERVICOS MONTAGEM'!$E$24:$E$63,BASE!A$4:A$125,BASE!B$4:B$125)</f>
        <v>0</v>
      </c>
      <c r="G33" s="117"/>
      <c r="H33" s="134"/>
      <c r="I33" s="135">
        <v>8.8000000000000007</v>
      </c>
      <c r="J33" s="134" t="s">
        <v>155</v>
      </c>
      <c r="K33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3" s="137">
        <f>ServInt10[[#This Row],[DIAS]]*ServInt10[[#This Row],[PESSOAS]]*ServInt10[[#This Row],[HORAS DIA]]</f>
        <v>0</v>
      </c>
      <c r="M33" s="138">
        <f>(IF(ServInt10[[#This Row],[CÓDIGO]]="","",LOOKUP(ServInt10[[#This Row],[CÓDIGO]],BASE!A$4:A$125,BASE!G$4:G$125)))*ServInt10[[#This Row],[HE CALC]]</f>
        <v>0</v>
      </c>
      <c r="N33" s="102">
        <f>ServInt10[[#This Row],[TOTAL HORAS]]*ServInt10[[#This Row],[R$ / HORA]]</f>
        <v>0</v>
      </c>
      <c r="O33" s="139">
        <f>BASE!$W$54</f>
        <v>0.79709863947533133</v>
      </c>
      <c r="P33" s="138">
        <f>ServInt10[[#This Row],[R$ / HORA]]/ServInt10[[#This Row],[MARK-UP]]</f>
        <v>0</v>
      </c>
      <c r="Q33" s="123">
        <f>ServInt10[[#This Row],[TOTAL]]/ServInt10[[#This Row],[MARK-UP]]</f>
        <v>0</v>
      </c>
      <c r="R33" s="123"/>
      <c r="S33" s="123">
        <f>(IF(E33="","",LOOKUP(E33,BASE!A$4:A$125,BASE!E$4:E$125)))*ServInt10[[#This Row],[TOTAL HORAS]]</f>
        <v>0</v>
      </c>
      <c r="T33" s="140">
        <f>IFERROR(ServInt10[[#This Row],[TOTAL3]]*(RESUMO!$F$32/RESUMO!$F$24),0)</f>
        <v>0</v>
      </c>
      <c r="W33" s="115">
        <v>10</v>
      </c>
      <c r="X33" s="115" t="s">
        <v>156</v>
      </c>
      <c r="Y33" s="114"/>
      <c r="Z33" s="132">
        <v>0</v>
      </c>
      <c r="AA33" s="14">
        <f>LOOKUP(Z33,BASE!A$4:A$125,BASE!B$4:B$125)</f>
        <v>0</v>
      </c>
      <c r="AB33" s="117"/>
      <c r="AC33" s="134"/>
      <c r="AD33" s="135">
        <v>8.8000000000000007</v>
      </c>
      <c r="AE33" s="134" t="s">
        <v>155</v>
      </c>
      <c r="AF33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3" s="13">
        <f t="shared" si="0"/>
        <v>0</v>
      </c>
      <c r="AH33" s="141">
        <f>(IF(Z33="","",LOOKUP(Z33,BASE!A$4:A$125,BASE!H$4:H$125)))*ServExt8[[#This Row],[HE CALC]]</f>
        <v>0</v>
      </c>
      <c r="AI33" s="102">
        <f>ServExt8[[#This Row],[TOTAL HORAS]]*ServExt8[[#This Row],[R$ / HORA]]</f>
        <v>0</v>
      </c>
      <c r="AJ33" s="142">
        <f>BASE!$W$54</f>
        <v>0.79709863947533133</v>
      </c>
      <c r="AK33" s="141">
        <f t="shared" si="1"/>
        <v>0</v>
      </c>
      <c r="AL33" s="143">
        <f t="shared" si="2"/>
        <v>0</v>
      </c>
      <c r="AM33" s="144">
        <f>IF(OR(ServExt8[[#This Row],[TIPO H]]="NORMAL",ServExt8[[#This Row],[HORAS DIA]]&gt;=8),ServExt8[[#This Row],[PESSOAS]]*ServExt8[[#This Row],[DIAS]]*2,0)</f>
        <v>0</v>
      </c>
      <c r="AN33" s="144">
        <f>(IF(Z33="","",LOOKUP(Z33,BASE!A$4:A$125,BASE!E$4:E$125)))*ServExt8[[#This Row],[TOTAL HORAS]]</f>
        <v>0</v>
      </c>
      <c r="AO33" s="11">
        <f>IF(ServExt8[[#This Row],[TIPO H]]="NORMAL",ServExt8[[#This Row],[PESSOAS]],0)</f>
        <v>0</v>
      </c>
      <c r="AP33" s="145">
        <f>IFERROR(ServExt8[[#This Row],[TOTAL3]]*(RESUMO!$F$32/RESUMO!$F$24),0)</f>
        <v>0</v>
      </c>
      <c r="AU33" s="168">
        <v>12</v>
      </c>
      <c r="AV33" s="97" t="s">
        <v>166</v>
      </c>
    </row>
    <row r="34" spans="1:48" s="2" customFormat="1" ht="14.5" x14ac:dyDescent="0.25">
      <c r="A34" s="3"/>
      <c r="B34" s="115">
        <v>11</v>
      </c>
      <c r="C34" s="115" t="s">
        <v>156</v>
      </c>
      <c r="D34" s="114" t="s">
        <v>154</v>
      </c>
      <c r="E34" s="132">
        <v>0</v>
      </c>
      <c r="F34" s="133">
        <f>LOOKUP('SERVICOS MONTAGEM'!$E$24:$E$63,BASE!A$4:A$125,BASE!B$4:B$125)</f>
        <v>0</v>
      </c>
      <c r="G34" s="117"/>
      <c r="H34" s="134"/>
      <c r="I34" s="135">
        <v>8.8000000000000007</v>
      </c>
      <c r="J34" s="134" t="s">
        <v>155</v>
      </c>
      <c r="K34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4" s="137">
        <f>ServInt10[[#This Row],[DIAS]]*ServInt10[[#This Row],[PESSOAS]]*ServInt10[[#This Row],[HORAS DIA]]</f>
        <v>0</v>
      </c>
      <c r="M34" s="138">
        <f>(IF(ServInt10[[#This Row],[CÓDIGO]]="","",LOOKUP(ServInt10[[#This Row],[CÓDIGO]],BASE!A$4:A$125,BASE!G$4:G$125)))*ServInt10[[#This Row],[HE CALC]]</f>
        <v>0</v>
      </c>
      <c r="N34" s="102">
        <f>ServInt10[[#This Row],[TOTAL HORAS]]*ServInt10[[#This Row],[R$ / HORA]]</f>
        <v>0</v>
      </c>
      <c r="O34" s="139">
        <f>BASE!$W$54</f>
        <v>0.79709863947533133</v>
      </c>
      <c r="P34" s="138">
        <f>ServInt10[[#This Row],[R$ / HORA]]/ServInt10[[#This Row],[MARK-UP]]</f>
        <v>0</v>
      </c>
      <c r="Q34" s="123">
        <f>ServInt10[[#This Row],[TOTAL]]/ServInt10[[#This Row],[MARK-UP]]</f>
        <v>0</v>
      </c>
      <c r="R34" s="123"/>
      <c r="S34" s="123">
        <f>(IF(E34="","",LOOKUP(E34,BASE!A$4:A$125,BASE!E$4:E$125)))*ServInt10[[#This Row],[TOTAL HORAS]]</f>
        <v>0</v>
      </c>
      <c r="T34" s="140">
        <f>IFERROR(ServInt10[[#This Row],[TOTAL3]]*(RESUMO!$F$32/RESUMO!$F$24),0)</f>
        <v>0</v>
      </c>
      <c r="W34" s="115">
        <v>11</v>
      </c>
      <c r="X34" s="115" t="s">
        <v>156</v>
      </c>
      <c r="Y34" s="114"/>
      <c r="Z34" s="132">
        <v>0</v>
      </c>
      <c r="AA34" s="14">
        <f>LOOKUP(Z34,BASE!A$4:A$125,BASE!B$4:B$125)</f>
        <v>0</v>
      </c>
      <c r="AB34" s="117"/>
      <c r="AC34" s="134"/>
      <c r="AD34" s="135">
        <v>8.8000000000000007</v>
      </c>
      <c r="AE34" s="134" t="s">
        <v>155</v>
      </c>
      <c r="AF34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4" s="13">
        <f t="shared" si="0"/>
        <v>0</v>
      </c>
      <c r="AH34" s="141">
        <f>(IF(Z34="","",LOOKUP(Z34,BASE!A$4:A$125,BASE!H$4:H$125)))*ServExt8[[#This Row],[HE CALC]]</f>
        <v>0</v>
      </c>
      <c r="AI34" s="102">
        <f>ServExt8[[#This Row],[TOTAL HORAS]]*ServExt8[[#This Row],[R$ / HORA]]</f>
        <v>0</v>
      </c>
      <c r="AJ34" s="142">
        <f>BASE!$W$54</f>
        <v>0.79709863947533133</v>
      </c>
      <c r="AK34" s="141">
        <f t="shared" si="1"/>
        <v>0</v>
      </c>
      <c r="AL34" s="143">
        <f t="shared" si="2"/>
        <v>0</v>
      </c>
      <c r="AM34" s="144">
        <f>IF(OR(ServExt8[[#This Row],[TIPO H]]="NORMAL",ServExt8[[#This Row],[HORAS DIA]]&gt;=8),ServExt8[[#This Row],[PESSOAS]]*ServExt8[[#This Row],[DIAS]]*2,0)</f>
        <v>0</v>
      </c>
      <c r="AN34" s="144">
        <f>(IF(Z34="","",LOOKUP(Z34,BASE!A$4:A$125,BASE!E$4:E$125)))*ServExt8[[#This Row],[TOTAL HORAS]]</f>
        <v>0</v>
      </c>
      <c r="AO34" s="5">
        <f>IF(ServExt8[[#This Row],[TIPO H]]="NORMAL",ServExt8[[#This Row],[PESSOAS]],0)</f>
        <v>0</v>
      </c>
      <c r="AP34" s="145">
        <f>IFERROR(ServExt8[[#This Row],[TOTAL3]]*(RESUMO!$F$32/RESUMO!$F$24),0)</f>
        <v>0</v>
      </c>
      <c r="AU34" s="168">
        <v>13</v>
      </c>
      <c r="AV34" s="97" t="s">
        <v>167</v>
      </c>
    </row>
    <row r="35" spans="1:48" s="2" customFormat="1" ht="14.5" x14ac:dyDescent="0.25">
      <c r="A35" s="3"/>
      <c r="B35" s="115">
        <v>12</v>
      </c>
      <c r="C35" s="115" t="s">
        <v>156</v>
      </c>
      <c r="D35" s="114" t="s">
        <v>154</v>
      </c>
      <c r="E35" s="132">
        <v>0</v>
      </c>
      <c r="F35" s="133">
        <f>LOOKUP('SERVICOS MONTAGEM'!$E$24:$E$63,BASE!A$4:A$125,BASE!B$4:B$125)</f>
        <v>0</v>
      </c>
      <c r="G35" s="117"/>
      <c r="H35" s="134"/>
      <c r="I35" s="135">
        <v>8.8000000000000007</v>
      </c>
      <c r="J35" s="134" t="s">
        <v>155</v>
      </c>
      <c r="K35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5" s="137">
        <f>ServInt10[[#This Row],[DIAS]]*ServInt10[[#This Row],[PESSOAS]]*ServInt10[[#This Row],[HORAS DIA]]</f>
        <v>0</v>
      </c>
      <c r="M35" s="138">
        <f>(IF(ServInt10[[#This Row],[CÓDIGO]]="","",LOOKUP(ServInt10[[#This Row],[CÓDIGO]],BASE!A$4:A$125,BASE!G$4:G$125)))*ServInt10[[#This Row],[HE CALC]]</f>
        <v>0</v>
      </c>
      <c r="N35" s="102">
        <f>ServInt10[[#This Row],[TOTAL HORAS]]*ServInt10[[#This Row],[R$ / HORA]]</f>
        <v>0</v>
      </c>
      <c r="O35" s="139">
        <f>BASE!$W$54</f>
        <v>0.79709863947533133</v>
      </c>
      <c r="P35" s="138">
        <f>ServInt10[[#This Row],[R$ / HORA]]/ServInt10[[#This Row],[MARK-UP]]</f>
        <v>0</v>
      </c>
      <c r="Q35" s="123">
        <f>ServInt10[[#This Row],[TOTAL]]/ServInt10[[#This Row],[MARK-UP]]</f>
        <v>0</v>
      </c>
      <c r="R35" s="123"/>
      <c r="S35" s="123">
        <f>(IF(E35="","",LOOKUP(E35,BASE!A$4:A$125,BASE!E$4:E$125)))*ServInt10[[#This Row],[TOTAL HORAS]]</f>
        <v>0</v>
      </c>
      <c r="T35" s="140">
        <f>IFERROR(ServInt10[[#This Row],[TOTAL3]]*(RESUMO!$F$32/RESUMO!$F$24),0)</f>
        <v>0</v>
      </c>
      <c r="W35" s="115">
        <v>12</v>
      </c>
      <c r="X35" s="115" t="s">
        <v>156</v>
      </c>
      <c r="Y35" s="114"/>
      <c r="Z35" s="132">
        <v>0</v>
      </c>
      <c r="AA35" s="14">
        <f>LOOKUP(Z35,BASE!A$4:A$125,BASE!B$4:B$125)</f>
        <v>0</v>
      </c>
      <c r="AB35" s="117"/>
      <c r="AC35" s="134"/>
      <c r="AD35" s="135">
        <v>8.8000000000000007</v>
      </c>
      <c r="AE35" s="134" t="s">
        <v>155</v>
      </c>
      <c r="AF35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5" s="13">
        <f t="shared" si="0"/>
        <v>0</v>
      </c>
      <c r="AH35" s="141">
        <f>(IF(Z35="","",LOOKUP(Z35,BASE!A$4:A$125,BASE!H$4:H$125)))*ServExt8[[#This Row],[HE CALC]]</f>
        <v>0</v>
      </c>
      <c r="AI35" s="102">
        <f>ServExt8[[#This Row],[TOTAL HORAS]]*ServExt8[[#This Row],[R$ / HORA]]</f>
        <v>0</v>
      </c>
      <c r="AJ35" s="142">
        <f>BASE!$W$54</f>
        <v>0.79709863947533133</v>
      </c>
      <c r="AK35" s="141">
        <f t="shared" si="1"/>
        <v>0</v>
      </c>
      <c r="AL35" s="143">
        <f t="shared" si="2"/>
        <v>0</v>
      </c>
      <c r="AM35" s="144">
        <f>IF(OR(ServExt8[[#This Row],[TIPO H]]="NORMAL",ServExt8[[#This Row],[HORAS DIA]]&gt;=8),ServExt8[[#This Row],[PESSOAS]]*ServExt8[[#This Row],[DIAS]]*2,0)</f>
        <v>0</v>
      </c>
      <c r="AN35" s="144">
        <f>(IF(Z35="","",LOOKUP(Z35,BASE!A$4:A$125,BASE!E$4:E$125)))*ServExt8[[#This Row],[TOTAL HORAS]]</f>
        <v>0</v>
      </c>
      <c r="AO35" s="5">
        <f>IF(ServExt8[[#This Row],[TIPO H]]="NORMAL",ServExt8[[#This Row],[PESSOAS]],0)</f>
        <v>0</v>
      </c>
      <c r="AP35" s="145">
        <f>IFERROR(ServExt8[[#This Row],[TOTAL3]]*(RESUMO!$F$32/RESUMO!$F$24),0)</f>
        <v>0</v>
      </c>
      <c r="AU35" s="168">
        <v>14</v>
      </c>
      <c r="AV35" s="97" t="s">
        <v>168</v>
      </c>
    </row>
    <row r="36" spans="1:48" ht="14.5" x14ac:dyDescent="0.25">
      <c r="A36" s="4"/>
      <c r="B36" s="115">
        <v>13</v>
      </c>
      <c r="C36" s="115" t="s">
        <v>156</v>
      </c>
      <c r="D36" s="114" t="s">
        <v>154</v>
      </c>
      <c r="E36" s="132">
        <v>0</v>
      </c>
      <c r="F36" s="133">
        <f>LOOKUP('SERVICOS MONTAGEM'!$E$24:$E$63,BASE!A$4:A$125,BASE!B$4:B$125)</f>
        <v>0</v>
      </c>
      <c r="G36" s="117"/>
      <c r="H36" s="134"/>
      <c r="I36" s="135">
        <v>8.8000000000000007</v>
      </c>
      <c r="J36" s="134" t="s">
        <v>155</v>
      </c>
      <c r="K36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6" s="137">
        <f>ServInt10[[#This Row],[DIAS]]*ServInt10[[#This Row],[PESSOAS]]*ServInt10[[#This Row],[HORAS DIA]]</f>
        <v>0</v>
      </c>
      <c r="M36" s="138">
        <f>(IF(ServInt10[[#This Row],[CÓDIGO]]="","",LOOKUP(ServInt10[[#This Row],[CÓDIGO]],BASE!A$4:A$125,BASE!G$4:G$125)))*ServInt10[[#This Row],[HE CALC]]</f>
        <v>0</v>
      </c>
      <c r="N36" s="102">
        <f>ServInt10[[#This Row],[TOTAL HORAS]]*ServInt10[[#This Row],[R$ / HORA]]</f>
        <v>0</v>
      </c>
      <c r="O36" s="139">
        <f>BASE!$W$54</f>
        <v>0.79709863947533133</v>
      </c>
      <c r="P36" s="138">
        <f>ServInt10[[#This Row],[R$ / HORA]]/ServInt10[[#This Row],[MARK-UP]]</f>
        <v>0</v>
      </c>
      <c r="Q36" s="123">
        <f>ServInt10[[#This Row],[TOTAL]]/ServInt10[[#This Row],[MARK-UP]]</f>
        <v>0</v>
      </c>
      <c r="R36" s="123"/>
      <c r="S36" s="123">
        <f>(IF(E36="","",LOOKUP(E36,BASE!A$4:A$125,BASE!E$4:E$125)))*ServInt10[[#This Row],[TOTAL HORAS]]</f>
        <v>0</v>
      </c>
      <c r="T36" s="140">
        <f>IFERROR(ServInt10[[#This Row],[TOTAL3]]*(RESUMO!$F$32/RESUMO!$F$24),0)</f>
        <v>0</v>
      </c>
      <c r="W36" s="115">
        <v>13</v>
      </c>
      <c r="X36" s="115" t="s">
        <v>156</v>
      </c>
      <c r="Y36" s="114"/>
      <c r="Z36" s="132">
        <v>0</v>
      </c>
      <c r="AA36" s="14">
        <f>LOOKUP(Z36,BASE!A$4:A$125,BASE!B$4:B$125)</f>
        <v>0</v>
      </c>
      <c r="AB36" s="117"/>
      <c r="AC36" s="134"/>
      <c r="AD36" s="135">
        <v>8.8000000000000007</v>
      </c>
      <c r="AE36" s="134" t="s">
        <v>155</v>
      </c>
      <c r="AF36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6" s="13">
        <f t="shared" si="0"/>
        <v>0</v>
      </c>
      <c r="AH36" s="141">
        <f>(IF(Z36="","",LOOKUP(Z36,BASE!A$4:A$125,BASE!H$4:H$125)))*ServExt8[[#This Row],[HE CALC]]</f>
        <v>0</v>
      </c>
      <c r="AI36" s="102">
        <f>ServExt8[[#This Row],[TOTAL HORAS]]*ServExt8[[#This Row],[R$ / HORA]]</f>
        <v>0</v>
      </c>
      <c r="AJ36" s="142">
        <f>BASE!$W$54</f>
        <v>0.79709863947533133</v>
      </c>
      <c r="AK36" s="141">
        <f t="shared" si="1"/>
        <v>0</v>
      </c>
      <c r="AL36" s="143">
        <f t="shared" si="2"/>
        <v>0</v>
      </c>
      <c r="AM36" s="144">
        <f>IF(OR(ServExt8[[#This Row],[TIPO H]]="NORMAL",ServExt8[[#This Row],[HORAS DIA]]&gt;=8),ServExt8[[#This Row],[PESSOAS]]*ServExt8[[#This Row],[DIAS]]*2,0)</f>
        <v>0</v>
      </c>
      <c r="AN36" s="144">
        <f>(IF(Z36="","",LOOKUP(Z36,BASE!A$4:A$125,BASE!E$4:E$125)))*ServExt8[[#This Row],[TOTAL HORAS]]</f>
        <v>0</v>
      </c>
      <c r="AO36" s="5">
        <f>IF(ServExt8[[#This Row],[TIPO H]]="NORMAL",ServExt8[[#This Row],[PESSOAS]],0)</f>
        <v>0</v>
      </c>
      <c r="AP36" s="145">
        <f>IFERROR(ServExt8[[#This Row],[TOTAL3]]*(RESUMO!$F$32/RESUMO!$F$24),0)</f>
        <v>0</v>
      </c>
      <c r="AU36" s="168">
        <v>15</v>
      </c>
      <c r="AV36" s="97" t="s">
        <v>169</v>
      </c>
    </row>
    <row r="37" spans="1:48" ht="14.5" x14ac:dyDescent="0.25">
      <c r="A37" s="4"/>
      <c r="B37" s="115">
        <v>14</v>
      </c>
      <c r="C37" s="115" t="s">
        <v>156</v>
      </c>
      <c r="D37" s="114" t="s">
        <v>154</v>
      </c>
      <c r="E37" s="132">
        <v>0</v>
      </c>
      <c r="F37" s="133">
        <f>LOOKUP('SERVICOS MONTAGEM'!$E$24:$E$63,BASE!A$4:A$125,BASE!B$4:B$125)</f>
        <v>0</v>
      </c>
      <c r="G37" s="117"/>
      <c r="H37" s="134"/>
      <c r="I37" s="135">
        <v>8.8000000000000007</v>
      </c>
      <c r="J37" s="134" t="s">
        <v>155</v>
      </c>
      <c r="K37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7" s="137">
        <f>ServInt10[[#This Row],[DIAS]]*ServInt10[[#This Row],[PESSOAS]]*ServInt10[[#This Row],[HORAS DIA]]</f>
        <v>0</v>
      </c>
      <c r="M37" s="138">
        <f>(IF(ServInt10[[#This Row],[CÓDIGO]]="","",LOOKUP(ServInt10[[#This Row],[CÓDIGO]],BASE!A$4:A$125,BASE!G$4:G$125)))*ServInt10[[#This Row],[HE CALC]]</f>
        <v>0</v>
      </c>
      <c r="N37" s="102">
        <f>ServInt10[[#This Row],[TOTAL HORAS]]*ServInt10[[#This Row],[R$ / HORA]]</f>
        <v>0</v>
      </c>
      <c r="O37" s="139">
        <f>BASE!$W$54</f>
        <v>0.79709863947533133</v>
      </c>
      <c r="P37" s="138">
        <f>ServInt10[[#This Row],[R$ / HORA]]/ServInt10[[#This Row],[MARK-UP]]</f>
        <v>0</v>
      </c>
      <c r="Q37" s="123">
        <f>ServInt10[[#This Row],[TOTAL]]/ServInt10[[#This Row],[MARK-UP]]</f>
        <v>0</v>
      </c>
      <c r="R37" s="123"/>
      <c r="S37" s="123">
        <f>(IF(E37="","",LOOKUP(E37,BASE!A$4:A$125,BASE!E$4:E$125)))*ServInt10[[#This Row],[TOTAL HORAS]]</f>
        <v>0</v>
      </c>
      <c r="T37" s="140">
        <f>IFERROR(ServInt10[[#This Row],[TOTAL3]]*(RESUMO!$F$32/RESUMO!$F$24),0)</f>
        <v>0</v>
      </c>
      <c r="W37" s="115">
        <v>14</v>
      </c>
      <c r="X37" s="115" t="s">
        <v>156</v>
      </c>
      <c r="Y37" s="114"/>
      <c r="Z37" s="132">
        <v>0</v>
      </c>
      <c r="AA37" s="14">
        <f>LOOKUP(Z37,BASE!A$4:A$125,BASE!B$4:B$125)</f>
        <v>0</v>
      </c>
      <c r="AB37" s="117"/>
      <c r="AC37" s="134"/>
      <c r="AD37" s="135">
        <v>8.8000000000000007</v>
      </c>
      <c r="AE37" s="134" t="s">
        <v>155</v>
      </c>
      <c r="AF37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7" s="13">
        <f t="shared" si="0"/>
        <v>0</v>
      </c>
      <c r="AH37" s="141">
        <f>(IF(Z37="","",LOOKUP(Z37,BASE!A$4:A$125,BASE!H$4:H$125)))*ServExt8[[#This Row],[HE CALC]]</f>
        <v>0</v>
      </c>
      <c r="AI37" s="102">
        <f>ServExt8[[#This Row],[TOTAL HORAS]]*ServExt8[[#This Row],[R$ / HORA]]</f>
        <v>0</v>
      </c>
      <c r="AJ37" s="142">
        <f>BASE!$W$54</f>
        <v>0.79709863947533133</v>
      </c>
      <c r="AK37" s="141">
        <f t="shared" si="1"/>
        <v>0</v>
      </c>
      <c r="AL37" s="143">
        <f t="shared" si="2"/>
        <v>0</v>
      </c>
      <c r="AM37" s="144">
        <f>IF(OR(ServExt8[[#This Row],[TIPO H]]="NORMAL",ServExt8[[#This Row],[HORAS DIA]]&gt;=8),ServExt8[[#This Row],[PESSOAS]]*ServExt8[[#This Row],[DIAS]]*2,0)</f>
        <v>0</v>
      </c>
      <c r="AN37" s="144">
        <f>(IF(Z37="","",LOOKUP(Z37,BASE!A$4:A$125,BASE!E$4:E$125)))*ServExt8[[#This Row],[TOTAL HORAS]]</f>
        <v>0</v>
      </c>
      <c r="AO37" s="5">
        <f>IF(ServExt8[[#This Row],[TIPO H]]="NORMAL",ServExt8[[#This Row],[PESSOAS]],0)</f>
        <v>0</v>
      </c>
      <c r="AP37" s="145">
        <f>IFERROR(ServExt8[[#This Row],[TOTAL3]]*(RESUMO!$F$32/RESUMO!$F$24),0)</f>
        <v>0</v>
      </c>
      <c r="AU37" s="168">
        <v>16</v>
      </c>
      <c r="AV37" s="97" t="s">
        <v>170</v>
      </c>
    </row>
    <row r="38" spans="1:48" s="2" customFormat="1" ht="14.5" x14ac:dyDescent="0.25">
      <c r="A38" s="3"/>
      <c r="B38" s="115">
        <v>15</v>
      </c>
      <c r="C38" s="115" t="s">
        <v>156</v>
      </c>
      <c r="D38" s="114" t="s">
        <v>154</v>
      </c>
      <c r="E38" s="132">
        <v>0</v>
      </c>
      <c r="F38" s="133">
        <f>LOOKUP('SERVICOS MONTAGEM'!$E$24:$E$63,BASE!A$4:A$125,BASE!B$4:B$125)</f>
        <v>0</v>
      </c>
      <c r="G38" s="117"/>
      <c r="H38" s="134"/>
      <c r="I38" s="135">
        <v>8.8000000000000007</v>
      </c>
      <c r="J38" s="134" t="s">
        <v>155</v>
      </c>
      <c r="K38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8" s="137">
        <f>ServInt10[[#This Row],[DIAS]]*ServInt10[[#This Row],[PESSOAS]]*ServInt10[[#This Row],[HORAS DIA]]</f>
        <v>0</v>
      </c>
      <c r="M38" s="138">
        <f>(IF(ServInt10[[#This Row],[CÓDIGO]]="","",LOOKUP(ServInt10[[#This Row],[CÓDIGO]],BASE!A$4:A$125,BASE!G$4:G$125)))*ServInt10[[#This Row],[HE CALC]]</f>
        <v>0</v>
      </c>
      <c r="N38" s="102">
        <f>ServInt10[[#This Row],[TOTAL HORAS]]*ServInt10[[#This Row],[R$ / HORA]]</f>
        <v>0</v>
      </c>
      <c r="O38" s="139">
        <f>BASE!$W$54</f>
        <v>0.79709863947533133</v>
      </c>
      <c r="P38" s="138">
        <f>ServInt10[[#This Row],[R$ / HORA]]/ServInt10[[#This Row],[MARK-UP]]</f>
        <v>0</v>
      </c>
      <c r="Q38" s="123">
        <f>ServInt10[[#This Row],[TOTAL]]/ServInt10[[#This Row],[MARK-UP]]</f>
        <v>0</v>
      </c>
      <c r="R38" s="123"/>
      <c r="S38" s="123">
        <f>(IF(E38="","",LOOKUP(E38,BASE!A$4:A$125,BASE!E$4:E$125)))*ServInt10[[#This Row],[TOTAL HORAS]]</f>
        <v>0</v>
      </c>
      <c r="T38" s="140">
        <f>IFERROR(ServInt10[[#This Row],[TOTAL3]]*(RESUMO!$F$32/RESUMO!$F$24),0)</f>
        <v>0</v>
      </c>
      <c r="W38" s="115">
        <v>15</v>
      </c>
      <c r="X38" s="115" t="s">
        <v>156</v>
      </c>
      <c r="Y38" s="114"/>
      <c r="Z38" s="132">
        <v>0</v>
      </c>
      <c r="AA38" s="14">
        <f>LOOKUP(Z38,BASE!A$4:A$125,BASE!B$4:B$125)</f>
        <v>0</v>
      </c>
      <c r="AB38" s="117"/>
      <c r="AC38" s="134"/>
      <c r="AD38" s="135">
        <v>8.8000000000000007</v>
      </c>
      <c r="AE38" s="134" t="s">
        <v>155</v>
      </c>
      <c r="AF38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8" s="13">
        <f t="shared" si="0"/>
        <v>0</v>
      </c>
      <c r="AH38" s="141">
        <f>(IF(Z38="","",LOOKUP(Z38,BASE!A$4:A$125,BASE!H$4:H$125)))*ServExt8[[#This Row],[HE CALC]]</f>
        <v>0</v>
      </c>
      <c r="AI38" s="102">
        <f>ServExt8[[#This Row],[TOTAL HORAS]]*ServExt8[[#This Row],[R$ / HORA]]</f>
        <v>0</v>
      </c>
      <c r="AJ38" s="142">
        <f>BASE!$W$54</f>
        <v>0.79709863947533133</v>
      </c>
      <c r="AK38" s="141">
        <f t="shared" si="1"/>
        <v>0</v>
      </c>
      <c r="AL38" s="143">
        <f t="shared" si="2"/>
        <v>0</v>
      </c>
      <c r="AM38" s="144">
        <f>IF(OR(ServExt8[[#This Row],[TIPO H]]="NORMAL",ServExt8[[#This Row],[HORAS DIA]]&gt;=8),ServExt8[[#This Row],[PESSOAS]]*ServExt8[[#This Row],[DIAS]]*2,0)</f>
        <v>0</v>
      </c>
      <c r="AN38" s="144">
        <f>(IF(Z38="","",LOOKUP(Z38,BASE!A$4:A$125,BASE!E$4:E$125)))*ServExt8[[#This Row],[TOTAL HORAS]]</f>
        <v>0</v>
      </c>
      <c r="AO38" s="5">
        <f>IF(ServExt8[[#This Row],[TIPO H]]="NORMAL",ServExt8[[#This Row],[PESSOAS]],0)</f>
        <v>0</v>
      </c>
      <c r="AP38" s="145">
        <f>IFERROR(ServExt8[[#This Row],[TOTAL3]]*(RESUMO!$F$32/RESUMO!$F$24),0)</f>
        <v>0</v>
      </c>
      <c r="AU38" s="168">
        <v>17</v>
      </c>
      <c r="AV38" s="97" t="s">
        <v>171</v>
      </c>
    </row>
    <row r="39" spans="1:48" s="2" customFormat="1" ht="14.5" x14ac:dyDescent="0.25">
      <c r="A39" s="3"/>
      <c r="B39" s="115">
        <v>16</v>
      </c>
      <c r="C39" s="115" t="s">
        <v>156</v>
      </c>
      <c r="D39" s="114" t="s">
        <v>154</v>
      </c>
      <c r="E39" s="132">
        <v>0</v>
      </c>
      <c r="F39" s="133">
        <f>LOOKUP('SERVICOS MONTAGEM'!$E$24:$E$63,BASE!A$4:A$125,BASE!B$4:B$125)</f>
        <v>0</v>
      </c>
      <c r="G39" s="117"/>
      <c r="H39" s="134"/>
      <c r="I39" s="135">
        <v>8.8000000000000007</v>
      </c>
      <c r="J39" s="134" t="s">
        <v>155</v>
      </c>
      <c r="K39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39" s="137">
        <f>ServInt10[[#This Row],[DIAS]]*ServInt10[[#This Row],[PESSOAS]]*ServInt10[[#This Row],[HORAS DIA]]</f>
        <v>0</v>
      </c>
      <c r="M39" s="138">
        <f>(IF(ServInt10[[#This Row],[CÓDIGO]]="","",LOOKUP(ServInt10[[#This Row],[CÓDIGO]],BASE!A$4:A$125,BASE!G$4:G$125)))*ServInt10[[#This Row],[HE CALC]]</f>
        <v>0</v>
      </c>
      <c r="N39" s="102">
        <f>ServInt10[[#This Row],[TOTAL HORAS]]*ServInt10[[#This Row],[R$ / HORA]]</f>
        <v>0</v>
      </c>
      <c r="O39" s="139">
        <f>BASE!$W$54</f>
        <v>0.79709863947533133</v>
      </c>
      <c r="P39" s="138">
        <f>ServInt10[[#This Row],[R$ / HORA]]/ServInt10[[#This Row],[MARK-UP]]</f>
        <v>0</v>
      </c>
      <c r="Q39" s="123">
        <f>ServInt10[[#This Row],[TOTAL]]/ServInt10[[#This Row],[MARK-UP]]</f>
        <v>0</v>
      </c>
      <c r="R39" s="123"/>
      <c r="S39" s="123">
        <f>(IF(E39="","",LOOKUP(E39,BASE!A$4:A$125,BASE!E$4:E$125)))*ServInt10[[#This Row],[TOTAL HORAS]]</f>
        <v>0</v>
      </c>
      <c r="T39" s="140">
        <f>IFERROR(ServInt10[[#This Row],[TOTAL3]]*(RESUMO!$F$32/RESUMO!$F$24),0)</f>
        <v>0</v>
      </c>
      <c r="W39" s="115">
        <v>16</v>
      </c>
      <c r="X39" s="115" t="s">
        <v>156</v>
      </c>
      <c r="Y39" s="114"/>
      <c r="Z39" s="132">
        <v>0</v>
      </c>
      <c r="AA39" s="14">
        <f>LOOKUP(Z39,BASE!A$4:A$125,BASE!B$4:B$125)</f>
        <v>0</v>
      </c>
      <c r="AB39" s="117"/>
      <c r="AC39" s="134"/>
      <c r="AD39" s="135">
        <v>8.8000000000000007</v>
      </c>
      <c r="AE39" s="134" t="s">
        <v>155</v>
      </c>
      <c r="AF39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39" s="13">
        <f t="shared" si="0"/>
        <v>0</v>
      </c>
      <c r="AH39" s="141">
        <f>(IF(Z39="","",LOOKUP(Z39,BASE!A$4:A$125,BASE!H$4:H$125)))*ServExt8[[#This Row],[HE CALC]]</f>
        <v>0</v>
      </c>
      <c r="AI39" s="102">
        <f>ServExt8[[#This Row],[TOTAL HORAS]]*ServExt8[[#This Row],[R$ / HORA]]</f>
        <v>0</v>
      </c>
      <c r="AJ39" s="142">
        <f>BASE!$W$54</f>
        <v>0.79709863947533133</v>
      </c>
      <c r="AK39" s="141">
        <f t="shared" si="1"/>
        <v>0</v>
      </c>
      <c r="AL39" s="143">
        <f t="shared" si="2"/>
        <v>0</v>
      </c>
      <c r="AM39" s="144">
        <f>IF(OR(ServExt8[[#This Row],[TIPO H]]="NORMAL",ServExt8[[#This Row],[HORAS DIA]]&gt;=8),ServExt8[[#This Row],[PESSOAS]]*ServExt8[[#This Row],[DIAS]]*2,0)</f>
        <v>0</v>
      </c>
      <c r="AN39" s="144">
        <f>(IF(Z39="","",LOOKUP(Z39,BASE!A$4:A$125,BASE!E$4:E$125)))*ServExt8[[#This Row],[TOTAL HORAS]]</f>
        <v>0</v>
      </c>
      <c r="AO39" s="5">
        <f>IF(ServExt8[[#This Row],[TIPO H]]="NORMAL",ServExt8[[#This Row],[PESSOAS]],0)</f>
        <v>0</v>
      </c>
      <c r="AP39" s="145">
        <f>IFERROR(ServExt8[[#This Row],[TOTAL3]]*(RESUMO!$F$32/RESUMO!$F$24),0)</f>
        <v>0</v>
      </c>
      <c r="AU39" s="168">
        <v>18</v>
      </c>
      <c r="AV39" s="97" t="s">
        <v>172</v>
      </c>
    </row>
    <row r="40" spans="1:48" s="2" customFormat="1" ht="14.5" x14ac:dyDescent="0.25">
      <c r="A40" s="3"/>
      <c r="B40" s="115">
        <v>17</v>
      </c>
      <c r="C40" s="115" t="s">
        <v>156</v>
      </c>
      <c r="D40" s="114" t="s">
        <v>154</v>
      </c>
      <c r="E40" s="132">
        <v>0</v>
      </c>
      <c r="F40" s="133">
        <f>LOOKUP('SERVICOS MONTAGEM'!$E$24:$E$63,BASE!A$4:A$125,BASE!B$4:B$125)</f>
        <v>0</v>
      </c>
      <c r="G40" s="117"/>
      <c r="H40" s="134"/>
      <c r="I40" s="135">
        <v>8.8000000000000007</v>
      </c>
      <c r="J40" s="134" t="s">
        <v>155</v>
      </c>
      <c r="K40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40" s="137">
        <f>ServInt10[[#This Row],[DIAS]]*ServInt10[[#This Row],[PESSOAS]]*ServInt10[[#This Row],[HORAS DIA]]</f>
        <v>0</v>
      </c>
      <c r="M40" s="138">
        <f>(IF(ServInt10[[#This Row],[CÓDIGO]]="","",LOOKUP(ServInt10[[#This Row],[CÓDIGO]],BASE!A$4:A$125,BASE!G$4:G$125)))*ServInt10[[#This Row],[HE CALC]]</f>
        <v>0</v>
      </c>
      <c r="N40" s="102">
        <f>ServInt10[[#This Row],[TOTAL HORAS]]*ServInt10[[#This Row],[R$ / HORA]]</f>
        <v>0</v>
      </c>
      <c r="O40" s="139">
        <f>BASE!$W$54</f>
        <v>0.79709863947533133</v>
      </c>
      <c r="P40" s="138">
        <f>ServInt10[[#This Row],[R$ / HORA]]/ServInt10[[#This Row],[MARK-UP]]</f>
        <v>0</v>
      </c>
      <c r="Q40" s="123">
        <f>ServInt10[[#This Row],[TOTAL]]/ServInt10[[#This Row],[MARK-UP]]</f>
        <v>0</v>
      </c>
      <c r="R40" s="123"/>
      <c r="S40" s="123">
        <f>(IF(E40="","",LOOKUP(E40,BASE!A$4:A$125,BASE!E$4:E$125)))*ServInt10[[#This Row],[TOTAL HORAS]]</f>
        <v>0</v>
      </c>
      <c r="T40" s="140">
        <f>IFERROR(ServInt10[[#This Row],[TOTAL3]]*(RESUMO!$F$32/RESUMO!$F$24),0)</f>
        <v>0</v>
      </c>
      <c r="W40" s="115">
        <v>17</v>
      </c>
      <c r="X40" s="115" t="s">
        <v>156</v>
      </c>
      <c r="Y40" s="114"/>
      <c r="Z40" s="132">
        <v>0</v>
      </c>
      <c r="AA40" s="14">
        <f>LOOKUP(Z40,BASE!A$4:A$125,BASE!B$4:B$125)</f>
        <v>0</v>
      </c>
      <c r="AB40" s="117"/>
      <c r="AC40" s="134"/>
      <c r="AD40" s="135">
        <v>8.8000000000000007</v>
      </c>
      <c r="AE40" s="134" t="s">
        <v>155</v>
      </c>
      <c r="AF40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0" s="13">
        <f t="shared" si="0"/>
        <v>0</v>
      </c>
      <c r="AH40" s="141">
        <f>(IF(Z40="","",LOOKUP(Z40,BASE!A$4:A$125,BASE!H$4:H$125)))*ServExt8[[#This Row],[HE CALC]]</f>
        <v>0</v>
      </c>
      <c r="AI40" s="102">
        <f>ServExt8[[#This Row],[TOTAL HORAS]]*ServExt8[[#This Row],[R$ / HORA]]</f>
        <v>0</v>
      </c>
      <c r="AJ40" s="142">
        <f>BASE!$W$54</f>
        <v>0.79709863947533133</v>
      </c>
      <c r="AK40" s="141">
        <f t="shared" si="1"/>
        <v>0</v>
      </c>
      <c r="AL40" s="143">
        <f t="shared" si="2"/>
        <v>0</v>
      </c>
      <c r="AM40" s="144">
        <f>IF(OR(ServExt8[[#This Row],[TIPO H]]="NORMAL",ServExt8[[#This Row],[HORAS DIA]]&gt;=8),ServExt8[[#This Row],[PESSOAS]]*ServExt8[[#This Row],[DIAS]]*2,0)</f>
        <v>0</v>
      </c>
      <c r="AN40" s="144">
        <f>(IF(Z40="","",LOOKUP(Z40,BASE!A$4:A$125,BASE!E$4:E$125)))*ServExt8[[#This Row],[TOTAL HORAS]]</f>
        <v>0</v>
      </c>
      <c r="AO40" s="5">
        <f>IF(ServExt8[[#This Row],[TIPO H]]="NORMAL",ServExt8[[#This Row],[PESSOAS]],0)</f>
        <v>0</v>
      </c>
      <c r="AP40" s="145">
        <f>IFERROR(ServExt8[[#This Row],[TOTAL3]]*(RESUMO!$F$32/RESUMO!$F$24),0)</f>
        <v>0</v>
      </c>
      <c r="AU40" s="168">
        <v>19</v>
      </c>
      <c r="AV40" s="97" t="s">
        <v>173</v>
      </c>
    </row>
    <row r="41" spans="1:48" s="2" customFormat="1" ht="14.5" x14ac:dyDescent="0.25">
      <c r="A41" s="3"/>
      <c r="B41" s="115">
        <v>18</v>
      </c>
      <c r="C41" s="115" t="s">
        <v>156</v>
      </c>
      <c r="D41" s="114" t="s">
        <v>154</v>
      </c>
      <c r="E41" s="132">
        <v>0</v>
      </c>
      <c r="F41" s="133">
        <f>LOOKUP('SERVICOS MONTAGEM'!$E$24:$E$63,BASE!A$4:A$125,BASE!B$4:B$125)</f>
        <v>0</v>
      </c>
      <c r="G41" s="117"/>
      <c r="H41" s="134"/>
      <c r="I41" s="135">
        <v>8.8000000000000007</v>
      </c>
      <c r="J41" s="134" t="s">
        <v>155</v>
      </c>
      <c r="K41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41" s="137">
        <f>ServInt10[[#This Row],[DIAS]]*ServInt10[[#This Row],[PESSOAS]]*ServInt10[[#This Row],[HORAS DIA]]</f>
        <v>0</v>
      </c>
      <c r="M41" s="138">
        <f>(IF(ServInt10[[#This Row],[CÓDIGO]]="","",LOOKUP(ServInt10[[#This Row],[CÓDIGO]],BASE!A$4:A$125,BASE!G$4:G$125)))*ServInt10[[#This Row],[HE CALC]]</f>
        <v>0</v>
      </c>
      <c r="N41" s="102">
        <f>ServInt10[[#This Row],[TOTAL HORAS]]*ServInt10[[#This Row],[R$ / HORA]]</f>
        <v>0</v>
      </c>
      <c r="O41" s="139">
        <f>BASE!$W$54</f>
        <v>0.79709863947533133</v>
      </c>
      <c r="P41" s="138">
        <f>ServInt10[[#This Row],[R$ / HORA]]/ServInt10[[#This Row],[MARK-UP]]</f>
        <v>0</v>
      </c>
      <c r="Q41" s="123">
        <f>ServInt10[[#This Row],[TOTAL]]/ServInt10[[#This Row],[MARK-UP]]</f>
        <v>0</v>
      </c>
      <c r="R41" s="123"/>
      <c r="S41" s="123">
        <f>(IF(E41="","",LOOKUP(E41,BASE!A$4:A$125,BASE!E$4:E$125)))*ServInt10[[#This Row],[TOTAL HORAS]]</f>
        <v>0</v>
      </c>
      <c r="T41" s="140">
        <f>IFERROR(ServInt10[[#This Row],[TOTAL3]]*(RESUMO!$F$32/RESUMO!$F$24),0)</f>
        <v>0</v>
      </c>
      <c r="W41" s="115">
        <v>18</v>
      </c>
      <c r="X41" s="115" t="s">
        <v>156</v>
      </c>
      <c r="Y41" s="114"/>
      <c r="Z41" s="132">
        <v>0</v>
      </c>
      <c r="AA41" s="14">
        <f>LOOKUP(Z41,BASE!A$4:A$125,BASE!B$4:B$125)</f>
        <v>0</v>
      </c>
      <c r="AB41" s="117"/>
      <c r="AC41" s="134"/>
      <c r="AD41" s="135">
        <v>8.8000000000000007</v>
      </c>
      <c r="AE41" s="134" t="s">
        <v>155</v>
      </c>
      <c r="AF41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1" s="13">
        <f t="shared" si="0"/>
        <v>0</v>
      </c>
      <c r="AH41" s="141">
        <f>(IF(Z41="","",LOOKUP(Z41,BASE!A$4:A$125,BASE!H$4:H$125)))*ServExt8[[#This Row],[HE CALC]]</f>
        <v>0</v>
      </c>
      <c r="AI41" s="102">
        <f>ServExt8[[#This Row],[TOTAL HORAS]]*ServExt8[[#This Row],[R$ / HORA]]</f>
        <v>0</v>
      </c>
      <c r="AJ41" s="142">
        <f>BASE!$W$54</f>
        <v>0.79709863947533133</v>
      </c>
      <c r="AK41" s="141">
        <f t="shared" si="1"/>
        <v>0</v>
      </c>
      <c r="AL41" s="143">
        <f t="shared" si="2"/>
        <v>0</v>
      </c>
      <c r="AM41" s="144">
        <f>IF(OR(ServExt8[[#This Row],[TIPO H]]="NORMAL",ServExt8[[#This Row],[HORAS DIA]]&gt;=8),ServExt8[[#This Row],[PESSOAS]]*ServExt8[[#This Row],[DIAS]]*2,0)</f>
        <v>0</v>
      </c>
      <c r="AN41" s="144">
        <f>(IF(Z41="","",LOOKUP(Z41,BASE!A$4:A$125,BASE!E$4:E$125)))*ServExt8[[#This Row],[TOTAL HORAS]]</f>
        <v>0</v>
      </c>
      <c r="AO41" s="5">
        <f>IF(ServExt8[[#This Row],[TIPO H]]="NORMAL",ServExt8[[#This Row],[PESSOAS]],0)</f>
        <v>0</v>
      </c>
      <c r="AP41" s="145">
        <f>IFERROR(ServExt8[[#This Row],[TOTAL3]]*(RESUMO!$F$32/RESUMO!$F$24),0)</f>
        <v>0</v>
      </c>
      <c r="AU41" s="168">
        <v>20</v>
      </c>
      <c r="AV41" s="97" t="s">
        <v>174</v>
      </c>
    </row>
    <row r="42" spans="1:48" s="2" customFormat="1" ht="14.5" x14ac:dyDescent="0.25">
      <c r="A42" s="3"/>
      <c r="B42" s="115">
        <v>19</v>
      </c>
      <c r="C42" s="115" t="s">
        <v>156</v>
      </c>
      <c r="D42" s="114" t="s">
        <v>154</v>
      </c>
      <c r="E42" s="132">
        <v>0</v>
      </c>
      <c r="F42" s="133">
        <f>LOOKUP('SERVICOS MONTAGEM'!$E$24:$E$63,BASE!A$4:A$125,BASE!B$4:B$125)</f>
        <v>0</v>
      </c>
      <c r="G42" s="117"/>
      <c r="H42" s="134"/>
      <c r="I42" s="135">
        <v>8.8000000000000007</v>
      </c>
      <c r="J42" s="134" t="s">
        <v>155</v>
      </c>
      <c r="K42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42" s="137">
        <f>ServInt10[[#This Row],[DIAS]]*ServInt10[[#This Row],[PESSOAS]]*ServInt10[[#This Row],[HORAS DIA]]</f>
        <v>0</v>
      </c>
      <c r="M42" s="138">
        <f>(IF(ServInt10[[#This Row],[CÓDIGO]]="","",LOOKUP(ServInt10[[#This Row],[CÓDIGO]],BASE!A$4:A$125,BASE!G$4:G$125)))*ServInt10[[#This Row],[HE CALC]]</f>
        <v>0</v>
      </c>
      <c r="N42" s="102">
        <f>ServInt10[[#This Row],[TOTAL HORAS]]*ServInt10[[#This Row],[R$ / HORA]]</f>
        <v>0</v>
      </c>
      <c r="O42" s="139">
        <f>BASE!$W$54</f>
        <v>0.79709863947533133</v>
      </c>
      <c r="P42" s="138">
        <f>ServInt10[[#This Row],[R$ / HORA]]/ServInt10[[#This Row],[MARK-UP]]</f>
        <v>0</v>
      </c>
      <c r="Q42" s="123">
        <f>ServInt10[[#This Row],[TOTAL]]/ServInt10[[#This Row],[MARK-UP]]</f>
        <v>0</v>
      </c>
      <c r="R42" s="123"/>
      <c r="S42" s="123">
        <f>(IF(E42="","",LOOKUP(E42,BASE!A$4:A$125,BASE!E$4:E$125)))*ServInt10[[#This Row],[TOTAL HORAS]]</f>
        <v>0</v>
      </c>
      <c r="T42" s="140">
        <f>IFERROR(ServInt10[[#This Row],[TOTAL3]]*(RESUMO!$F$32/RESUMO!$F$24),0)</f>
        <v>0</v>
      </c>
      <c r="W42" s="115">
        <v>19</v>
      </c>
      <c r="X42" s="115" t="s">
        <v>156</v>
      </c>
      <c r="Y42" s="114"/>
      <c r="Z42" s="132">
        <v>0</v>
      </c>
      <c r="AA42" s="14">
        <f>LOOKUP(Z42,BASE!A$4:A$125,BASE!B$4:B$125)</f>
        <v>0</v>
      </c>
      <c r="AB42" s="117"/>
      <c r="AC42" s="134"/>
      <c r="AD42" s="135">
        <v>8.8000000000000007</v>
      </c>
      <c r="AE42" s="134" t="s">
        <v>155</v>
      </c>
      <c r="AF42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2" s="13">
        <f t="shared" si="0"/>
        <v>0</v>
      </c>
      <c r="AH42" s="141">
        <f>(IF(Z42="","",LOOKUP(Z42,BASE!A$4:A$125,BASE!H$4:H$125)))*ServExt8[[#This Row],[HE CALC]]</f>
        <v>0</v>
      </c>
      <c r="AI42" s="102">
        <f>ServExt8[[#This Row],[TOTAL HORAS]]*ServExt8[[#This Row],[R$ / HORA]]</f>
        <v>0</v>
      </c>
      <c r="AJ42" s="142">
        <f>BASE!$W$54</f>
        <v>0.79709863947533133</v>
      </c>
      <c r="AK42" s="141">
        <f t="shared" si="1"/>
        <v>0</v>
      </c>
      <c r="AL42" s="143">
        <f t="shared" si="2"/>
        <v>0</v>
      </c>
      <c r="AM42" s="144">
        <f>IF(OR(ServExt8[[#This Row],[TIPO H]]="NORMAL",ServExt8[[#This Row],[HORAS DIA]]&gt;=8),ServExt8[[#This Row],[PESSOAS]]*ServExt8[[#This Row],[DIAS]]*2,0)</f>
        <v>0</v>
      </c>
      <c r="AN42" s="144">
        <f>(IF(Z42="","",LOOKUP(Z42,BASE!A$4:A$125,BASE!E$4:E$125)))*ServExt8[[#This Row],[TOTAL HORAS]]</f>
        <v>0</v>
      </c>
      <c r="AO42" s="5">
        <f>IF(ServExt8[[#This Row],[TIPO H]]="NORMAL",ServExt8[[#This Row],[PESSOAS]],0)</f>
        <v>0</v>
      </c>
      <c r="AP42" s="145">
        <f>IFERROR(ServExt8[[#This Row],[TOTAL3]]*(RESUMO!$F$32/RESUMO!$F$24),0)</f>
        <v>0</v>
      </c>
      <c r="AU42" s="168">
        <v>21</v>
      </c>
      <c r="AV42" s="97" t="s">
        <v>175</v>
      </c>
    </row>
    <row r="43" spans="1:48" s="2" customFormat="1" ht="14.5" x14ac:dyDescent="0.25">
      <c r="A43" s="3"/>
      <c r="B43" s="115">
        <v>20</v>
      </c>
      <c r="C43" s="115" t="s">
        <v>156</v>
      </c>
      <c r="D43" s="114" t="s">
        <v>154</v>
      </c>
      <c r="E43" s="132">
        <v>0</v>
      </c>
      <c r="F43" s="133">
        <f>LOOKUP('SERVICOS MONTAGEM'!$E$24:$E$63,BASE!A$4:A$125,BASE!B$4:B$125)</f>
        <v>0</v>
      </c>
      <c r="G43" s="117"/>
      <c r="H43" s="134"/>
      <c r="I43" s="135">
        <v>8.8000000000000007</v>
      </c>
      <c r="J43" s="134" t="s">
        <v>155</v>
      </c>
      <c r="K43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43" s="137">
        <f>ServInt10[[#This Row],[DIAS]]*ServInt10[[#This Row],[PESSOAS]]*ServInt10[[#This Row],[HORAS DIA]]</f>
        <v>0</v>
      </c>
      <c r="M43" s="138">
        <f>(IF(ServInt10[[#This Row],[CÓDIGO]]="","",LOOKUP(ServInt10[[#This Row],[CÓDIGO]],BASE!A$4:A$125,BASE!G$4:G$125)))*ServInt10[[#This Row],[HE CALC]]</f>
        <v>0</v>
      </c>
      <c r="N43" s="102">
        <f>ServInt10[[#This Row],[TOTAL HORAS]]*ServInt10[[#This Row],[R$ / HORA]]</f>
        <v>0</v>
      </c>
      <c r="O43" s="139">
        <f>BASE!$W$54</f>
        <v>0.79709863947533133</v>
      </c>
      <c r="P43" s="138">
        <f>ServInt10[[#This Row],[R$ / HORA]]/ServInt10[[#This Row],[MARK-UP]]</f>
        <v>0</v>
      </c>
      <c r="Q43" s="123">
        <f>ServInt10[[#This Row],[TOTAL]]/ServInt10[[#This Row],[MARK-UP]]</f>
        <v>0</v>
      </c>
      <c r="R43" s="123"/>
      <c r="S43" s="123">
        <f>(IF(E43="","",LOOKUP(E43,BASE!A$4:A$125,BASE!E$4:E$125)))*ServInt10[[#This Row],[TOTAL HORAS]]</f>
        <v>0</v>
      </c>
      <c r="T43" s="140">
        <f>IFERROR(ServInt10[[#This Row],[TOTAL3]]*(RESUMO!$F$32/RESUMO!$F$24),0)</f>
        <v>0</v>
      </c>
      <c r="W43" s="115">
        <v>20</v>
      </c>
      <c r="X43" s="115" t="s">
        <v>156</v>
      </c>
      <c r="Y43" s="114"/>
      <c r="Z43" s="132">
        <v>0</v>
      </c>
      <c r="AA43" s="14">
        <f>LOOKUP(Z43,BASE!A$4:A$125,BASE!B$4:B$125)</f>
        <v>0</v>
      </c>
      <c r="AB43" s="117"/>
      <c r="AC43" s="134"/>
      <c r="AD43" s="135">
        <v>8.8000000000000007</v>
      </c>
      <c r="AE43" s="134" t="s">
        <v>155</v>
      </c>
      <c r="AF43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3" s="13">
        <f t="shared" si="0"/>
        <v>0</v>
      </c>
      <c r="AH43" s="141">
        <f>(IF(Z43="","",LOOKUP(Z43,BASE!A$4:A$125,BASE!H$4:H$125)))*ServExt8[[#This Row],[HE CALC]]</f>
        <v>0</v>
      </c>
      <c r="AI43" s="102">
        <f>ServExt8[[#This Row],[TOTAL HORAS]]*ServExt8[[#This Row],[R$ / HORA]]</f>
        <v>0</v>
      </c>
      <c r="AJ43" s="142">
        <f>BASE!$W$54</f>
        <v>0.79709863947533133</v>
      </c>
      <c r="AK43" s="141">
        <f t="shared" si="1"/>
        <v>0</v>
      </c>
      <c r="AL43" s="143">
        <f t="shared" si="2"/>
        <v>0</v>
      </c>
      <c r="AM43" s="144">
        <f>IF(OR(ServExt8[[#This Row],[TIPO H]]="NORMAL",ServExt8[[#This Row],[HORAS DIA]]&gt;=8),ServExt8[[#This Row],[PESSOAS]]*ServExt8[[#This Row],[DIAS]]*2,0)</f>
        <v>0</v>
      </c>
      <c r="AN43" s="144">
        <f>(IF(Z43="","",LOOKUP(Z43,BASE!A$4:A$125,BASE!E$4:E$125)))*ServExt8[[#This Row],[TOTAL HORAS]]</f>
        <v>0</v>
      </c>
      <c r="AO43" s="5">
        <f>IF(ServExt8[[#This Row],[TIPO H]]="NORMAL",ServExt8[[#This Row],[PESSOAS]],0)</f>
        <v>0</v>
      </c>
      <c r="AP43" s="145">
        <f>IFERROR(ServExt8[[#This Row],[TOTAL3]]*(RESUMO!$F$32/RESUMO!$F$24),0)</f>
        <v>0</v>
      </c>
      <c r="AU43" s="168">
        <v>22</v>
      </c>
      <c r="AV43" s="97" t="s">
        <v>176</v>
      </c>
    </row>
    <row r="44" spans="1:48" s="2" customFormat="1" ht="14.5" x14ac:dyDescent="0.25">
      <c r="A44" s="3"/>
      <c r="B44" s="115">
        <v>21</v>
      </c>
      <c r="C44" s="115" t="s">
        <v>156</v>
      </c>
      <c r="D44" s="114" t="s">
        <v>154</v>
      </c>
      <c r="E44" s="132">
        <v>0</v>
      </c>
      <c r="F44" s="133">
        <f>LOOKUP('SERVICOS MONTAGEM'!$E$24:$E$63,BASE!A$4:A$125,BASE!B$4:B$125)</f>
        <v>0</v>
      </c>
      <c r="G44" s="117"/>
      <c r="H44" s="134"/>
      <c r="I44" s="135">
        <v>8.8000000000000007</v>
      </c>
      <c r="J44" s="134" t="s">
        <v>155</v>
      </c>
      <c r="K44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44" s="137">
        <f>ServInt10[[#This Row],[DIAS]]*ServInt10[[#This Row],[PESSOAS]]*ServInt10[[#This Row],[HORAS DIA]]</f>
        <v>0</v>
      </c>
      <c r="M44" s="138">
        <f>(IF(ServInt10[[#This Row],[CÓDIGO]]="","",LOOKUP(ServInt10[[#This Row],[CÓDIGO]],BASE!A$4:A$125,BASE!G$4:G$125)))*ServInt10[[#This Row],[HE CALC]]</f>
        <v>0</v>
      </c>
      <c r="N44" s="102">
        <f>ServInt10[[#This Row],[TOTAL HORAS]]*ServInt10[[#This Row],[R$ / HORA]]</f>
        <v>0</v>
      </c>
      <c r="O44" s="139">
        <f>BASE!$W$54</f>
        <v>0.79709863947533133</v>
      </c>
      <c r="P44" s="138">
        <f>ServInt10[[#This Row],[R$ / HORA]]/ServInt10[[#This Row],[MARK-UP]]</f>
        <v>0</v>
      </c>
      <c r="Q44" s="123">
        <f>ServInt10[[#This Row],[TOTAL]]/ServInt10[[#This Row],[MARK-UP]]</f>
        <v>0</v>
      </c>
      <c r="R44" s="123"/>
      <c r="S44" s="123">
        <f>(IF(E44="","",LOOKUP(E44,BASE!A$4:A$125,BASE!E$4:E$125)))*ServInt10[[#This Row],[TOTAL HORAS]]</f>
        <v>0</v>
      </c>
      <c r="T44" s="140">
        <f>IFERROR(ServInt10[[#This Row],[TOTAL3]]*(RESUMO!$F$32/RESUMO!$F$24),0)</f>
        <v>0</v>
      </c>
      <c r="W44" s="115">
        <v>21</v>
      </c>
      <c r="X44" s="115" t="s">
        <v>156</v>
      </c>
      <c r="Y44" s="114"/>
      <c r="Z44" s="132">
        <v>0</v>
      </c>
      <c r="AA44" s="14">
        <f>LOOKUP(Z44,BASE!A$4:A$125,BASE!B$4:B$125)</f>
        <v>0</v>
      </c>
      <c r="AB44" s="117"/>
      <c r="AC44" s="134"/>
      <c r="AD44" s="135">
        <v>8.8000000000000007</v>
      </c>
      <c r="AE44" s="134" t="s">
        <v>155</v>
      </c>
      <c r="AF44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4" s="13">
        <f t="shared" ref="AG44:AG63" si="3">AC44*AB44*AD44</f>
        <v>0</v>
      </c>
      <c r="AH44" s="141">
        <f>(IF(Z44="","",LOOKUP(Z44,BASE!A$4:A$125,BASE!H$4:H$125)))*ServExt8[[#This Row],[HE CALC]]</f>
        <v>0</v>
      </c>
      <c r="AI44" s="102">
        <f>ServExt8[[#This Row],[TOTAL HORAS]]*ServExt8[[#This Row],[R$ / HORA]]</f>
        <v>0</v>
      </c>
      <c r="AJ44" s="142">
        <f>BASE!$W$54</f>
        <v>0.79709863947533133</v>
      </c>
      <c r="AK44" s="141">
        <f t="shared" ref="AK44:AK63" si="4">AH44/AJ44</f>
        <v>0</v>
      </c>
      <c r="AL44" s="143">
        <f t="shared" ref="AL44:AL63" si="5">AI44/AJ44</f>
        <v>0</v>
      </c>
      <c r="AM44" s="144">
        <f>IF(OR(ServExt8[[#This Row],[TIPO H]]="NORMAL",ServExt8[[#This Row],[HORAS DIA]]&gt;=8),ServExt8[[#This Row],[PESSOAS]]*ServExt8[[#This Row],[DIAS]]*2,0)</f>
        <v>0</v>
      </c>
      <c r="AN44" s="144">
        <f>(IF(Z44="","",LOOKUP(Z44,BASE!A$4:A$125,BASE!E$4:E$125)))*ServExt8[[#This Row],[TOTAL HORAS]]</f>
        <v>0</v>
      </c>
      <c r="AO44" s="5">
        <f>IF(ServExt8[[#This Row],[TIPO H]]="NORMAL",ServExt8[[#This Row],[PESSOAS]],0)</f>
        <v>0</v>
      </c>
      <c r="AP44" s="145">
        <f>IFERROR(ServExt8[[#This Row],[TOTAL3]]*(RESUMO!$F$32/RESUMO!$F$24),0)</f>
        <v>0</v>
      </c>
      <c r="AU44" s="168">
        <v>23</v>
      </c>
      <c r="AV44" s="97" t="s">
        <v>177</v>
      </c>
    </row>
    <row r="45" spans="1:48" s="2" customFormat="1" ht="14.5" x14ac:dyDescent="0.25">
      <c r="A45" s="3"/>
      <c r="B45" s="115">
        <v>22</v>
      </c>
      <c r="C45" s="115" t="s">
        <v>156</v>
      </c>
      <c r="D45" s="114" t="s">
        <v>154</v>
      </c>
      <c r="E45" s="132">
        <v>0</v>
      </c>
      <c r="F45" s="133">
        <f>LOOKUP('SERVICOS MONTAGEM'!$E$24:$E$63,BASE!A$4:A$125,BASE!B$4:B$125)</f>
        <v>0</v>
      </c>
      <c r="G45" s="117"/>
      <c r="H45" s="134"/>
      <c r="I45" s="135">
        <v>8.8000000000000007</v>
      </c>
      <c r="J45" s="134" t="s">
        <v>155</v>
      </c>
      <c r="K45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45" s="137">
        <f>ServInt10[[#This Row],[DIAS]]*ServInt10[[#This Row],[PESSOAS]]*ServInt10[[#This Row],[HORAS DIA]]</f>
        <v>0</v>
      </c>
      <c r="M45" s="138">
        <f>(IF(ServInt10[[#This Row],[CÓDIGO]]="","",LOOKUP(ServInt10[[#This Row],[CÓDIGO]],BASE!A$4:A$125,BASE!G$4:G$125)))*ServInt10[[#This Row],[HE CALC]]</f>
        <v>0</v>
      </c>
      <c r="N45" s="102">
        <f>ServInt10[[#This Row],[TOTAL HORAS]]*ServInt10[[#This Row],[R$ / HORA]]</f>
        <v>0</v>
      </c>
      <c r="O45" s="139">
        <f>BASE!$W$54</f>
        <v>0.79709863947533133</v>
      </c>
      <c r="P45" s="138">
        <f>ServInt10[[#This Row],[R$ / HORA]]/ServInt10[[#This Row],[MARK-UP]]</f>
        <v>0</v>
      </c>
      <c r="Q45" s="123">
        <f>ServInt10[[#This Row],[TOTAL]]/ServInt10[[#This Row],[MARK-UP]]</f>
        <v>0</v>
      </c>
      <c r="R45" s="123"/>
      <c r="S45" s="123">
        <f>(IF(E45="","",LOOKUP(E45,BASE!A$4:A$125,BASE!E$4:E$125)))*ServInt10[[#This Row],[TOTAL HORAS]]</f>
        <v>0</v>
      </c>
      <c r="T45" s="140">
        <f>IFERROR(ServInt10[[#This Row],[TOTAL3]]*(RESUMO!$F$32/RESUMO!$F$24),0)</f>
        <v>0</v>
      </c>
      <c r="W45" s="115">
        <v>22</v>
      </c>
      <c r="X45" s="115" t="s">
        <v>156</v>
      </c>
      <c r="Y45" s="114"/>
      <c r="Z45" s="132">
        <v>0</v>
      </c>
      <c r="AA45" s="14">
        <f>LOOKUP(Z45,BASE!A$4:A$125,BASE!B$4:B$125)</f>
        <v>0</v>
      </c>
      <c r="AB45" s="117"/>
      <c r="AC45" s="134"/>
      <c r="AD45" s="135">
        <v>8.8000000000000007</v>
      </c>
      <c r="AE45" s="134" t="s">
        <v>155</v>
      </c>
      <c r="AF45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5" s="13">
        <f t="shared" si="3"/>
        <v>0</v>
      </c>
      <c r="AH45" s="141">
        <f>(IF(Z45="","",LOOKUP(Z45,BASE!A$4:A$125,BASE!H$4:H$125)))*ServExt8[[#This Row],[HE CALC]]</f>
        <v>0</v>
      </c>
      <c r="AI45" s="102">
        <f>ServExt8[[#This Row],[TOTAL HORAS]]*ServExt8[[#This Row],[R$ / HORA]]</f>
        <v>0</v>
      </c>
      <c r="AJ45" s="142">
        <f>BASE!$W$54</f>
        <v>0.79709863947533133</v>
      </c>
      <c r="AK45" s="141">
        <f t="shared" si="4"/>
        <v>0</v>
      </c>
      <c r="AL45" s="143">
        <f t="shared" si="5"/>
        <v>0</v>
      </c>
      <c r="AM45" s="144">
        <f>IF(OR(ServExt8[[#This Row],[TIPO H]]="NORMAL",ServExt8[[#This Row],[HORAS DIA]]&gt;=8),ServExt8[[#This Row],[PESSOAS]]*ServExt8[[#This Row],[DIAS]]*2,0)</f>
        <v>0</v>
      </c>
      <c r="AN45" s="144">
        <f>(IF(Z45="","",LOOKUP(Z45,BASE!A$4:A$125,BASE!E$4:E$125)))*ServExt8[[#This Row],[TOTAL HORAS]]</f>
        <v>0</v>
      </c>
      <c r="AO45" s="5">
        <f>IF(ServExt8[[#This Row],[TIPO H]]="NORMAL",ServExt8[[#This Row],[PESSOAS]],0)</f>
        <v>0</v>
      </c>
      <c r="AP45" s="145">
        <f>IFERROR(ServExt8[[#This Row],[TOTAL3]]*(RESUMO!$F$32/RESUMO!$F$24),0)</f>
        <v>0</v>
      </c>
      <c r="AU45" s="168">
        <v>24</v>
      </c>
      <c r="AV45" s="97" t="s">
        <v>178</v>
      </c>
    </row>
    <row r="46" spans="1:48" s="2" customFormat="1" ht="14.5" x14ac:dyDescent="0.25">
      <c r="A46" s="3"/>
      <c r="B46" s="115">
        <v>23</v>
      </c>
      <c r="C46" s="115" t="s">
        <v>156</v>
      </c>
      <c r="D46" s="114" t="s">
        <v>154</v>
      </c>
      <c r="E46" s="132">
        <v>0</v>
      </c>
      <c r="F46" s="133">
        <f>LOOKUP('SERVICOS MONTAGEM'!$E$24:$E$63,BASE!A$4:A$125,BASE!B$4:B$125)</f>
        <v>0</v>
      </c>
      <c r="G46" s="117"/>
      <c r="H46" s="134"/>
      <c r="I46" s="135">
        <v>8.8000000000000007</v>
      </c>
      <c r="J46" s="134" t="s">
        <v>155</v>
      </c>
      <c r="K46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46" s="137">
        <f>ServInt10[[#This Row],[DIAS]]*ServInt10[[#This Row],[PESSOAS]]*ServInt10[[#This Row],[HORAS DIA]]</f>
        <v>0</v>
      </c>
      <c r="M46" s="138">
        <f>(IF(ServInt10[[#This Row],[CÓDIGO]]="","",LOOKUP(ServInt10[[#This Row],[CÓDIGO]],BASE!A$4:A$125,BASE!G$4:G$125)))*ServInt10[[#This Row],[HE CALC]]</f>
        <v>0</v>
      </c>
      <c r="N46" s="102">
        <f>ServInt10[[#This Row],[TOTAL HORAS]]*ServInt10[[#This Row],[R$ / HORA]]</f>
        <v>0</v>
      </c>
      <c r="O46" s="139">
        <f>BASE!$W$54</f>
        <v>0.79709863947533133</v>
      </c>
      <c r="P46" s="138">
        <f>ServInt10[[#This Row],[R$ / HORA]]/ServInt10[[#This Row],[MARK-UP]]</f>
        <v>0</v>
      </c>
      <c r="Q46" s="123">
        <f>ServInt10[[#This Row],[TOTAL]]/ServInt10[[#This Row],[MARK-UP]]</f>
        <v>0</v>
      </c>
      <c r="R46" s="123"/>
      <c r="S46" s="123">
        <f>(IF(E46="","",LOOKUP(E46,BASE!A$4:A$125,BASE!E$4:E$125)))*ServInt10[[#This Row],[TOTAL HORAS]]</f>
        <v>0</v>
      </c>
      <c r="T46" s="140">
        <f>IFERROR(ServInt10[[#This Row],[TOTAL3]]*(RESUMO!$F$32/RESUMO!$F$24),0)</f>
        <v>0</v>
      </c>
      <c r="W46" s="115">
        <v>23</v>
      </c>
      <c r="X46" s="115" t="s">
        <v>156</v>
      </c>
      <c r="Y46" s="114"/>
      <c r="Z46" s="132">
        <v>0</v>
      </c>
      <c r="AA46" s="14">
        <f>LOOKUP(Z46,BASE!A$4:A$125,BASE!B$4:B$125)</f>
        <v>0</v>
      </c>
      <c r="AB46" s="117"/>
      <c r="AC46" s="134"/>
      <c r="AD46" s="135">
        <v>8.8000000000000007</v>
      </c>
      <c r="AE46" s="134" t="s">
        <v>155</v>
      </c>
      <c r="AF46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6" s="13">
        <f t="shared" si="3"/>
        <v>0</v>
      </c>
      <c r="AH46" s="141">
        <f>(IF(Z46="","",LOOKUP(Z46,BASE!A$4:A$125,BASE!H$4:H$125)))*ServExt8[[#This Row],[HE CALC]]</f>
        <v>0</v>
      </c>
      <c r="AI46" s="102">
        <f>ServExt8[[#This Row],[TOTAL HORAS]]*ServExt8[[#This Row],[R$ / HORA]]</f>
        <v>0</v>
      </c>
      <c r="AJ46" s="142">
        <f>BASE!$W$54</f>
        <v>0.79709863947533133</v>
      </c>
      <c r="AK46" s="141">
        <f t="shared" si="4"/>
        <v>0</v>
      </c>
      <c r="AL46" s="143">
        <f t="shared" si="5"/>
        <v>0</v>
      </c>
      <c r="AM46" s="144">
        <f>IF(OR(ServExt8[[#This Row],[TIPO H]]="NORMAL",ServExt8[[#This Row],[HORAS DIA]]&gt;=8),ServExt8[[#This Row],[PESSOAS]]*ServExt8[[#This Row],[DIAS]]*2,0)</f>
        <v>0</v>
      </c>
      <c r="AN46" s="144">
        <f>(IF(Z46="","",LOOKUP(Z46,BASE!A$4:A$125,BASE!E$4:E$125)))*ServExt8[[#This Row],[TOTAL HORAS]]</f>
        <v>0</v>
      </c>
      <c r="AO46" s="5">
        <f>IF(ServExt8[[#This Row],[TIPO H]]="NORMAL",ServExt8[[#This Row],[PESSOAS]],0)</f>
        <v>0</v>
      </c>
      <c r="AP46" s="145">
        <f>IFERROR(ServExt8[[#This Row],[TOTAL3]]*(RESUMO!$F$32/RESUMO!$F$24),0)</f>
        <v>0</v>
      </c>
      <c r="AU46" s="168">
        <v>25</v>
      </c>
      <c r="AV46" s="97" t="s">
        <v>179</v>
      </c>
    </row>
    <row r="47" spans="1:48" s="2" customFormat="1" ht="14.5" x14ac:dyDescent="0.25">
      <c r="A47" s="3"/>
      <c r="B47" s="115">
        <v>24</v>
      </c>
      <c r="C47" s="115" t="s">
        <v>156</v>
      </c>
      <c r="D47" s="114" t="s">
        <v>154</v>
      </c>
      <c r="E47" s="132">
        <v>0</v>
      </c>
      <c r="F47" s="133">
        <f>LOOKUP('SERVICOS MONTAGEM'!$E$24:$E$63,BASE!A$4:A$125,BASE!B$4:B$125)</f>
        <v>0</v>
      </c>
      <c r="G47" s="117"/>
      <c r="H47" s="134"/>
      <c r="I47" s="135">
        <v>8.8000000000000007</v>
      </c>
      <c r="J47" s="134" t="s">
        <v>155</v>
      </c>
      <c r="K47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47" s="137">
        <f>ServInt10[[#This Row],[DIAS]]*ServInt10[[#This Row],[PESSOAS]]*ServInt10[[#This Row],[HORAS DIA]]</f>
        <v>0</v>
      </c>
      <c r="M47" s="138">
        <f>(IF(ServInt10[[#This Row],[CÓDIGO]]="","",LOOKUP(ServInt10[[#This Row],[CÓDIGO]],BASE!A$4:A$125,BASE!G$4:G$125)))*ServInt10[[#This Row],[HE CALC]]</f>
        <v>0</v>
      </c>
      <c r="N47" s="102">
        <f>ServInt10[[#This Row],[TOTAL HORAS]]*ServInt10[[#This Row],[R$ / HORA]]</f>
        <v>0</v>
      </c>
      <c r="O47" s="139">
        <f>BASE!$W$54</f>
        <v>0.79709863947533133</v>
      </c>
      <c r="P47" s="138">
        <f>ServInt10[[#This Row],[R$ / HORA]]/ServInt10[[#This Row],[MARK-UP]]</f>
        <v>0</v>
      </c>
      <c r="Q47" s="123">
        <f>ServInt10[[#This Row],[TOTAL]]/ServInt10[[#This Row],[MARK-UP]]</f>
        <v>0</v>
      </c>
      <c r="R47" s="123"/>
      <c r="S47" s="123">
        <f>(IF(E47="","",LOOKUP(E47,BASE!A$4:A$125,BASE!E$4:E$125)))*ServInt10[[#This Row],[TOTAL HORAS]]</f>
        <v>0</v>
      </c>
      <c r="T47" s="140">
        <f>IFERROR(ServInt10[[#This Row],[TOTAL3]]*(RESUMO!$F$32/RESUMO!$F$24),0)</f>
        <v>0</v>
      </c>
      <c r="W47" s="115">
        <v>24</v>
      </c>
      <c r="X47" s="115" t="s">
        <v>156</v>
      </c>
      <c r="Y47" s="114"/>
      <c r="Z47" s="132">
        <v>0</v>
      </c>
      <c r="AA47" s="14">
        <f>LOOKUP(Z47,BASE!A$4:A$125,BASE!B$4:B$125)</f>
        <v>0</v>
      </c>
      <c r="AB47" s="117"/>
      <c r="AC47" s="134"/>
      <c r="AD47" s="135">
        <v>8.8000000000000007</v>
      </c>
      <c r="AE47" s="134" t="s">
        <v>155</v>
      </c>
      <c r="AF47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7" s="13">
        <f t="shared" si="3"/>
        <v>0</v>
      </c>
      <c r="AH47" s="141">
        <f>(IF(Z47="","",LOOKUP(Z47,BASE!A$4:A$125,BASE!H$4:H$125)))*ServExt8[[#This Row],[HE CALC]]</f>
        <v>0</v>
      </c>
      <c r="AI47" s="102">
        <f>ServExt8[[#This Row],[TOTAL HORAS]]*ServExt8[[#This Row],[R$ / HORA]]</f>
        <v>0</v>
      </c>
      <c r="AJ47" s="142">
        <f>BASE!$W$54</f>
        <v>0.79709863947533133</v>
      </c>
      <c r="AK47" s="141">
        <f t="shared" si="4"/>
        <v>0</v>
      </c>
      <c r="AL47" s="143">
        <f t="shared" si="5"/>
        <v>0</v>
      </c>
      <c r="AM47" s="144">
        <f>IF(OR(ServExt8[[#This Row],[TIPO H]]="NORMAL",ServExt8[[#This Row],[HORAS DIA]]&gt;=8),ServExt8[[#This Row],[PESSOAS]]*ServExt8[[#This Row],[DIAS]]*2,0)</f>
        <v>0</v>
      </c>
      <c r="AN47" s="144">
        <f>(IF(Z47="","",LOOKUP(Z47,BASE!A$4:A$125,BASE!E$4:E$125)))*ServExt8[[#This Row],[TOTAL HORAS]]</f>
        <v>0</v>
      </c>
      <c r="AO47" s="5">
        <f>IF(ServExt8[[#This Row],[TIPO H]]="NORMAL",ServExt8[[#This Row],[PESSOAS]],0)</f>
        <v>0</v>
      </c>
      <c r="AP47" s="145">
        <f>IFERROR(ServExt8[[#This Row],[TOTAL3]]*(RESUMO!$F$32/RESUMO!$F$24),0)</f>
        <v>0</v>
      </c>
      <c r="AU47" s="168">
        <v>26</v>
      </c>
      <c r="AV47" s="97" t="s">
        <v>180</v>
      </c>
    </row>
    <row r="48" spans="1:48" s="2" customFormat="1" ht="14.5" x14ac:dyDescent="0.25">
      <c r="A48" s="3"/>
      <c r="B48" s="115">
        <v>25</v>
      </c>
      <c r="C48" s="115" t="s">
        <v>156</v>
      </c>
      <c r="D48" s="114" t="s">
        <v>154</v>
      </c>
      <c r="E48" s="132">
        <v>0</v>
      </c>
      <c r="F48" s="133">
        <f>LOOKUP('SERVICOS MONTAGEM'!$E$24:$E$63,BASE!A$4:A$125,BASE!B$4:B$125)</f>
        <v>0</v>
      </c>
      <c r="G48" s="117"/>
      <c r="H48" s="134"/>
      <c r="I48" s="135">
        <v>8.8000000000000007</v>
      </c>
      <c r="J48" s="134" t="s">
        <v>155</v>
      </c>
      <c r="K48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48" s="137">
        <f>ServInt10[[#This Row],[DIAS]]*ServInt10[[#This Row],[PESSOAS]]*ServInt10[[#This Row],[HORAS DIA]]</f>
        <v>0</v>
      </c>
      <c r="M48" s="138">
        <f>(IF(ServInt10[[#This Row],[CÓDIGO]]="","",LOOKUP(ServInt10[[#This Row],[CÓDIGO]],BASE!A$4:A$125,BASE!G$4:G$125)))*ServInt10[[#This Row],[HE CALC]]</f>
        <v>0</v>
      </c>
      <c r="N48" s="102">
        <f>ServInt10[[#This Row],[TOTAL HORAS]]*ServInt10[[#This Row],[R$ / HORA]]</f>
        <v>0</v>
      </c>
      <c r="O48" s="139">
        <f>BASE!$W$54</f>
        <v>0.79709863947533133</v>
      </c>
      <c r="P48" s="138">
        <f>ServInt10[[#This Row],[R$ / HORA]]/ServInt10[[#This Row],[MARK-UP]]</f>
        <v>0</v>
      </c>
      <c r="Q48" s="123">
        <f>ServInt10[[#This Row],[TOTAL]]/ServInt10[[#This Row],[MARK-UP]]</f>
        <v>0</v>
      </c>
      <c r="R48" s="123"/>
      <c r="S48" s="123">
        <f>(IF(E48="","",LOOKUP(E48,BASE!A$4:A$125,BASE!E$4:E$125)))*ServInt10[[#This Row],[TOTAL HORAS]]</f>
        <v>0</v>
      </c>
      <c r="T48" s="140">
        <f>IFERROR(ServInt10[[#This Row],[TOTAL3]]*(RESUMO!$F$32/RESUMO!$F$24),0)</f>
        <v>0</v>
      </c>
      <c r="W48" s="115">
        <v>25</v>
      </c>
      <c r="X48" s="115" t="s">
        <v>156</v>
      </c>
      <c r="Y48" s="114"/>
      <c r="Z48" s="132">
        <v>0</v>
      </c>
      <c r="AA48" s="14">
        <f>LOOKUP(Z48,BASE!A$4:A$125,BASE!B$4:B$125)</f>
        <v>0</v>
      </c>
      <c r="AB48" s="117"/>
      <c r="AC48" s="134"/>
      <c r="AD48" s="135">
        <v>8.8000000000000007</v>
      </c>
      <c r="AE48" s="134" t="s">
        <v>155</v>
      </c>
      <c r="AF48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8" s="13">
        <f t="shared" si="3"/>
        <v>0</v>
      </c>
      <c r="AH48" s="141">
        <f>(IF(Z48="","",LOOKUP(Z48,BASE!A$4:A$125,BASE!H$4:H$125)))*ServExt8[[#This Row],[HE CALC]]</f>
        <v>0</v>
      </c>
      <c r="AI48" s="102">
        <f>ServExt8[[#This Row],[TOTAL HORAS]]*ServExt8[[#This Row],[R$ / HORA]]</f>
        <v>0</v>
      </c>
      <c r="AJ48" s="142">
        <f>BASE!$W$54</f>
        <v>0.79709863947533133</v>
      </c>
      <c r="AK48" s="141">
        <f t="shared" si="4"/>
        <v>0</v>
      </c>
      <c r="AL48" s="143">
        <f t="shared" si="5"/>
        <v>0</v>
      </c>
      <c r="AM48" s="144">
        <f>IF(OR(ServExt8[[#This Row],[TIPO H]]="NORMAL",ServExt8[[#This Row],[HORAS DIA]]&gt;=8),ServExt8[[#This Row],[PESSOAS]]*ServExt8[[#This Row],[DIAS]]*2,0)</f>
        <v>0</v>
      </c>
      <c r="AN48" s="144">
        <f>(IF(Z48="","",LOOKUP(Z48,BASE!A$4:A$125,BASE!E$4:E$125)))*ServExt8[[#This Row],[TOTAL HORAS]]</f>
        <v>0</v>
      </c>
      <c r="AO48" s="5">
        <f>IF(ServExt8[[#This Row],[TIPO H]]="NORMAL",ServExt8[[#This Row],[PESSOAS]],0)</f>
        <v>0</v>
      </c>
      <c r="AP48" s="145">
        <f>IFERROR(ServExt8[[#This Row],[TOTAL3]]*(RESUMO!$F$32/RESUMO!$F$24),0)</f>
        <v>0</v>
      </c>
      <c r="AU48" s="168">
        <v>27</v>
      </c>
      <c r="AV48" s="97" t="s">
        <v>181</v>
      </c>
    </row>
    <row r="49" spans="1:48" s="2" customFormat="1" ht="14.5" x14ac:dyDescent="0.25">
      <c r="A49" s="3"/>
      <c r="B49" s="115">
        <v>26</v>
      </c>
      <c r="C49" s="115" t="s">
        <v>156</v>
      </c>
      <c r="D49" s="114" t="s">
        <v>154</v>
      </c>
      <c r="E49" s="132">
        <v>0</v>
      </c>
      <c r="F49" s="133">
        <f>LOOKUP('SERVICOS MONTAGEM'!$E$24:$E$63,BASE!A$4:A$125,BASE!B$4:B$125)</f>
        <v>0</v>
      </c>
      <c r="G49" s="117"/>
      <c r="H49" s="134"/>
      <c r="I49" s="135">
        <v>8.8000000000000007</v>
      </c>
      <c r="J49" s="134" t="s">
        <v>155</v>
      </c>
      <c r="K49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49" s="137">
        <f>ServInt10[[#This Row],[DIAS]]*ServInt10[[#This Row],[PESSOAS]]*ServInt10[[#This Row],[HORAS DIA]]</f>
        <v>0</v>
      </c>
      <c r="M49" s="138">
        <f>(IF(ServInt10[[#This Row],[CÓDIGO]]="","",LOOKUP(ServInt10[[#This Row],[CÓDIGO]],BASE!A$4:A$125,BASE!G$4:G$125)))*ServInt10[[#This Row],[HE CALC]]</f>
        <v>0</v>
      </c>
      <c r="N49" s="102">
        <f>ServInt10[[#This Row],[TOTAL HORAS]]*ServInt10[[#This Row],[R$ / HORA]]</f>
        <v>0</v>
      </c>
      <c r="O49" s="139">
        <f>BASE!$W$54</f>
        <v>0.79709863947533133</v>
      </c>
      <c r="P49" s="138">
        <f>ServInt10[[#This Row],[R$ / HORA]]/ServInt10[[#This Row],[MARK-UP]]</f>
        <v>0</v>
      </c>
      <c r="Q49" s="123">
        <f>ServInt10[[#This Row],[TOTAL]]/ServInt10[[#This Row],[MARK-UP]]</f>
        <v>0</v>
      </c>
      <c r="R49" s="123"/>
      <c r="S49" s="123">
        <f>(IF(E49="","",LOOKUP(E49,BASE!A$4:A$125,BASE!E$4:E$125)))*ServInt10[[#This Row],[TOTAL HORAS]]</f>
        <v>0</v>
      </c>
      <c r="T49" s="140">
        <f>IFERROR(ServInt10[[#This Row],[TOTAL3]]*(RESUMO!$F$32/RESUMO!$F$24),0)</f>
        <v>0</v>
      </c>
      <c r="W49" s="115">
        <v>26</v>
      </c>
      <c r="X49" s="115" t="s">
        <v>156</v>
      </c>
      <c r="Y49" s="114"/>
      <c r="Z49" s="132">
        <v>0</v>
      </c>
      <c r="AA49" s="14">
        <f>LOOKUP(Z49,BASE!A$4:A$125,BASE!B$4:B$125)</f>
        <v>0</v>
      </c>
      <c r="AB49" s="117"/>
      <c r="AC49" s="134"/>
      <c r="AD49" s="135">
        <v>8.8000000000000007</v>
      </c>
      <c r="AE49" s="134" t="s">
        <v>155</v>
      </c>
      <c r="AF49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49" s="13">
        <f t="shared" si="3"/>
        <v>0</v>
      </c>
      <c r="AH49" s="141">
        <f>(IF(Z49="","",LOOKUP(Z49,BASE!A$4:A$125,BASE!H$4:H$125)))*ServExt8[[#This Row],[HE CALC]]</f>
        <v>0</v>
      </c>
      <c r="AI49" s="102">
        <f>ServExt8[[#This Row],[TOTAL HORAS]]*ServExt8[[#This Row],[R$ / HORA]]</f>
        <v>0</v>
      </c>
      <c r="AJ49" s="142">
        <f>BASE!$W$54</f>
        <v>0.79709863947533133</v>
      </c>
      <c r="AK49" s="141">
        <f t="shared" si="4"/>
        <v>0</v>
      </c>
      <c r="AL49" s="143">
        <f t="shared" si="5"/>
        <v>0</v>
      </c>
      <c r="AM49" s="144">
        <f>IF(OR(ServExt8[[#This Row],[TIPO H]]="NORMAL",ServExt8[[#This Row],[HORAS DIA]]&gt;=8),ServExt8[[#This Row],[PESSOAS]]*ServExt8[[#This Row],[DIAS]]*2,0)</f>
        <v>0</v>
      </c>
      <c r="AN49" s="144">
        <f>(IF(Z49="","",LOOKUP(Z49,BASE!A$4:A$125,BASE!E$4:E$125)))*ServExt8[[#This Row],[TOTAL HORAS]]</f>
        <v>0</v>
      </c>
      <c r="AO49" s="5">
        <f>IF(ServExt8[[#This Row],[TIPO H]]="NORMAL",ServExt8[[#This Row],[PESSOAS]],0)</f>
        <v>0</v>
      </c>
      <c r="AP49" s="145">
        <f>IFERROR(ServExt8[[#This Row],[TOTAL3]]*(RESUMO!$F$32/RESUMO!$F$24),0)</f>
        <v>0</v>
      </c>
      <c r="AU49" s="168">
        <v>28</v>
      </c>
      <c r="AV49" s="97" t="s">
        <v>182</v>
      </c>
    </row>
    <row r="50" spans="1:48" s="2" customFormat="1" ht="14.5" x14ac:dyDescent="0.25">
      <c r="A50" s="3"/>
      <c r="B50" s="115">
        <v>27</v>
      </c>
      <c r="C50" s="115" t="s">
        <v>156</v>
      </c>
      <c r="D50" s="114" t="s">
        <v>154</v>
      </c>
      <c r="E50" s="132">
        <v>0</v>
      </c>
      <c r="F50" s="133">
        <f>LOOKUP('SERVICOS MONTAGEM'!$E$24:$E$63,BASE!A$4:A$125,BASE!B$4:B$125)</f>
        <v>0</v>
      </c>
      <c r="G50" s="117"/>
      <c r="H50" s="134"/>
      <c r="I50" s="135">
        <v>8.8000000000000007</v>
      </c>
      <c r="J50" s="134" t="s">
        <v>155</v>
      </c>
      <c r="K50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0" s="137">
        <f>ServInt10[[#This Row],[DIAS]]*ServInt10[[#This Row],[PESSOAS]]*ServInt10[[#This Row],[HORAS DIA]]</f>
        <v>0</v>
      </c>
      <c r="M50" s="138">
        <f>(IF(ServInt10[[#This Row],[CÓDIGO]]="","",LOOKUP(ServInt10[[#This Row],[CÓDIGO]],BASE!A$4:A$125,BASE!G$4:G$125)))*ServInt10[[#This Row],[HE CALC]]</f>
        <v>0</v>
      </c>
      <c r="N50" s="102">
        <f>ServInt10[[#This Row],[TOTAL HORAS]]*ServInt10[[#This Row],[R$ / HORA]]</f>
        <v>0</v>
      </c>
      <c r="O50" s="139">
        <f>BASE!$W$54</f>
        <v>0.79709863947533133</v>
      </c>
      <c r="P50" s="138">
        <f>ServInt10[[#This Row],[R$ / HORA]]/ServInt10[[#This Row],[MARK-UP]]</f>
        <v>0</v>
      </c>
      <c r="Q50" s="123">
        <f>ServInt10[[#This Row],[TOTAL]]/ServInt10[[#This Row],[MARK-UP]]</f>
        <v>0</v>
      </c>
      <c r="R50" s="123"/>
      <c r="S50" s="123">
        <f>(IF(E50="","",LOOKUP(E50,BASE!A$4:A$125,BASE!E$4:E$125)))*ServInt10[[#This Row],[TOTAL HORAS]]</f>
        <v>0</v>
      </c>
      <c r="T50" s="140">
        <f>IFERROR(ServInt10[[#This Row],[TOTAL3]]*(RESUMO!$F$32/RESUMO!$F$24),0)</f>
        <v>0</v>
      </c>
      <c r="W50" s="115">
        <v>27</v>
      </c>
      <c r="X50" s="115" t="s">
        <v>156</v>
      </c>
      <c r="Y50" s="114"/>
      <c r="Z50" s="132">
        <v>0</v>
      </c>
      <c r="AA50" s="14">
        <f>LOOKUP(Z50,BASE!A$4:A$125,BASE!B$4:B$125)</f>
        <v>0</v>
      </c>
      <c r="AB50" s="117"/>
      <c r="AC50" s="134"/>
      <c r="AD50" s="135">
        <v>8.8000000000000007</v>
      </c>
      <c r="AE50" s="134" t="s">
        <v>155</v>
      </c>
      <c r="AF50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0" s="13">
        <f t="shared" si="3"/>
        <v>0</v>
      </c>
      <c r="AH50" s="141">
        <f>(IF(Z50="","",LOOKUP(Z50,BASE!A$4:A$125,BASE!H$4:H$125)))*ServExt8[[#This Row],[HE CALC]]</f>
        <v>0</v>
      </c>
      <c r="AI50" s="102">
        <f>ServExt8[[#This Row],[TOTAL HORAS]]*ServExt8[[#This Row],[R$ / HORA]]</f>
        <v>0</v>
      </c>
      <c r="AJ50" s="142">
        <f>BASE!$W$54</f>
        <v>0.79709863947533133</v>
      </c>
      <c r="AK50" s="141">
        <f t="shared" si="4"/>
        <v>0</v>
      </c>
      <c r="AL50" s="143">
        <f t="shared" si="5"/>
        <v>0</v>
      </c>
      <c r="AM50" s="144">
        <f>IF(OR(ServExt8[[#This Row],[TIPO H]]="NORMAL",ServExt8[[#This Row],[HORAS DIA]]&gt;=8),ServExt8[[#This Row],[PESSOAS]]*ServExt8[[#This Row],[DIAS]]*2,0)</f>
        <v>0</v>
      </c>
      <c r="AN50" s="144">
        <f>(IF(Z50="","",LOOKUP(Z50,BASE!A$4:A$125,BASE!E$4:E$125)))*ServExt8[[#This Row],[TOTAL HORAS]]</f>
        <v>0</v>
      </c>
      <c r="AO50" s="5">
        <f>IF(ServExt8[[#This Row],[TIPO H]]="NORMAL",ServExt8[[#This Row],[PESSOAS]],0)</f>
        <v>0</v>
      </c>
      <c r="AP50" s="145">
        <f>IFERROR(ServExt8[[#This Row],[TOTAL3]]*(RESUMO!$F$32/RESUMO!$F$24),0)</f>
        <v>0</v>
      </c>
      <c r="AU50" s="168">
        <v>29</v>
      </c>
      <c r="AV50" s="97" t="s">
        <v>183</v>
      </c>
    </row>
    <row r="51" spans="1:48" s="2" customFormat="1" ht="14.5" x14ac:dyDescent="0.25">
      <c r="A51" s="3"/>
      <c r="B51" s="115">
        <v>28</v>
      </c>
      <c r="C51" s="115" t="s">
        <v>156</v>
      </c>
      <c r="D51" s="114" t="s">
        <v>154</v>
      </c>
      <c r="E51" s="132">
        <v>0</v>
      </c>
      <c r="F51" s="133">
        <f>LOOKUP('SERVICOS MONTAGEM'!$E$24:$E$63,BASE!A$4:A$125,BASE!B$4:B$125)</f>
        <v>0</v>
      </c>
      <c r="G51" s="117"/>
      <c r="H51" s="134"/>
      <c r="I51" s="135">
        <v>8.8000000000000007</v>
      </c>
      <c r="J51" s="134" t="s">
        <v>155</v>
      </c>
      <c r="K51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1" s="137">
        <f>ServInt10[[#This Row],[DIAS]]*ServInt10[[#This Row],[PESSOAS]]*ServInt10[[#This Row],[HORAS DIA]]</f>
        <v>0</v>
      </c>
      <c r="M51" s="138">
        <f>(IF(ServInt10[[#This Row],[CÓDIGO]]="","",LOOKUP(ServInt10[[#This Row],[CÓDIGO]],BASE!A$4:A$125,BASE!G$4:G$125)))*ServInt10[[#This Row],[HE CALC]]</f>
        <v>0</v>
      </c>
      <c r="N51" s="102">
        <f>ServInt10[[#This Row],[TOTAL HORAS]]*ServInt10[[#This Row],[R$ / HORA]]</f>
        <v>0</v>
      </c>
      <c r="O51" s="139">
        <f>BASE!$W$54</f>
        <v>0.79709863947533133</v>
      </c>
      <c r="P51" s="138">
        <f>ServInt10[[#This Row],[R$ / HORA]]/ServInt10[[#This Row],[MARK-UP]]</f>
        <v>0</v>
      </c>
      <c r="Q51" s="123">
        <f>ServInt10[[#This Row],[TOTAL]]/ServInt10[[#This Row],[MARK-UP]]</f>
        <v>0</v>
      </c>
      <c r="R51" s="123"/>
      <c r="S51" s="123">
        <f>(IF(E51="","",LOOKUP(E51,BASE!A$4:A$125,BASE!E$4:E$125)))*ServInt10[[#This Row],[TOTAL HORAS]]</f>
        <v>0</v>
      </c>
      <c r="T51" s="140">
        <f>IFERROR(ServInt10[[#This Row],[TOTAL3]]*(RESUMO!$F$32/RESUMO!$F$24),0)</f>
        <v>0</v>
      </c>
      <c r="W51" s="115">
        <v>28</v>
      </c>
      <c r="X51" s="115" t="s">
        <v>156</v>
      </c>
      <c r="Y51" s="114"/>
      <c r="Z51" s="132">
        <v>0</v>
      </c>
      <c r="AA51" s="14">
        <f>LOOKUP(Z51,BASE!A$4:A$125,BASE!B$4:B$125)</f>
        <v>0</v>
      </c>
      <c r="AB51" s="117"/>
      <c r="AC51" s="134"/>
      <c r="AD51" s="135">
        <v>8.8000000000000007</v>
      </c>
      <c r="AE51" s="134" t="s">
        <v>155</v>
      </c>
      <c r="AF51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1" s="13">
        <f t="shared" si="3"/>
        <v>0</v>
      </c>
      <c r="AH51" s="141">
        <f>(IF(Z51="","",LOOKUP(Z51,BASE!A$4:A$125,BASE!H$4:H$125)))*ServExt8[[#This Row],[HE CALC]]</f>
        <v>0</v>
      </c>
      <c r="AI51" s="102">
        <f>ServExt8[[#This Row],[TOTAL HORAS]]*ServExt8[[#This Row],[R$ / HORA]]</f>
        <v>0</v>
      </c>
      <c r="AJ51" s="142">
        <f>BASE!$W$54</f>
        <v>0.79709863947533133</v>
      </c>
      <c r="AK51" s="141">
        <f t="shared" si="4"/>
        <v>0</v>
      </c>
      <c r="AL51" s="143">
        <f t="shared" si="5"/>
        <v>0</v>
      </c>
      <c r="AM51" s="144">
        <f>IF(OR(ServExt8[[#This Row],[TIPO H]]="NORMAL",ServExt8[[#This Row],[HORAS DIA]]&gt;=8),ServExt8[[#This Row],[PESSOAS]]*ServExt8[[#This Row],[DIAS]]*2,0)</f>
        <v>0</v>
      </c>
      <c r="AN51" s="144">
        <f>(IF(Z51="","",LOOKUP(Z51,BASE!A$4:A$125,BASE!E$4:E$125)))*ServExt8[[#This Row],[TOTAL HORAS]]</f>
        <v>0</v>
      </c>
      <c r="AO51" s="5">
        <f>IF(ServExt8[[#This Row],[TIPO H]]="NORMAL",ServExt8[[#This Row],[PESSOAS]],0)</f>
        <v>0</v>
      </c>
      <c r="AP51" s="145">
        <f>IFERROR(ServExt8[[#This Row],[TOTAL3]]*(RESUMO!$F$32/RESUMO!$F$24),0)</f>
        <v>0</v>
      </c>
      <c r="AU51" s="168">
        <v>30</v>
      </c>
      <c r="AV51" s="97" t="s">
        <v>184</v>
      </c>
    </row>
    <row r="52" spans="1:48" s="2" customFormat="1" ht="14.5" x14ac:dyDescent="0.25">
      <c r="A52" s="3"/>
      <c r="B52" s="115">
        <v>29</v>
      </c>
      <c r="C52" s="115" t="s">
        <v>156</v>
      </c>
      <c r="D52" s="114" t="s">
        <v>154</v>
      </c>
      <c r="E52" s="132">
        <v>0</v>
      </c>
      <c r="F52" s="133">
        <f>LOOKUP('SERVICOS MONTAGEM'!$E$24:$E$63,BASE!A$4:A$125,BASE!B$4:B$125)</f>
        <v>0</v>
      </c>
      <c r="G52" s="117"/>
      <c r="H52" s="134"/>
      <c r="I52" s="135">
        <v>8.8000000000000007</v>
      </c>
      <c r="J52" s="134" t="s">
        <v>155</v>
      </c>
      <c r="K52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2" s="137">
        <f>ServInt10[[#This Row],[DIAS]]*ServInt10[[#This Row],[PESSOAS]]*ServInt10[[#This Row],[HORAS DIA]]</f>
        <v>0</v>
      </c>
      <c r="M52" s="138">
        <f>(IF(ServInt10[[#This Row],[CÓDIGO]]="","",LOOKUP(ServInt10[[#This Row],[CÓDIGO]],BASE!A$4:A$125,BASE!G$4:G$125)))*ServInt10[[#This Row],[HE CALC]]</f>
        <v>0</v>
      </c>
      <c r="N52" s="102">
        <f>ServInt10[[#This Row],[TOTAL HORAS]]*ServInt10[[#This Row],[R$ / HORA]]</f>
        <v>0</v>
      </c>
      <c r="O52" s="139">
        <f>BASE!$W$54</f>
        <v>0.79709863947533133</v>
      </c>
      <c r="P52" s="138">
        <f>ServInt10[[#This Row],[R$ / HORA]]/ServInt10[[#This Row],[MARK-UP]]</f>
        <v>0</v>
      </c>
      <c r="Q52" s="123">
        <f>ServInt10[[#This Row],[TOTAL]]/ServInt10[[#This Row],[MARK-UP]]</f>
        <v>0</v>
      </c>
      <c r="R52" s="123"/>
      <c r="S52" s="123">
        <f>(IF(E52="","",LOOKUP(E52,BASE!A$4:A$125,BASE!E$4:E$125)))*ServInt10[[#This Row],[TOTAL HORAS]]</f>
        <v>0</v>
      </c>
      <c r="T52" s="140">
        <f>IFERROR(ServInt10[[#This Row],[TOTAL3]]*(RESUMO!$F$32/RESUMO!$F$24),0)</f>
        <v>0</v>
      </c>
      <c r="W52" s="115">
        <v>29</v>
      </c>
      <c r="X52" s="115" t="s">
        <v>156</v>
      </c>
      <c r="Y52" s="114"/>
      <c r="Z52" s="132">
        <v>0</v>
      </c>
      <c r="AA52" s="14">
        <f>LOOKUP(Z52,BASE!A$4:A$125,BASE!B$4:B$125)</f>
        <v>0</v>
      </c>
      <c r="AB52" s="117"/>
      <c r="AC52" s="134"/>
      <c r="AD52" s="135">
        <v>8.8000000000000007</v>
      </c>
      <c r="AE52" s="134" t="s">
        <v>155</v>
      </c>
      <c r="AF52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2" s="13">
        <f t="shared" si="3"/>
        <v>0</v>
      </c>
      <c r="AH52" s="141">
        <f>(IF(Z52="","",LOOKUP(Z52,BASE!A$4:A$125,BASE!H$4:H$125)))*ServExt8[[#This Row],[HE CALC]]</f>
        <v>0</v>
      </c>
      <c r="AI52" s="102">
        <f>ServExt8[[#This Row],[TOTAL HORAS]]*ServExt8[[#This Row],[R$ / HORA]]</f>
        <v>0</v>
      </c>
      <c r="AJ52" s="142">
        <f>BASE!$W$54</f>
        <v>0.79709863947533133</v>
      </c>
      <c r="AK52" s="141">
        <f t="shared" si="4"/>
        <v>0</v>
      </c>
      <c r="AL52" s="143">
        <f t="shared" si="5"/>
        <v>0</v>
      </c>
      <c r="AM52" s="144">
        <f>IF(OR(ServExt8[[#This Row],[TIPO H]]="NORMAL",ServExt8[[#This Row],[HORAS DIA]]&gt;=8),ServExt8[[#This Row],[PESSOAS]]*ServExt8[[#This Row],[DIAS]]*2,0)</f>
        <v>0</v>
      </c>
      <c r="AN52" s="144">
        <f>(IF(Z52="","",LOOKUP(Z52,BASE!A$4:A$125,BASE!E$4:E$125)))*ServExt8[[#This Row],[TOTAL HORAS]]</f>
        <v>0</v>
      </c>
      <c r="AO52" s="5">
        <f>IF(ServExt8[[#This Row],[TIPO H]]="NORMAL",ServExt8[[#This Row],[PESSOAS]],0)</f>
        <v>0</v>
      </c>
      <c r="AP52" s="145">
        <f>IFERROR(ServExt8[[#This Row],[TOTAL3]]*(RESUMO!$F$32/RESUMO!$F$24),0)</f>
        <v>0</v>
      </c>
      <c r="AU52" s="168">
        <v>31</v>
      </c>
      <c r="AV52" s="97" t="s">
        <v>185</v>
      </c>
    </row>
    <row r="53" spans="1:48" s="2" customFormat="1" ht="14.5" x14ac:dyDescent="0.25">
      <c r="A53" s="3"/>
      <c r="B53" s="115">
        <v>30</v>
      </c>
      <c r="C53" s="115" t="s">
        <v>156</v>
      </c>
      <c r="D53" s="114" t="s">
        <v>154</v>
      </c>
      <c r="E53" s="132">
        <v>0</v>
      </c>
      <c r="F53" s="133">
        <f>LOOKUP('SERVICOS MONTAGEM'!$E$24:$E$63,BASE!A$4:A$125,BASE!B$4:B$125)</f>
        <v>0</v>
      </c>
      <c r="G53" s="117"/>
      <c r="H53" s="134"/>
      <c r="I53" s="135">
        <v>8.8000000000000007</v>
      </c>
      <c r="J53" s="134" t="s">
        <v>155</v>
      </c>
      <c r="K53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3" s="137">
        <f>ServInt10[[#This Row],[DIAS]]*ServInt10[[#This Row],[PESSOAS]]*ServInt10[[#This Row],[HORAS DIA]]</f>
        <v>0</v>
      </c>
      <c r="M53" s="138">
        <f>(IF(ServInt10[[#This Row],[CÓDIGO]]="","",LOOKUP(ServInt10[[#This Row],[CÓDIGO]],BASE!A$4:A$125,BASE!G$4:G$125)))*ServInt10[[#This Row],[HE CALC]]</f>
        <v>0</v>
      </c>
      <c r="N53" s="102">
        <f>ServInt10[[#This Row],[TOTAL HORAS]]*ServInt10[[#This Row],[R$ / HORA]]</f>
        <v>0</v>
      </c>
      <c r="O53" s="139">
        <f>BASE!$W$54</f>
        <v>0.79709863947533133</v>
      </c>
      <c r="P53" s="138">
        <f>ServInt10[[#This Row],[R$ / HORA]]/ServInt10[[#This Row],[MARK-UP]]</f>
        <v>0</v>
      </c>
      <c r="Q53" s="123">
        <f>ServInt10[[#This Row],[TOTAL]]/ServInt10[[#This Row],[MARK-UP]]</f>
        <v>0</v>
      </c>
      <c r="R53" s="123"/>
      <c r="S53" s="123">
        <f>(IF(E53="","",LOOKUP(E53,BASE!A$4:A$125,BASE!E$4:E$125)))*ServInt10[[#This Row],[TOTAL HORAS]]</f>
        <v>0</v>
      </c>
      <c r="T53" s="140">
        <f>IFERROR(ServInt10[[#This Row],[TOTAL3]]*(RESUMO!$F$32/RESUMO!$F$24),0)</f>
        <v>0</v>
      </c>
      <c r="W53" s="115">
        <v>30</v>
      </c>
      <c r="X53" s="115" t="s">
        <v>156</v>
      </c>
      <c r="Y53" s="114"/>
      <c r="Z53" s="132">
        <v>0</v>
      </c>
      <c r="AA53" s="14">
        <f>LOOKUP(Z53,BASE!A$4:A$125,BASE!B$4:B$125)</f>
        <v>0</v>
      </c>
      <c r="AB53" s="117"/>
      <c r="AC53" s="134"/>
      <c r="AD53" s="135">
        <v>8.8000000000000007</v>
      </c>
      <c r="AE53" s="134" t="s">
        <v>155</v>
      </c>
      <c r="AF53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3" s="13">
        <f t="shared" si="3"/>
        <v>0</v>
      </c>
      <c r="AH53" s="141">
        <f>(IF(Z53="","",LOOKUP(Z53,BASE!A$4:A$125,BASE!H$4:H$125)))*ServExt8[[#This Row],[HE CALC]]</f>
        <v>0</v>
      </c>
      <c r="AI53" s="102">
        <f>ServExt8[[#This Row],[TOTAL HORAS]]*ServExt8[[#This Row],[R$ / HORA]]</f>
        <v>0</v>
      </c>
      <c r="AJ53" s="142">
        <f>BASE!$W$54</f>
        <v>0.79709863947533133</v>
      </c>
      <c r="AK53" s="141">
        <f t="shared" si="4"/>
        <v>0</v>
      </c>
      <c r="AL53" s="143">
        <f t="shared" si="5"/>
        <v>0</v>
      </c>
      <c r="AM53" s="144">
        <f>IF(OR(ServExt8[[#This Row],[TIPO H]]="NORMAL",ServExt8[[#This Row],[HORAS DIA]]&gt;=8),ServExt8[[#This Row],[PESSOAS]]*ServExt8[[#This Row],[DIAS]]*2,0)</f>
        <v>0</v>
      </c>
      <c r="AN53" s="144">
        <f>(IF(Z53="","",LOOKUP(Z53,BASE!A$4:A$125,BASE!E$4:E$125)))*ServExt8[[#This Row],[TOTAL HORAS]]</f>
        <v>0</v>
      </c>
      <c r="AO53" s="5">
        <f>IF(ServExt8[[#This Row],[TIPO H]]="NORMAL",ServExt8[[#This Row],[PESSOAS]],0)</f>
        <v>0</v>
      </c>
      <c r="AP53" s="145">
        <f>IFERROR(ServExt8[[#This Row],[TOTAL3]]*(RESUMO!$F$32/RESUMO!$F$24),0)</f>
        <v>0</v>
      </c>
      <c r="AU53" s="244">
        <v>32</v>
      </c>
      <c r="AV53" s="2" t="s">
        <v>186</v>
      </c>
    </row>
    <row r="54" spans="1:48" s="2" customFormat="1" ht="14.5" x14ac:dyDescent="0.25">
      <c r="A54" s="3"/>
      <c r="B54" s="115">
        <v>31</v>
      </c>
      <c r="C54" s="115" t="s">
        <v>156</v>
      </c>
      <c r="D54" s="114" t="s">
        <v>154</v>
      </c>
      <c r="E54" s="132">
        <v>0</v>
      </c>
      <c r="F54" s="133">
        <f>LOOKUP('SERVICOS MONTAGEM'!$E$24:$E$63,BASE!A$4:A$125,BASE!B$4:B$125)</f>
        <v>0</v>
      </c>
      <c r="G54" s="117"/>
      <c r="H54" s="134"/>
      <c r="I54" s="135">
        <v>8.8000000000000007</v>
      </c>
      <c r="J54" s="134" t="s">
        <v>155</v>
      </c>
      <c r="K54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4" s="137">
        <f>ServInt10[[#This Row],[DIAS]]*ServInt10[[#This Row],[PESSOAS]]*ServInt10[[#This Row],[HORAS DIA]]</f>
        <v>0</v>
      </c>
      <c r="M54" s="138">
        <f>(IF(ServInt10[[#This Row],[CÓDIGO]]="","",LOOKUP(ServInt10[[#This Row],[CÓDIGO]],BASE!A$4:A$125,BASE!G$4:G$125)))*ServInt10[[#This Row],[HE CALC]]</f>
        <v>0</v>
      </c>
      <c r="N54" s="102">
        <f>ServInt10[[#This Row],[TOTAL HORAS]]*ServInt10[[#This Row],[R$ / HORA]]</f>
        <v>0</v>
      </c>
      <c r="O54" s="139">
        <f>BASE!$W$54</f>
        <v>0.79709863947533133</v>
      </c>
      <c r="P54" s="138">
        <f>ServInt10[[#This Row],[R$ / HORA]]/ServInt10[[#This Row],[MARK-UP]]</f>
        <v>0</v>
      </c>
      <c r="Q54" s="123">
        <f>ServInt10[[#This Row],[TOTAL]]/ServInt10[[#This Row],[MARK-UP]]</f>
        <v>0</v>
      </c>
      <c r="R54" s="123"/>
      <c r="S54" s="123">
        <f>(IF(E54="","",LOOKUP(E54,BASE!A$4:A$125,BASE!E$4:E$125)))*ServInt10[[#This Row],[TOTAL HORAS]]</f>
        <v>0</v>
      </c>
      <c r="T54" s="140">
        <f>IFERROR(ServInt10[[#This Row],[TOTAL3]]*(RESUMO!$F$32/RESUMO!$F$24),0)</f>
        <v>0</v>
      </c>
      <c r="W54" s="115">
        <v>31</v>
      </c>
      <c r="X54" s="115" t="s">
        <v>156</v>
      </c>
      <c r="Y54" s="114"/>
      <c r="Z54" s="132">
        <v>0</v>
      </c>
      <c r="AA54" s="14">
        <f>LOOKUP(Z54,BASE!A$4:A$125,BASE!B$4:B$125)</f>
        <v>0</v>
      </c>
      <c r="AB54" s="117"/>
      <c r="AC54" s="134"/>
      <c r="AD54" s="135">
        <v>8.8000000000000007</v>
      </c>
      <c r="AE54" s="134" t="s">
        <v>155</v>
      </c>
      <c r="AF54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4" s="13">
        <f t="shared" si="3"/>
        <v>0</v>
      </c>
      <c r="AH54" s="141">
        <f>(IF(Z54="","",LOOKUP(Z54,BASE!A$4:A$125,BASE!H$4:H$125)))*ServExt8[[#This Row],[HE CALC]]</f>
        <v>0</v>
      </c>
      <c r="AI54" s="102">
        <f>ServExt8[[#This Row],[TOTAL HORAS]]*ServExt8[[#This Row],[R$ / HORA]]</f>
        <v>0</v>
      </c>
      <c r="AJ54" s="142">
        <f>BASE!$W$54</f>
        <v>0.79709863947533133</v>
      </c>
      <c r="AK54" s="141">
        <f t="shared" si="4"/>
        <v>0</v>
      </c>
      <c r="AL54" s="143">
        <f t="shared" si="5"/>
        <v>0</v>
      </c>
      <c r="AM54" s="144">
        <f>IF(OR(ServExt8[[#This Row],[TIPO H]]="NORMAL",ServExt8[[#This Row],[HORAS DIA]]&gt;=8),ServExt8[[#This Row],[PESSOAS]]*ServExt8[[#This Row],[DIAS]]*2,0)</f>
        <v>0</v>
      </c>
      <c r="AN54" s="144">
        <f>(IF(Z54="","",LOOKUP(Z54,BASE!A$4:A$125,BASE!E$4:E$125)))*ServExt8[[#This Row],[TOTAL HORAS]]</f>
        <v>0</v>
      </c>
      <c r="AO54" s="5">
        <f>IF(ServExt8[[#This Row],[TIPO H]]="NORMAL",ServExt8[[#This Row],[PESSOAS]],0)</f>
        <v>0</v>
      </c>
      <c r="AP54" s="145">
        <f>IFERROR(ServExt8[[#This Row],[TOTAL3]]*(RESUMO!$F$32/RESUMO!$F$24),0)</f>
        <v>0</v>
      </c>
      <c r="AU54" s="244">
        <v>33</v>
      </c>
      <c r="AV54" s="2" t="s">
        <v>187</v>
      </c>
    </row>
    <row r="55" spans="1:48" s="2" customFormat="1" ht="14.5" x14ac:dyDescent="0.25">
      <c r="A55" s="3"/>
      <c r="B55" s="115">
        <v>32</v>
      </c>
      <c r="C55" s="115" t="s">
        <v>156</v>
      </c>
      <c r="D55" s="114" t="s">
        <v>154</v>
      </c>
      <c r="E55" s="132">
        <v>0</v>
      </c>
      <c r="F55" s="133">
        <f>LOOKUP('SERVICOS MONTAGEM'!$E$24:$E$63,BASE!A$4:A$125,BASE!B$4:B$125)</f>
        <v>0</v>
      </c>
      <c r="G55" s="117"/>
      <c r="H55" s="134"/>
      <c r="I55" s="135">
        <v>8.8000000000000007</v>
      </c>
      <c r="J55" s="134" t="s">
        <v>155</v>
      </c>
      <c r="K55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5" s="137">
        <f>ServInt10[[#This Row],[DIAS]]*ServInt10[[#This Row],[PESSOAS]]*ServInt10[[#This Row],[HORAS DIA]]</f>
        <v>0</v>
      </c>
      <c r="M55" s="138">
        <f>(IF(ServInt10[[#This Row],[CÓDIGO]]="","",LOOKUP(ServInt10[[#This Row],[CÓDIGO]],BASE!A$4:A$125,BASE!G$4:G$125)))*ServInt10[[#This Row],[HE CALC]]</f>
        <v>0</v>
      </c>
      <c r="N55" s="102">
        <f>ServInt10[[#This Row],[TOTAL HORAS]]*ServInt10[[#This Row],[R$ / HORA]]</f>
        <v>0</v>
      </c>
      <c r="O55" s="139">
        <f>BASE!$W$54</f>
        <v>0.79709863947533133</v>
      </c>
      <c r="P55" s="138">
        <f>ServInt10[[#This Row],[R$ / HORA]]/ServInt10[[#This Row],[MARK-UP]]</f>
        <v>0</v>
      </c>
      <c r="Q55" s="123">
        <f>ServInt10[[#This Row],[TOTAL]]/ServInt10[[#This Row],[MARK-UP]]</f>
        <v>0</v>
      </c>
      <c r="R55" s="123"/>
      <c r="S55" s="123">
        <f>(IF(E55="","",LOOKUP(E55,BASE!A$4:A$125,BASE!E$4:E$125)))*ServInt10[[#This Row],[TOTAL HORAS]]</f>
        <v>0</v>
      </c>
      <c r="T55" s="140">
        <f>IFERROR(ServInt10[[#This Row],[TOTAL3]]*(RESUMO!$F$32/RESUMO!$F$24),0)</f>
        <v>0</v>
      </c>
      <c r="W55" s="115">
        <v>32</v>
      </c>
      <c r="X55" s="115" t="s">
        <v>156</v>
      </c>
      <c r="Y55" s="114"/>
      <c r="Z55" s="132">
        <v>0</v>
      </c>
      <c r="AA55" s="14">
        <f>LOOKUP(Z55,BASE!A$4:A$125,BASE!B$4:B$125)</f>
        <v>0</v>
      </c>
      <c r="AB55" s="117"/>
      <c r="AC55" s="134"/>
      <c r="AD55" s="135">
        <v>8.8000000000000007</v>
      </c>
      <c r="AE55" s="134" t="s">
        <v>155</v>
      </c>
      <c r="AF55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5" s="13">
        <f t="shared" si="3"/>
        <v>0</v>
      </c>
      <c r="AH55" s="141">
        <f>(IF(Z55="","",LOOKUP(Z55,BASE!A$4:A$125,BASE!H$4:H$125)))*ServExt8[[#This Row],[HE CALC]]</f>
        <v>0</v>
      </c>
      <c r="AI55" s="102">
        <f>ServExt8[[#This Row],[TOTAL HORAS]]*ServExt8[[#This Row],[R$ / HORA]]</f>
        <v>0</v>
      </c>
      <c r="AJ55" s="142">
        <f>BASE!$W$54</f>
        <v>0.79709863947533133</v>
      </c>
      <c r="AK55" s="141">
        <f t="shared" si="4"/>
        <v>0</v>
      </c>
      <c r="AL55" s="143">
        <f t="shared" si="5"/>
        <v>0</v>
      </c>
      <c r="AM55" s="144">
        <f>IF(OR(ServExt8[[#This Row],[TIPO H]]="NORMAL",ServExt8[[#This Row],[HORAS DIA]]&gt;=8),ServExt8[[#This Row],[PESSOAS]]*ServExt8[[#This Row],[DIAS]]*2,0)</f>
        <v>0</v>
      </c>
      <c r="AN55" s="144">
        <f>(IF(Z55="","",LOOKUP(Z55,BASE!A$4:A$125,BASE!E$4:E$125)))*ServExt8[[#This Row],[TOTAL HORAS]]</f>
        <v>0</v>
      </c>
      <c r="AO55" s="5">
        <f>IF(ServExt8[[#This Row],[TIPO H]]="NORMAL",ServExt8[[#This Row],[PESSOAS]],0)</f>
        <v>0</v>
      </c>
      <c r="AP55" s="145">
        <f>IFERROR(ServExt8[[#This Row],[TOTAL3]]*(RESUMO!$F$32/RESUMO!$F$24),0)</f>
        <v>0</v>
      </c>
      <c r="AU55" s="244">
        <v>34</v>
      </c>
      <c r="AV55" s="2" t="s">
        <v>188</v>
      </c>
    </row>
    <row r="56" spans="1:48" s="2" customFormat="1" ht="14.5" x14ac:dyDescent="0.25">
      <c r="A56" s="3"/>
      <c r="B56" s="115">
        <v>33</v>
      </c>
      <c r="C56" s="115" t="s">
        <v>156</v>
      </c>
      <c r="D56" s="114" t="s">
        <v>154</v>
      </c>
      <c r="E56" s="132">
        <v>0</v>
      </c>
      <c r="F56" s="133">
        <f>LOOKUP('SERVICOS MONTAGEM'!$E$24:$E$63,BASE!A$4:A$125,BASE!B$4:B$125)</f>
        <v>0</v>
      </c>
      <c r="G56" s="117"/>
      <c r="H56" s="134"/>
      <c r="I56" s="135">
        <v>8.8000000000000007</v>
      </c>
      <c r="J56" s="134" t="s">
        <v>155</v>
      </c>
      <c r="K56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6" s="137">
        <f>ServInt10[[#This Row],[DIAS]]*ServInt10[[#This Row],[PESSOAS]]*ServInt10[[#This Row],[HORAS DIA]]</f>
        <v>0</v>
      </c>
      <c r="M56" s="138">
        <f>(IF(ServInt10[[#This Row],[CÓDIGO]]="","",LOOKUP(ServInt10[[#This Row],[CÓDIGO]],BASE!A$4:A$125,BASE!G$4:G$125)))*ServInt10[[#This Row],[HE CALC]]</f>
        <v>0</v>
      </c>
      <c r="N56" s="102">
        <f>ServInt10[[#This Row],[TOTAL HORAS]]*ServInt10[[#This Row],[R$ / HORA]]</f>
        <v>0</v>
      </c>
      <c r="O56" s="139">
        <f>BASE!$W$54</f>
        <v>0.79709863947533133</v>
      </c>
      <c r="P56" s="138">
        <f>ServInt10[[#This Row],[R$ / HORA]]/ServInt10[[#This Row],[MARK-UP]]</f>
        <v>0</v>
      </c>
      <c r="Q56" s="123">
        <f>ServInt10[[#This Row],[TOTAL]]/ServInt10[[#This Row],[MARK-UP]]</f>
        <v>0</v>
      </c>
      <c r="R56" s="123"/>
      <c r="S56" s="123">
        <f>(IF(E56="","",LOOKUP(E56,BASE!A$4:A$125,BASE!E$4:E$125)))*ServInt10[[#This Row],[TOTAL HORAS]]</f>
        <v>0</v>
      </c>
      <c r="T56" s="140">
        <f>IFERROR(ServInt10[[#This Row],[TOTAL3]]*(RESUMO!$F$32/RESUMO!$F$24),0)</f>
        <v>0</v>
      </c>
      <c r="W56" s="115">
        <v>33</v>
      </c>
      <c r="X56" s="115" t="s">
        <v>156</v>
      </c>
      <c r="Y56" s="114"/>
      <c r="Z56" s="132">
        <v>0</v>
      </c>
      <c r="AA56" s="14">
        <f>LOOKUP(Z56,BASE!A$4:A$125,BASE!B$4:B$125)</f>
        <v>0</v>
      </c>
      <c r="AB56" s="117"/>
      <c r="AC56" s="134"/>
      <c r="AD56" s="135">
        <v>8.8000000000000007</v>
      </c>
      <c r="AE56" s="134" t="s">
        <v>155</v>
      </c>
      <c r="AF56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6" s="13">
        <f t="shared" si="3"/>
        <v>0</v>
      </c>
      <c r="AH56" s="141">
        <f>(IF(Z56="","",LOOKUP(Z56,BASE!A$4:A$125,BASE!H$4:H$125)))*ServExt8[[#This Row],[HE CALC]]</f>
        <v>0</v>
      </c>
      <c r="AI56" s="102">
        <f>ServExt8[[#This Row],[TOTAL HORAS]]*ServExt8[[#This Row],[R$ / HORA]]</f>
        <v>0</v>
      </c>
      <c r="AJ56" s="142">
        <f>BASE!$W$54</f>
        <v>0.79709863947533133</v>
      </c>
      <c r="AK56" s="141">
        <f t="shared" si="4"/>
        <v>0</v>
      </c>
      <c r="AL56" s="143">
        <f t="shared" si="5"/>
        <v>0</v>
      </c>
      <c r="AM56" s="144">
        <f>IF(OR(ServExt8[[#This Row],[TIPO H]]="NORMAL",ServExt8[[#This Row],[HORAS DIA]]&gt;=8),ServExt8[[#This Row],[PESSOAS]]*ServExt8[[#This Row],[DIAS]]*2,0)</f>
        <v>0</v>
      </c>
      <c r="AN56" s="144">
        <f>(IF(Z56="","",LOOKUP(Z56,BASE!A$4:A$125,BASE!E$4:E$125)))*ServExt8[[#This Row],[TOTAL HORAS]]</f>
        <v>0</v>
      </c>
      <c r="AO56" s="5">
        <f>IF(ServExt8[[#This Row],[TIPO H]]="NORMAL",ServExt8[[#This Row],[PESSOAS]],0)</f>
        <v>0</v>
      </c>
      <c r="AP56" s="145">
        <f>IFERROR(ServExt8[[#This Row],[TOTAL3]]*(RESUMO!$F$32/RESUMO!$F$24),0)</f>
        <v>0</v>
      </c>
      <c r="AU56" s="244">
        <v>35</v>
      </c>
      <c r="AV56" s="2" t="s">
        <v>189</v>
      </c>
    </row>
    <row r="57" spans="1:48" s="2" customFormat="1" ht="14.5" x14ac:dyDescent="0.25">
      <c r="A57" s="3"/>
      <c r="B57" s="115">
        <v>34</v>
      </c>
      <c r="C57" s="115" t="s">
        <v>156</v>
      </c>
      <c r="D57" s="114" t="s">
        <v>154</v>
      </c>
      <c r="E57" s="132">
        <v>0</v>
      </c>
      <c r="F57" s="133">
        <f>LOOKUP('SERVICOS MONTAGEM'!$E$24:$E$63,BASE!A$4:A$125,BASE!B$4:B$125)</f>
        <v>0</v>
      </c>
      <c r="G57" s="117"/>
      <c r="H57" s="134"/>
      <c r="I57" s="135">
        <v>8.8000000000000007</v>
      </c>
      <c r="J57" s="134" t="s">
        <v>155</v>
      </c>
      <c r="K57" s="136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7" s="137">
        <f>ServInt10[[#This Row],[DIAS]]*ServInt10[[#This Row],[PESSOAS]]*ServInt10[[#This Row],[HORAS DIA]]</f>
        <v>0</v>
      </c>
      <c r="M57" s="138">
        <f>(IF(ServInt10[[#This Row],[CÓDIGO]]="","",LOOKUP(ServInt10[[#This Row],[CÓDIGO]],BASE!A$4:A$125,BASE!G$4:G$125)))*ServInt10[[#This Row],[HE CALC]]</f>
        <v>0</v>
      </c>
      <c r="N57" s="102">
        <f>ServInt10[[#This Row],[TOTAL HORAS]]*ServInt10[[#This Row],[R$ / HORA]]</f>
        <v>0</v>
      </c>
      <c r="O57" s="139">
        <f>BASE!$W$54</f>
        <v>0.79709863947533133</v>
      </c>
      <c r="P57" s="138">
        <f>ServInt10[[#This Row],[R$ / HORA]]/ServInt10[[#This Row],[MARK-UP]]</f>
        <v>0</v>
      </c>
      <c r="Q57" s="123">
        <f>ServInt10[[#This Row],[TOTAL]]/ServInt10[[#This Row],[MARK-UP]]</f>
        <v>0</v>
      </c>
      <c r="R57" s="123"/>
      <c r="S57" s="123">
        <f>(IF(E57="","",LOOKUP(E57,BASE!A$4:A$125,BASE!E$4:E$125)))*ServInt10[[#This Row],[TOTAL HORAS]]</f>
        <v>0</v>
      </c>
      <c r="T57" s="140">
        <f>IFERROR(ServInt10[[#This Row],[TOTAL3]]*(RESUMO!$F$32/RESUMO!$F$24),0)</f>
        <v>0</v>
      </c>
      <c r="W57" s="115">
        <v>34</v>
      </c>
      <c r="X57" s="115" t="s">
        <v>156</v>
      </c>
      <c r="Y57" s="114"/>
      <c r="Z57" s="132">
        <v>0</v>
      </c>
      <c r="AA57" s="14">
        <f>LOOKUP(Z57,BASE!A$4:A$125,BASE!B$4:B$125)</f>
        <v>0</v>
      </c>
      <c r="AB57" s="117"/>
      <c r="AC57" s="134"/>
      <c r="AD57" s="135">
        <v>8.8000000000000007</v>
      </c>
      <c r="AE57" s="134" t="s">
        <v>155</v>
      </c>
      <c r="AF57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7" s="13">
        <f t="shared" si="3"/>
        <v>0</v>
      </c>
      <c r="AH57" s="141">
        <f>(IF(Z57="","",LOOKUP(Z57,BASE!A$4:A$125,BASE!H$4:H$125)))*ServExt8[[#This Row],[HE CALC]]</f>
        <v>0</v>
      </c>
      <c r="AI57" s="102">
        <f>ServExt8[[#This Row],[TOTAL HORAS]]*ServExt8[[#This Row],[R$ / HORA]]</f>
        <v>0</v>
      </c>
      <c r="AJ57" s="142">
        <f>BASE!$W$54</f>
        <v>0.79709863947533133</v>
      </c>
      <c r="AK57" s="141">
        <f t="shared" si="4"/>
        <v>0</v>
      </c>
      <c r="AL57" s="143">
        <f t="shared" si="5"/>
        <v>0</v>
      </c>
      <c r="AM57" s="144">
        <f>IF(OR(ServExt8[[#This Row],[TIPO H]]="NORMAL",ServExt8[[#This Row],[HORAS DIA]]&gt;=8),ServExt8[[#This Row],[PESSOAS]]*ServExt8[[#This Row],[DIAS]]*2,0)</f>
        <v>0</v>
      </c>
      <c r="AN57" s="144">
        <f>(IF(Z57="","",LOOKUP(Z57,BASE!A$4:A$125,BASE!E$4:E$125)))*ServExt8[[#This Row],[TOTAL HORAS]]</f>
        <v>0</v>
      </c>
      <c r="AO57" s="5">
        <f>IF(ServExt8[[#This Row],[TIPO H]]="NORMAL",ServExt8[[#This Row],[PESSOAS]],0)</f>
        <v>0</v>
      </c>
      <c r="AP57" s="145">
        <f>IFERROR(ServExt8[[#This Row],[TOTAL3]]*(RESUMO!$F$32/RESUMO!$F$24),0)</f>
        <v>0</v>
      </c>
      <c r="AU57" s="244">
        <v>36</v>
      </c>
      <c r="AV57" s="2" t="s">
        <v>190</v>
      </c>
    </row>
    <row r="58" spans="1:48" s="2" customFormat="1" ht="14.5" x14ac:dyDescent="0.25">
      <c r="A58" s="3"/>
      <c r="B58" s="115">
        <v>35</v>
      </c>
      <c r="C58" s="115" t="s">
        <v>156</v>
      </c>
      <c r="D58" s="114" t="s">
        <v>154</v>
      </c>
      <c r="E58" s="132">
        <v>0</v>
      </c>
      <c r="F58" s="133">
        <f>LOOKUP('SERVICOS MONTAGEM'!$E$24:$E$63,BASE!A$4:A$125,BASE!B$4:B$125)</f>
        <v>0</v>
      </c>
      <c r="G58" s="117"/>
      <c r="H58" s="134"/>
      <c r="I58" s="135">
        <v>8.8000000000000007</v>
      </c>
      <c r="J58" s="134" t="s">
        <v>155</v>
      </c>
      <c r="K58" s="118">
        <f>_xlfn.IFS('SERVICOS MONTAGEM'!$J$24:$J$58="EXTRA 150%",((1)*2.5),'SERVICOS MONTAGEM'!$J$24:$J$58="EXTRA 100%",((1)*2),'SERVICOS MONTAGEM'!$J$24:$J$58="EXTRA 75%",((1)*1.75),'SERVICOS MONTAGEM'!$J$24:$J$58="EXTRA 50%",((1)*1.5),'SERVICOS MONTAGEM'!$J$24:$J$58="NORMAL",((1)))</f>
        <v>1</v>
      </c>
      <c r="L58" s="137">
        <f>ServInt10[[#This Row],[DIAS]]*ServInt10[[#This Row],[PESSOAS]]*ServInt10[[#This Row],[HORAS DIA]]</f>
        <v>0</v>
      </c>
      <c r="M58" s="138">
        <f>(IF(ServInt10[[#This Row],[CÓDIGO]]="","",LOOKUP(ServInt10[[#This Row],[CÓDIGO]],BASE!A$4:A$125,BASE!G$4:G$125)))*ServInt10[[#This Row],[HE CALC]]</f>
        <v>0</v>
      </c>
      <c r="N58" s="102">
        <f>ServInt10[[#This Row],[TOTAL HORAS]]*ServInt10[[#This Row],[R$ / HORA]]</f>
        <v>0</v>
      </c>
      <c r="O58" s="139">
        <f>BASE!$W$54</f>
        <v>0.79709863947533133</v>
      </c>
      <c r="P58" s="138">
        <f>ServInt10[[#This Row],[R$ / HORA]]/ServInt10[[#This Row],[MARK-UP]]</f>
        <v>0</v>
      </c>
      <c r="Q58" s="123">
        <f>ServInt10[[#This Row],[TOTAL]]/ServInt10[[#This Row],[MARK-UP]]</f>
        <v>0</v>
      </c>
      <c r="R58" s="123"/>
      <c r="S58" s="123">
        <f>(IF(E58="","",LOOKUP(E58,BASE!A$4:A$125,BASE!E$4:E$125)))*ServInt10[[#This Row],[TOTAL HORAS]]</f>
        <v>0</v>
      </c>
      <c r="T58" s="140">
        <f>IFERROR(ServInt10[[#This Row],[TOTAL3]]*(RESUMO!$F$32/RESUMO!$F$24),0)</f>
        <v>0</v>
      </c>
      <c r="W58" s="115">
        <v>35</v>
      </c>
      <c r="X58" s="115" t="s">
        <v>156</v>
      </c>
      <c r="Y58" s="114"/>
      <c r="Z58" s="132">
        <v>0</v>
      </c>
      <c r="AA58" s="14">
        <f>LOOKUP(Z58,BASE!A$4:A$125,BASE!B$4:B$125)</f>
        <v>0</v>
      </c>
      <c r="AB58" s="117"/>
      <c r="AC58" s="134"/>
      <c r="AD58" s="135">
        <v>8.8000000000000007</v>
      </c>
      <c r="AE58" s="134" t="s">
        <v>155</v>
      </c>
      <c r="AF58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8" s="13">
        <f t="shared" si="3"/>
        <v>0</v>
      </c>
      <c r="AH58" s="141">
        <f>(IF(Z58="","",LOOKUP(Z58,BASE!A$4:A$125,BASE!H$4:H$125)))*ServExt8[[#This Row],[HE CALC]]</f>
        <v>0</v>
      </c>
      <c r="AI58" s="102">
        <f>ServExt8[[#This Row],[TOTAL HORAS]]*ServExt8[[#This Row],[R$ / HORA]]</f>
        <v>0</v>
      </c>
      <c r="AJ58" s="142">
        <f>BASE!$W$54</f>
        <v>0.79709863947533133</v>
      </c>
      <c r="AK58" s="141">
        <f t="shared" si="4"/>
        <v>0</v>
      </c>
      <c r="AL58" s="143">
        <f t="shared" si="5"/>
        <v>0</v>
      </c>
      <c r="AM58" s="144">
        <f>IF(OR(ServExt8[[#This Row],[TIPO H]]="NORMAL",ServExt8[[#This Row],[HORAS DIA]]&gt;=8),ServExt8[[#This Row],[PESSOAS]]*ServExt8[[#This Row],[DIAS]]*2,0)</f>
        <v>0</v>
      </c>
      <c r="AN58" s="144">
        <f>(IF(Z58="","",LOOKUP(Z58,BASE!A$4:A$125,BASE!E$4:E$125)))*ServExt8[[#This Row],[TOTAL HORAS]]</f>
        <v>0</v>
      </c>
      <c r="AO58" s="5">
        <f>IF(ServExt8[[#This Row],[TIPO H]]="NORMAL",ServExt8[[#This Row],[PESSOAS]],0)</f>
        <v>0</v>
      </c>
      <c r="AP58" s="145">
        <f>IFERROR(ServExt8[[#This Row],[TOTAL3]]*(RESUMO!$F$32/RESUMO!$F$24),0)</f>
        <v>0</v>
      </c>
      <c r="AU58" s="244">
        <v>37</v>
      </c>
      <c r="AV58" s="2" t="s">
        <v>191</v>
      </c>
    </row>
    <row r="59" spans="1:48" s="2" customFormat="1" ht="14.5" x14ac:dyDescent="0.25">
      <c r="A59" s="3"/>
      <c r="B59" s="115">
        <v>36</v>
      </c>
      <c r="C59" s="115" t="s">
        <v>156</v>
      </c>
      <c r="D59" s="114" t="s">
        <v>154</v>
      </c>
      <c r="E59" s="132">
        <v>0</v>
      </c>
      <c r="F59" s="133">
        <f>LOOKUP('SERVICOS MONTAGEM'!$E$24:$E$63,BASE!A$4:A$125,BASE!B$4:B$125)</f>
        <v>0</v>
      </c>
      <c r="G59" s="117"/>
      <c r="H59" s="134"/>
      <c r="I59" s="135">
        <v>8.8000000000000007</v>
      </c>
      <c r="J59" s="134" t="s">
        <v>155</v>
      </c>
      <c r="K59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59" s="137">
        <f>ServInt10[[#This Row],[DIAS]]*ServInt10[[#This Row],[PESSOAS]]*ServInt10[[#This Row],[HORAS DIA]]</f>
        <v>0</v>
      </c>
      <c r="M59" s="138">
        <f>(IF(ServInt10[[#This Row],[CÓDIGO]]="","",LOOKUP(ServInt10[[#This Row],[CÓDIGO]],BASE!A$4:A$125,BASE!G$4:G$125)))*ServInt10[[#This Row],[HE CALC]]</f>
        <v>0</v>
      </c>
      <c r="N59" s="102">
        <f>ServInt10[[#This Row],[TOTAL HORAS]]*ServInt10[[#This Row],[R$ / HORA]]</f>
        <v>0</v>
      </c>
      <c r="O59" s="139">
        <f>BASE!$W$54</f>
        <v>0.79709863947533133</v>
      </c>
      <c r="P59" s="138">
        <f>ServInt10[[#This Row],[R$ / HORA]]/ServInt10[[#This Row],[MARK-UP]]</f>
        <v>0</v>
      </c>
      <c r="Q59" s="123">
        <f>ServInt10[[#This Row],[TOTAL]]/ServInt10[[#This Row],[MARK-UP]]</f>
        <v>0</v>
      </c>
      <c r="R59" s="123"/>
      <c r="S59" s="123">
        <f>(IF(E59="","",LOOKUP(E59,BASE!A$4:A$125,BASE!E$4:E$125)))*ServInt10[[#This Row],[TOTAL HORAS]]</f>
        <v>0</v>
      </c>
      <c r="T59" s="140">
        <f>IFERROR(ServInt10[[#This Row],[TOTAL3]]*(RESUMO!$F$32/RESUMO!$F$24),0)</f>
        <v>0</v>
      </c>
      <c r="W59" s="115">
        <v>36</v>
      </c>
      <c r="X59" s="115" t="s">
        <v>156</v>
      </c>
      <c r="Y59" s="114"/>
      <c r="Z59" s="132">
        <v>0</v>
      </c>
      <c r="AA59" s="14">
        <f>LOOKUP(Z59,BASE!A$4:A$125,BASE!B$4:B$125)</f>
        <v>0</v>
      </c>
      <c r="AB59" s="117"/>
      <c r="AC59" s="134"/>
      <c r="AD59" s="135">
        <v>8.8000000000000007</v>
      </c>
      <c r="AE59" s="134" t="s">
        <v>155</v>
      </c>
      <c r="AF59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59" s="13">
        <f t="shared" si="3"/>
        <v>0</v>
      </c>
      <c r="AH59" s="141">
        <f>(IF(Z59="","",LOOKUP(Z59,BASE!A$4:A$125,BASE!H$4:H$125)))*ServExt8[[#This Row],[HE CALC]]</f>
        <v>0</v>
      </c>
      <c r="AI59" s="102">
        <f>ServExt8[[#This Row],[TOTAL HORAS]]*ServExt8[[#This Row],[R$ / HORA]]</f>
        <v>0</v>
      </c>
      <c r="AJ59" s="142">
        <f>BASE!$W$54</f>
        <v>0.79709863947533133</v>
      </c>
      <c r="AK59" s="141">
        <f t="shared" si="4"/>
        <v>0</v>
      </c>
      <c r="AL59" s="143">
        <f t="shared" si="5"/>
        <v>0</v>
      </c>
      <c r="AM59" s="144">
        <f>IF(OR(ServExt8[[#This Row],[TIPO H]]="NORMAL",ServExt8[[#This Row],[HORAS DIA]]&gt;=8),ServExt8[[#This Row],[PESSOAS]]*ServExt8[[#This Row],[DIAS]]*2,0)</f>
        <v>0</v>
      </c>
      <c r="AN59" s="144">
        <f>(IF(Z59="","",LOOKUP(Z59,BASE!A$4:A$125,BASE!E$4:E$125)))*ServExt8[[#This Row],[TOTAL HORAS]]</f>
        <v>0</v>
      </c>
      <c r="AO59" s="5">
        <f>IF(ServExt8[[#This Row],[TIPO H]]="NORMAL",ServExt8[[#This Row],[PESSOAS]],0)</f>
        <v>0</v>
      </c>
      <c r="AP59" s="145">
        <f>IFERROR(ServExt8[[#This Row],[TOTAL3]]*(RESUMO!$F$32/RESUMO!$F$24),0)</f>
        <v>0</v>
      </c>
      <c r="AU59" s="244">
        <v>38</v>
      </c>
      <c r="AV59" s="2" t="s">
        <v>192</v>
      </c>
    </row>
    <row r="60" spans="1:48" s="2" customFormat="1" ht="14.5" x14ac:dyDescent="0.25">
      <c r="A60" s="3"/>
      <c r="B60" s="115">
        <v>37</v>
      </c>
      <c r="C60" s="115" t="s">
        <v>156</v>
      </c>
      <c r="D60" s="114" t="s">
        <v>154</v>
      </c>
      <c r="E60" s="132">
        <v>0</v>
      </c>
      <c r="F60" s="133">
        <f>LOOKUP('SERVICOS MONTAGEM'!$E$24:$E$63,BASE!A$4:A$125,BASE!B$4:B$125)</f>
        <v>0</v>
      </c>
      <c r="G60" s="117"/>
      <c r="H60" s="134"/>
      <c r="I60" s="135">
        <v>8.8000000000000007</v>
      </c>
      <c r="J60" s="134" t="s">
        <v>155</v>
      </c>
      <c r="K60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60" s="137">
        <f>ServInt10[[#This Row],[DIAS]]*ServInt10[[#This Row],[PESSOAS]]*ServInt10[[#This Row],[HORAS DIA]]</f>
        <v>0</v>
      </c>
      <c r="M60" s="138">
        <f>(IF(ServInt10[[#This Row],[CÓDIGO]]="","",LOOKUP(ServInt10[[#This Row],[CÓDIGO]],BASE!A$4:A$125,BASE!G$4:G$125)))*ServInt10[[#This Row],[HE CALC]]</f>
        <v>0</v>
      </c>
      <c r="N60" s="102">
        <f>ServInt10[[#This Row],[TOTAL HORAS]]*ServInt10[[#This Row],[R$ / HORA]]</f>
        <v>0</v>
      </c>
      <c r="O60" s="139">
        <f>BASE!$W$54</f>
        <v>0.79709863947533133</v>
      </c>
      <c r="P60" s="138">
        <f>ServInt10[[#This Row],[R$ / HORA]]/ServInt10[[#This Row],[MARK-UP]]</f>
        <v>0</v>
      </c>
      <c r="Q60" s="123">
        <f>ServInt10[[#This Row],[TOTAL]]/ServInt10[[#This Row],[MARK-UP]]</f>
        <v>0</v>
      </c>
      <c r="R60" s="123"/>
      <c r="S60" s="123">
        <f>(IF(E60="","",LOOKUP(E60,BASE!A$4:A$125,BASE!E$4:E$125)))*ServInt10[[#This Row],[TOTAL HORAS]]</f>
        <v>0</v>
      </c>
      <c r="T60" s="140">
        <f>IFERROR(ServInt10[[#This Row],[TOTAL3]]*(RESUMO!$F$32/RESUMO!$F$24),0)</f>
        <v>0</v>
      </c>
      <c r="W60" s="115">
        <v>37</v>
      </c>
      <c r="X60" s="115" t="s">
        <v>156</v>
      </c>
      <c r="Y60" s="114"/>
      <c r="Z60" s="132">
        <v>0</v>
      </c>
      <c r="AA60" s="14">
        <f>LOOKUP(Z60,BASE!A$4:A$125,BASE!B$4:B$125)</f>
        <v>0</v>
      </c>
      <c r="AB60" s="117"/>
      <c r="AC60" s="134"/>
      <c r="AD60" s="135">
        <v>8.8000000000000007</v>
      </c>
      <c r="AE60" s="134" t="s">
        <v>155</v>
      </c>
      <c r="AF60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0" s="13">
        <f t="shared" si="3"/>
        <v>0</v>
      </c>
      <c r="AH60" s="141">
        <f>(IF(Z60="","",LOOKUP(Z60,BASE!A$4:A$125,BASE!H$4:H$125)))*ServExt8[[#This Row],[HE CALC]]</f>
        <v>0</v>
      </c>
      <c r="AI60" s="102">
        <f>ServExt8[[#This Row],[TOTAL HORAS]]*ServExt8[[#This Row],[R$ / HORA]]</f>
        <v>0</v>
      </c>
      <c r="AJ60" s="142">
        <f>BASE!$W$54</f>
        <v>0.79709863947533133</v>
      </c>
      <c r="AK60" s="141">
        <f t="shared" si="4"/>
        <v>0</v>
      </c>
      <c r="AL60" s="143">
        <f t="shared" si="5"/>
        <v>0</v>
      </c>
      <c r="AM60" s="144">
        <f>IF(OR(ServExt8[[#This Row],[TIPO H]]="NORMAL",ServExt8[[#This Row],[HORAS DIA]]&gt;=8),ServExt8[[#This Row],[PESSOAS]]*ServExt8[[#This Row],[DIAS]]*2,0)</f>
        <v>0</v>
      </c>
      <c r="AN60" s="144">
        <f>(IF(Z60="","",LOOKUP(Z60,BASE!A$4:A$125,BASE!E$4:E$125)))*ServExt8[[#This Row],[TOTAL HORAS]]</f>
        <v>0</v>
      </c>
      <c r="AO60" s="5">
        <f>IF(ServExt8[[#This Row],[TIPO H]]="NORMAL",ServExt8[[#This Row],[PESSOAS]],0)</f>
        <v>0</v>
      </c>
      <c r="AP60" s="145">
        <f>IFERROR(ServExt8[[#This Row],[TOTAL3]]*(RESUMO!$F$32/RESUMO!$F$24),0)</f>
        <v>0</v>
      </c>
      <c r="AU60" s="244">
        <v>39</v>
      </c>
      <c r="AV60" s="2" t="s">
        <v>193</v>
      </c>
    </row>
    <row r="61" spans="1:48" ht="14.5" x14ac:dyDescent="0.25">
      <c r="A61" s="4"/>
      <c r="B61" s="115">
        <v>38</v>
      </c>
      <c r="C61" s="115" t="s">
        <v>156</v>
      </c>
      <c r="D61" s="114" t="s">
        <v>154</v>
      </c>
      <c r="E61" s="132">
        <v>0</v>
      </c>
      <c r="F61" s="133">
        <f>LOOKUP('SERVICOS MONTAGEM'!$E$24:$E$63,BASE!A$4:A$125,BASE!B$4:B$125)</f>
        <v>0</v>
      </c>
      <c r="G61" s="117"/>
      <c r="H61" s="134"/>
      <c r="I61" s="135">
        <v>8.8000000000000007</v>
      </c>
      <c r="J61" s="134" t="s">
        <v>155</v>
      </c>
      <c r="K61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61" s="137">
        <f>ServInt10[[#This Row],[DIAS]]*ServInt10[[#This Row],[PESSOAS]]*ServInt10[[#This Row],[HORAS DIA]]</f>
        <v>0</v>
      </c>
      <c r="M61" s="138">
        <f>(IF(ServInt10[[#This Row],[CÓDIGO]]="","",LOOKUP(ServInt10[[#This Row],[CÓDIGO]],BASE!A$4:A$125,BASE!G$4:G$125)))*ServInt10[[#This Row],[HE CALC]]</f>
        <v>0</v>
      </c>
      <c r="N61" s="102">
        <f>ServInt10[[#This Row],[TOTAL HORAS]]*ServInt10[[#This Row],[R$ / HORA]]</f>
        <v>0</v>
      </c>
      <c r="O61" s="139">
        <f>BASE!$W$54</f>
        <v>0.79709863947533133</v>
      </c>
      <c r="P61" s="138">
        <f>ServInt10[[#This Row],[R$ / HORA]]/ServInt10[[#This Row],[MARK-UP]]</f>
        <v>0</v>
      </c>
      <c r="Q61" s="123">
        <f>ServInt10[[#This Row],[TOTAL]]/ServInt10[[#This Row],[MARK-UP]]</f>
        <v>0</v>
      </c>
      <c r="R61" s="123"/>
      <c r="S61" s="123">
        <f>(IF(E61="","",LOOKUP(E61,BASE!A$4:A$125,BASE!E$4:E$125)))*ServInt10[[#This Row],[TOTAL HORAS]]</f>
        <v>0</v>
      </c>
      <c r="T61" s="140">
        <f>IFERROR(ServInt10[[#This Row],[TOTAL3]]*(RESUMO!$F$32/RESUMO!$F$24),0)</f>
        <v>0</v>
      </c>
      <c r="W61" s="115">
        <v>38</v>
      </c>
      <c r="X61" s="115" t="s">
        <v>156</v>
      </c>
      <c r="Y61" s="114"/>
      <c r="Z61" s="132">
        <v>0</v>
      </c>
      <c r="AA61" s="14">
        <f>LOOKUP(Z61,BASE!A$4:A$125,BASE!B$4:B$125)</f>
        <v>0</v>
      </c>
      <c r="AB61" s="117"/>
      <c r="AC61" s="134"/>
      <c r="AD61" s="135">
        <v>8.8000000000000007</v>
      </c>
      <c r="AE61" s="134" t="s">
        <v>155</v>
      </c>
      <c r="AF61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1" s="13">
        <f t="shared" si="3"/>
        <v>0</v>
      </c>
      <c r="AH61" s="141">
        <f>(IF(Z61="","",LOOKUP(Z61,BASE!A$4:A$125,BASE!H$4:H$125)))*ServExt8[[#This Row],[HE CALC]]</f>
        <v>0</v>
      </c>
      <c r="AI61" s="102">
        <f>ServExt8[[#This Row],[TOTAL HORAS]]*ServExt8[[#This Row],[R$ / HORA]]</f>
        <v>0</v>
      </c>
      <c r="AJ61" s="142">
        <f>BASE!$W$54</f>
        <v>0.79709863947533133</v>
      </c>
      <c r="AK61" s="141">
        <f t="shared" si="4"/>
        <v>0</v>
      </c>
      <c r="AL61" s="143">
        <f t="shared" si="5"/>
        <v>0</v>
      </c>
      <c r="AM61" s="144">
        <f>IF(OR(ServExt8[[#This Row],[TIPO H]]="NORMAL",ServExt8[[#This Row],[HORAS DIA]]&gt;=8),ServExt8[[#This Row],[PESSOAS]]*ServExt8[[#This Row],[DIAS]]*2,0)</f>
        <v>0</v>
      </c>
      <c r="AN61" s="144">
        <f>(IF(Z61="","",LOOKUP(Z61,BASE!A$4:A$125,BASE!E$4:E$125)))*ServExt8[[#This Row],[TOTAL HORAS]]</f>
        <v>0</v>
      </c>
      <c r="AO61" s="5">
        <f>IF(ServExt8[[#This Row],[TIPO H]]="NORMAL",ServExt8[[#This Row],[PESSOAS]],0)</f>
        <v>0</v>
      </c>
      <c r="AP61" s="145">
        <f>IFERROR(ServExt8[[#This Row],[TOTAL3]]*(RESUMO!$F$32/RESUMO!$F$24),0)</f>
        <v>0</v>
      </c>
      <c r="AU61" s="244">
        <v>40</v>
      </c>
      <c r="AV61" s="1" t="s">
        <v>194</v>
      </c>
    </row>
    <row r="62" spans="1:48" ht="14.5" x14ac:dyDescent="0.25">
      <c r="A62" s="4"/>
      <c r="B62" s="115">
        <v>39</v>
      </c>
      <c r="C62" s="115" t="s">
        <v>156</v>
      </c>
      <c r="D62" s="114" t="s">
        <v>154</v>
      </c>
      <c r="E62" s="132">
        <v>0</v>
      </c>
      <c r="F62" s="133">
        <f>LOOKUP('SERVICOS MONTAGEM'!$E$24:$E$63,BASE!A$4:A$125,BASE!B$4:B$125)</f>
        <v>0</v>
      </c>
      <c r="G62" s="117"/>
      <c r="H62" s="134"/>
      <c r="I62" s="135">
        <v>8.8000000000000007</v>
      </c>
      <c r="J62" s="134" t="s">
        <v>155</v>
      </c>
      <c r="K62" s="136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62" s="137">
        <f>ServInt10[[#This Row],[DIAS]]*ServInt10[[#This Row],[PESSOAS]]*ServInt10[[#This Row],[HORAS DIA]]</f>
        <v>0</v>
      </c>
      <c r="M62" s="138">
        <f>(IF(ServInt10[[#This Row],[CÓDIGO]]="","",LOOKUP(ServInt10[[#This Row],[CÓDIGO]],BASE!A$4:A$125,BASE!G$4:G$125)))*ServInt10[[#This Row],[HE CALC]]</f>
        <v>0</v>
      </c>
      <c r="N62" s="102">
        <f>ServInt10[[#This Row],[TOTAL HORAS]]*ServInt10[[#This Row],[R$ / HORA]]</f>
        <v>0</v>
      </c>
      <c r="O62" s="139">
        <f>BASE!$W$54</f>
        <v>0.79709863947533133</v>
      </c>
      <c r="P62" s="138">
        <f>ServInt10[[#This Row],[R$ / HORA]]/ServInt10[[#This Row],[MARK-UP]]</f>
        <v>0</v>
      </c>
      <c r="Q62" s="123">
        <f>ServInt10[[#This Row],[TOTAL]]/ServInt10[[#This Row],[MARK-UP]]</f>
        <v>0</v>
      </c>
      <c r="R62" s="123"/>
      <c r="S62" s="123">
        <f>(IF(E62="","",LOOKUP(E62,BASE!A$4:A$125,BASE!E$4:E$125)))*ServInt10[[#This Row],[TOTAL HORAS]]</f>
        <v>0</v>
      </c>
      <c r="T62" s="140">
        <f>IFERROR(ServInt10[[#This Row],[TOTAL3]]*(RESUMO!$F$32/RESUMO!$F$24),0)</f>
        <v>0</v>
      </c>
      <c r="W62" s="115">
        <v>39</v>
      </c>
      <c r="X62" s="115" t="s">
        <v>156</v>
      </c>
      <c r="Y62" s="114"/>
      <c r="Z62" s="132">
        <v>0</v>
      </c>
      <c r="AA62" s="14">
        <f>LOOKUP(Z62,BASE!A$4:A$125,BASE!B$4:B$125)</f>
        <v>0</v>
      </c>
      <c r="AB62" s="117"/>
      <c r="AC62" s="134"/>
      <c r="AD62" s="135">
        <v>8.8000000000000007</v>
      </c>
      <c r="AE62" s="134" t="s">
        <v>155</v>
      </c>
      <c r="AF62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2" s="13">
        <f t="shared" si="3"/>
        <v>0</v>
      </c>
      <c r="AH62" s="141">
        <f>(IF(Z62="","",LOOKUP(Z62,BASE!A$4:A$125,BASE!H$4:H$125)))*ServExt8[[#This Row],[HE CALC]]</f>
        <v>0</v>
      </c>
      <c r="AI62" s="102">
        <f>ServExt8[[#This Row],[TOTAL HORAS]]*ServExt8[[#This Row],[R$ / HORA]]</f>
        <v>0</v>
      </c>
      <c r="AJ62" s="142">
        <f>BASE!$W$54</f>
        <v>0.79709863947533133</v>
      </c>
      <c r="AK62" s="141">
        <f t="shared" si="4"/>
        <v>0</v>
      </c>
      <c r="AL62" s="143">
        <f t="shared" si="5"/>
        <v>0</v>
      </c>
      <c r="AM62" s="144">
        <f>IF(OR(ServExt8[[#This Row],[TIPO H]]="NORMAL",ServExt8[[#This Row],[HORAS DIA]]&gt;=8),ServExt8[[#This Row],[PESSOAS]]*ServExt8[[#This Row],[DIAS]]*2,0)</f>
        <v>0</v>
      </c>
      <c r="AN62" s="144">
        <f>(IF(Z62="","",LOOKUP(Z62,BASE!A$4:A$125,BASE!E$4:E$125)))*ServExt8[[#This Row],[TOTAL HORAS]]</f>
        <v>0</v>
      </c>
      <c r="AO62" s="5">
        <f>IF(ServExt8[[#This Row],[TIPO H]]="NORMAL",ServExt8[[#This Row],[PESSOAS]],0)</f>
        <v>0</v>
      </c>
      <c r="AP62" s="145">
        <f>IFERROR(ServExt8[[#This Row],[TOTAL3]]*(RESUMO!$F$32/RESUMO!$F$24),0)</f>
        <v>0</v>
      </c>
      <c r="AU62" s="244">
        <v>41</v>
      </c>
      <c r="AV62" s="1" t="s">
        <v>195</v>
      </c>
    </row>
    <row r="63" spans="1:48" ht="14.5" x14ac:dyDescent="0.25">
      <c r="A63" s="4"/>
      <c r="B63" s="115">
        <v>40</v>
      </c>
      <c r="C63" s="115" t="s">
        <v>156</v>
      </c>
      <c r="D63" s="114" t="s">
        <v>154</v>
      </c>
      <c r="E63" s="132">
        <v>0</v>
      </c>
      <c r="F63" s="133">
        <f>LOOKUP('SERVICOS MONTAGEM'!$E$24:$E$63,BASE!A$4:A$125,BASE!B$4:B$125)</f>
        <v>0</v>
      </c>
      <c r="G63" s="117"/>
      <c r="H63" s="134"/>
      <c r="I63" s="135">
        <v>8.8000000000000007</v>
      </c>
      <c r="J63" s="134" t="s">
        <v>155</v>
      </c>
      <c r="K63" s="118">
        <f>_xlfn.IFS('SERVICOS MONTAGEM'!$J$24:$J$63="EXTRA 150%",((1)*2.5),'SERVICOS MONTAGEM'!$J$24:$J$63="EXTRA 100%",((1)*2),'SERVICOS MONTAGEM'!$J$24:$J$63="EXTRA 75%",((1)*1.75),'SERVICOS MONTAGEM'!$J$24:$J$63="EXTRA 50%",((1)*1.5),'SERVICOS MONTAGEM'!$J$24:$J$63="NORMAL",((1)))</f>
        <v>1</v>
      </c>
      <c r="L63" s="137">
        <f>ServInt10[[#This Row],[DIAS]]*ServInt10[[#This Row],[PESSOAS]]*ServInt10[[#This Row],[HORAS DIA]]</f>
        <v>0</v>
      </c>
      <c r="M63" s="138">
        <f>(IF(ServInt10[[#This Row],[CÓDIGO]]="","",LOOKUP(ServInt10[[#This Row],[CÓDIGO]],BASE!A$4:A$125,BASE!G$4:G$125)))*ServInt10[[#This Row],[HE CALC]]</f>
        <v>0</v>
      </c>
      <c r="N63" s="102">
        <f>ServInt10[[#This Row],[TOTAL HORAS]]*ServInt10[[#This Row],[R$ / HORA]]</f>
        <v>0</v>
      </c>
      <c r="O63" s="139">
        <f>BASE!$W$54</f>
        <v>0.79709863947533133</v>
      </c>
      <c r="P63" s="138">
        <f>ServInt10[[#This Row],[R$ / HORA]]/ServInt10[[#This Row],[MARK-UP]]</f>
        <v>0</v>
      </c>
      <c r="Q63" s="123">
        <f>ServInt10[[#This Row],[TOTAL]]/ServInt10[[#This Row],[MARK-UP]]</f>
        <v>0</v>
      </c>
      <c r="R63" s="123"/>
      <c r="S63" s="123">
        <f>(IF(E63="","",LOOKUP(E63,BASE!A$4:A$125,BASE!E$4:E$125)))*ServInt10[[#This Row],[TOTAL HORAS]]</f>
        <v>0</v>
      </c>
      <c r="T63" s="140">
        <f>IFERROR(ServInt10[[#This Row],[TOTAL3]]*(RESUMO!$F$32/RESUMO!$F$24),0)</f>
        <v>0</v>
      </c>
      <c r="W63" s="115">
        <v>40</v>
      </c>
      <c r="X63" s="115" t="s">
        <v>156</v>
      </c>
      <c r="Y63" s="114"/>
      <c r="Z63" s="132">
        <v>0</v>
      </c>
      <c r="AA63" s="14">
        <f>LOOKUP(Z63,BASE!A$4:A$125,BASE!B$4:B$125)</f>
        <v>0</v>
      </c>
      <c r="AB63" s="117"/>
      <c r="AC63" s="134"/>
      <c r="AD63" s="135">
        <v>8.8000000000000007</v>
      </c>
      <c r="AE63" s="134" t="s">
        <v>155</v>
      </c>
      <c r="AF63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3" s="13">
        <f t="shared" si="3"/>
        <v>0</v>
      </c>
      <c r="AH63" s="141">
        <f>(IF(Z63="","",LOOKUP(Z63,BASE!A$4:A$125,BASE!H$4:H$125)))*ServExt8[[#This Row],[HE CALC]]</f>
        <v>0</v>
      </c>
      <c r="AI63" s="102">
        <f>ServExt8[[#This Row],[TOTAL HORAS]]*ServExt8[[#This Row],[R$ / HORA]]</f>
        <v>0</v>
      </c>
      <c r="AJ63" s="142">
        <f>BASE!$W$54</f>
        <v>0.79709863947533133</v>
      </c>
      <c r="AK63" s="141">
        <f t="shared" si="4"/>
        <v>0</v>
      </c>
      <c r="AL63" s="143">
        <f t="shared" si="5"/>
        <v>0</v>
      </c>
      <c r="AM63" s="144">
        <f>IF(OR(ServExt8[[#This Row],[TIPO H]]="NORMAL",ServExt8[[#This Row],[HORAS DIA]]&gt;=8),ServExt8[[#This Row],[PESSOAS]]*ServExt8[[#This Row],[DIAS]]*2,0)</f>
        <v>0</v>
      </c>
      <c r="AN63" s="144">
        <f>(IF(Z63="","",LOOKUP(Z63,BASE!A$4:A$125,BASE!E$4:E$125)))*ServExt8[[#This Row],[TOTAL HORAS]]</f>
        <v>0</v>
      </c>
      <c r="AO63" s="5">
        <f>IF(ServExt8[[#This Row],[TIPO H]]="NORMAL",ServExt8[[#This Row],[PESSOAS]],0)</f>
        <v>0</v>
      </c>
      <c r="AP63" s="145">
        <f>IFERROR(ServExt8[[#This Row],[TOTAL3]]*(RESUMO!$F$32/RESUMO!$F$24),0)</f>
        <v>0</v>
      </c>
      <c r="AU63" s="244">
        <v>42</v>
      </c>
      <c r="AV63" s="1" t="s">
        <v>196</v>
      </c>
    </row>
    <row r="64" spans="1:48" ht="14.5" x14ac:dyDescent="0.35">
      <c r="A64" s="4"/>
      <c r="B64" s="14" t="s">
        <v>197</v>
      </c>
      <c r="C64" s="14"/>
      <c r="D64" s="146"/>
      <c r="E64" s="14"/>
      <c r="F64" s="14"/>
      <c r="G64" s="118">
        <f>SUBTOTAL(109,ServInt10[DIAS])</f>
        <v>0</v>
      </c>
      <c r="H64" s="14"/>
      <c r="I64" s="14"/>
      <c r="J64" s="14"/>
      <c r="K64" s="14"/>
      <c r="L64" s="14"/>
      <c r="M64" s="14"/>
      <c r="N64" s="102">
        <f>SUBTOTAL(109,ServInt10[TOTAL])</f>
        <v>0</v>
      </c>
      <c r="O64" s="14"/>
      <c r="P64" s="14"/>
      <c r="Q64" s="102">
        <f>SUBTOTAL(109,ServInt10[TOTAL3])</f>
        <v>0</v>
      </c>
      <c r="R64" s="14">
        <f>SUBTOTAL(103,ServInt10[TOTAL4])</f>
        <v>0</v>
      </c>
      <c r="S64" s="147">
        <f>SUBTOTAL(109,ServInt10[MULTA])</f>
        <v>0</v>
      </c>
      <c r="T64" s="147">
        <f>SUBTOTAL(109,ServInt10[VENDA COM IMPOSTOS])</f>
        <v>0</v>
      </c>
      <c r="W64" s="115">
        <v>41</v>
      </c>
      <c r="X64" s="115" t="s">
        <v>156</v>
      </c>
      <c r="Y64" s="114"/>
      <c r="Z64" s="132">
        <v>0</v>
      </c>
      <c r="AA64" s="14">
        <f>LOOKUP(Z64,BASE!A$4:A$125,BASE!B$4:B$125)</f>
        <v>0</v>
      </c>
      <c r="AB64" s="117"/>
      <c r="AC64" s="134"/>
      <c r="AD64" s="135">
        <v>8.8000000000000007</v>
      </c>
      <c r="AE64" s="134" t="s">
        <v>155</v>
      </c>
      <c r="AF64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4" s="13">
        <f t="shared" ref="AG64:AG96" si="6">AC64*AB64*AD64</f>
        <v>0</v>
      </c>
      <c r="AH64" s="141">
        <f>(IF(Z64="","",LOOKUP(Z64,BASE!A$4:A$125,BASE!H$4:H$125)))*ServExt8[[#This Row],[HE CALC]]</f>
        <v>0</v>
      </c>
      <c r="AI64" s="102">
        <f>ServExt8[[#This Row],[TOTAL HORAS]]*ServExt8[[#This Row],[R$ / HORA]]</f>
        <v>0</v>
      </c>
      <c r="AJ64" s="142">
        <f>BASE!$W$54</f>
        <v>0.79709863947533133</v>
      </c>
      <c r="AK64" s="141">
        <f t="shared" ref="AK64:AK96" si="7">AH64/AJ64</f>
        <v>0</v>
      </c>
      <c r="AL64" s="143">
        <f t="shared" ref="AL64:AL96" si="8">AI64/AJ64</f>
        <v>0</v>
      </c>
      <c r="AM64" s="144">
        <f>IF(OR(ServExt8[[#This Row],[TIPO H]]="NORMAL",ServExt8[[#This Row],[HORAS DIA]]&gt;=8),ServExt8[[#This Row],[PESSOAS]]*ServExt8[[#This Row],[DIAS]]*2,0)</f>
        <v>0</v>
      </c>
      <c r="AN64" s="144">
        <f>(IF(Z64="","",LOOKUP(Z64,BASE!A$4:A$125,BASE!E$4:E$125)))*ServExt8[[#This Row],[TOTAL HORAS]]</f>
        <v>0</v>
      </c>
      <c r="AO64" s="5">
        <f>IF(ServExt8[[#This Row],[TIPO H]]="NORMAL",ServExt8[[#This Row],[PESSOAS]],0)</f>
        <v>0</v>
      </c>
      <c r="AP64" s="145">
        <f>IFERROR(ServExt8[[#This Row],[TOTAL3]]*(RESUMO!$F$32/RESUMO!$F$24),0)</f>
        <v>0</v>
      </c>
      <c r="AU64" s="244">
        <v>43</v>
      </c>
      <c r="AV64" s="1" t="s">
        <v>199</v>
      </c>
    </row>
    <row r="65" spans="1:48" x14ac:dyDescent="0.25">
      <c r="A65" s="4"/>
      <c r="B65" s="731">
        <v>0</v>
      </c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1"/>
      <c r="P65" s="731"/>
      <c r="Q65" s="731"/>
      <c r="R65" s="11"/>
      <c r="S65" s="11"/>
      <c r="T65" s="2"/>
      <c r="W65" s="115">
        <v>42</v>
      </c>
      <c r="X65" s="115" t="s">
        <v>156</v>
      </c>
      <c r="Y65" s="114"/>
      <c r="Z65" s="132">
        <v>0</v>
      </c>
      <c r="AA65" s="14">
        <f>LOOKUP(Z65,BASE!A$4:A$125,BASE!B$4:B$125)</f>
        <v>0</v>
      </c>
      <c r="AB65" s="117"/>
      <c r="AC65" s="134"/>
      <c r="AD65" s="135">
        <v>8.8000000000000007</v>
      </c>
      <c r="AE65" s="134" t="s">
        <v>155</v>
      </c>
      <c r="AF65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5" s="13">
        <f t="shared" si="6"/>
        <v>0</v>
      </c>
      <c r="AH65" s="141">
        <f>(IF(Z65="","",LOOKUP(Z65,BASE!A$4:A$125,BASE!H$4:H$125)))*ServExt8[[#This Row],[HE CALC]]</f>
        <v>0</v>
      </c>
      <c r="AI65" s="102">
        <f>ServExt8[[#This Row],[TOTAL HORAS]]*ServExt8[[#This Row],[R$ / HORA]]</f>
        <v>0</v>
      </c>
      <c r="AJ65" s="142">
        <f>BASE!$W$54</f>
        <v>0.79709863947533133</v>
      </c>
      <c r="AK65" s="141">
        <f t="shared" si="7"/>
        <v>0</v>
      </c>
      <c r="AL65" s="143">
        <f t="shared" si="8"/>
        <v>0</v>
      </c>
      <c r="AM65" s="144">
        <f>IF(OR(ServExt8[[#This Row],[TIPO H]]="NORMAL",ServExt8[[#This Row],[HORAS DIA]]&gt;=8),ServExt8[[#This Row],[PESSOAS]]*ServExt8[[#This Row],[DIAS]]*2,0)</f>
        <v>0</v>
      </c>
      <c r="AN65" s="144">
        <f>(IF(Z65="","",LOOKUP(Z65,BASE!A$4:A$125,BASE!E$4:E$125)))*ServExt8[[#This Row],[TOTAL HORAS]]</f>
        <v>0</v>
      </c>
      <c r="AO65" s="5">
        <f>IF(ServExt8[[#This Row],[TIPO H]]="NORMAL",ServExt8[[#This Row],[PESSOAS]],0)</f>
        <v>0</v>
      </c>
      <c r="AP65" s="145">
        <f>IFERROR(ServExt8[[#This Row],[TOTAL3]]*(RESUMO!$F$32/RESUMO!$F$24),0)</f>
        <v>0</v>
      </c>
      <c r="AU65" s="244">
        <v>44</v>
      </c>
      <c r="AV65" s="1" t="s">
        <v>200</v>
      </c>
    </row>
    <row r="66" spans="1:48" x14ac:dyDescent="0.25">
      <c r="B66" s="731">
        <v>0</v>
      </c>
      <c r="C66" s="731"/>
      <c r="D66" s="731"/>
      <c r="E66" s="731"/>
      <c r="F66" s="731"/>
      <c r="G66" s="731"/>
      <c r="H66" s="731"/>
      <c r="I66" s="731"/>
      <c r="J66" s="731"/>
      <c r="K66" s="731"/>
      <c r="L66" s="731"/>
      <c r="M66" s="731"/>
      <c r="N66" s="731"/>
      <c r="O66" s="731"/>
      <c r="P66" s="731"/>
      <c r="Q66" s="731"/>
      <c r="R66" s="11"/>
      <c r="S66" s="11"/>
      <c r="W66" s="115">
        <v>43</v>
      </c>
      <c r="X66" s="115" t="s">
        <v>156</v>
      </c>
      <c r="Y66" s="114"/>
      <c r="Z66" s="132">
        <v>0</v>
      </c>
      <c r="AA66" s="14">
        <f>LOOKUP(Z66,BASE!A$4:A$125,BASE!B$4:B$125)</f>
        <v>0</v>
      </c>
      <c r="AB66" s="117"/>
      <c r="AC66" s="134"/>
      <c r="AD66" s="135">
        <v>8.8000000000000007</v>
      </c>
      <c r="AE66" s="134" t="s">
        <v>155</v>
      </c>
      <c r="AF66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6" s="13">
        <f t="shared" si="6"/>
        <v>0</v>
      </c>
      <c r="AH66" s="141">
        <f>(IF(Z66="","",LOOKUP(Z66,BASE!A$4:A$125,BASE!H$4:H$125)))*ServExt8[[#This Row],[HE CALC]]</f>
        <v>0</v>
      </c>
      <c r="AI66" s="102">
        <f>ServExt8[[#This Row],[TOTAL HORAS]]*ServExt8[[#This Row],[R$ / HORA]]</f>
        <v>0</v>
      </c>
      <c r="AJ66" s="142">
        <f>BASE!$W$54</f>
        <v>0.79709863947533133</v>
      </c>
      <c r="AK66" s="141">
        <f t="shared" si="7"/>
        <v>0</v>
      </c>
      <c r="AL66" s="143">
        <f t="shared" si="8"/>
        <v>0</v>
      </c>
      <c r="AM66" s="144">
        <f>IF(OR(ServExt8[[#This Row],[TIPO H]]="NORMAL",ServExt8[[#This Row],[HORAS DIA]]&gt;=8),ServExt8[[#This Row],[PESSOAS]]*ServExt8[[#This Row],[DIAS]]*2,0)</f>
        <v>0</v>
      </c>
      <c r="AN66" s="144">
        <f>(IF(Z66="","",LOOKUP(Z66,BASE!A$4:A$125,BASE!E$4:E$125)))*ServExt8[[#This Row],[TOTAL HORAS]]</f>
        <v>0</v>
      </c>
      <c r="AO66" s="5">
        <f>IF(ServExt8[[#This Row],[TIPO H]]="NORMAL",ServExt8[[#This Row],[PESSOAS]],0)</f>
        <v>0</v>
      </c>
      <c r="AP66" s="145">
        <f>IFERROR(ServExt8[[#This Row],[TOTAL3]]*(RESUMO!$F$32/RESUMO!$F$24),0)</f>
        <v>0</v>
      </c>
      <c r="AU66" s="244">
        <v>45</v>
      </c>
      <c r="AV66" s="1" t="s">
        <v>201</v>
      </c>
    </row>
    <row r="67" spans="1:48" x14ac:dyDescent="0.25">
      <c r="B67" s="14"/>
      <c r="C67" s="14"/>
      <c r="D67" s="114"/>
      <c r="E67" s="115"/>
      <c r="F67" s="14"/>
      <c r="G67" s="114"/>
      <c r="H67" s="115"/>
      <c r="I67" s="14"/>
      <c r="J67" s="114"/>
      <c r="K67" s="115"/>
      <c r="L67" s="14"/>
      <c r="M67" s="114"/>
      <c r="N67" s="115"/>
      <c r="O67" s="14"/>
      <c r="P67" s="114"/>
      <c r="Q67" s="11"/>
      <c r="R67" s="11"/>
      <c r="S67" s="11"/>
      <c r="W67" s="115">
        <v>44</v>
      </c>
      <c r="X67" s="115" t="s">
        <v>156</v>
      </c>
      <c r="Y67" s="114"/>
      <c r="Z67" s="132">
        <v>0</v>
      </c>
      <c r="AA67" s="14">
        <f>LOOKUP(Z67,BASE!A$4:A$125,BASE!B$4:B$125)</f>
        <v>0</v>
      </c>
      <c r="AB67" s="117"/>
      <c r="AC67" s="134"/>
      <c r="AD67" s="135">
        <v>8.8000000000000007</v>
      </c>
      <c r="AE67" s="134" t="s">
        <v>155</v>
      </c>
      <c r="AF67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7" s="13">
        <f t="shared" si="6"/>
        <v>0</v>
      </c>
      <c r="AH67" s="141">
        <f>(IF(Z67="","",LOOKUP(Z67,BASE!A$4:A$125,BASE!H$4:H$125)))*ServExt8[[#This Row],[HE CALC]]</f>
        <v>0</v>
      </c>
      <c r="AI67" s="102">
        <f>ServExt8[[#This Row],[TOTAL HORAS]]*ServExt8[[#This Row],[R$ / HORA]]</f>
        <v>0</v>
      </c>
      <c r="AJ67" s="142">
        <f>BASE!$W$54</f>
        <v>0.79709863947533133</v>
      </c>
      <c r="AK67" s="141">
        <f t="shared" si="7"/>
        <v>0</v>
      </c>
      <c r="AL67" s="143">
        <f t="shared" si="8"/>
        <v>0</v>
      </c>
      <c r="AM67" s="144">
        <f>IF(OR(ServExt8[[#This Row],[TIPO H]]="NORMAL",ServExt8[[#This Row],[HORAS DIA]]&gt;=8),ServExt8[[#This Row],[PESSOAS]]*ServExt8[[#This Row],[DIAS]]*2,0)</f>
        <v>0</v>
      </c>
      <c r="AN67" s="144">
        <f>(IF(Z67="","",LOOKUP(Z67,BASE!A$4:A$125,BASE!E$4:E$125)))*ServExt8[[#This Row],[TOTAL HORAS]]</f>
        <v>0</v>
      </c>
      <c r="AO67" s="5">
        <f>IF(ServExt8[[#This Row],[TIPO H]]="NORMAL",ServExt8[[#This Row],[PESSOAS]],0)</f>
        <v>0</v>
      </c>
      <c r="AP67" s="145">
        <f>IFERROR(ServExt8[[#This Row],[TOTAL3]]*(RESUMO!$F$32/RESUMO!$F$24),0)</f>
        <v>0</v>
      </c>
      <c r="AU67" s="244">
        <v>46</v>
      </c>
      <c r="AV67" s="1" t="s">
        <v>202</v>
      </c>
    </row>
    <row r="68" spans="1:48" x14ac:dyDescent="0.25">
      <c r="B68" s="14"/>
      <c r="C68" s="14"/>
      <c r="D68" s="114"/>
      <c r="E68" s="115"/>
      <c r="F68" s="14"/>
      <c r="G68" s="114"/>
      <c r="H68" s="115"/>
      <c r="I68" s="14"/>
      <c r="J68" s="114"/>
      <c r="K68" s="115"/>
      <c r="L68" s="14"/>
      <c r="M68" s="114"/>
      <c r="N68" s="115"/>
      <c r="O68" s="14"/>
      <c r="P68" s="114"/>
      <c r="Q68" s="150"/>
      <c r="R68" s="150"/>
      <c r="S68" s="151"/>
      <c r="T68" s="152"/>
      <c r="U68" s="152"/>
      <c r="V68" s="152"/>
      <c r="W68" s="115">
        <v>45</v>
      </c>
      <c r="X68" s="115" t="s">
        <v>156</v>
      </c>
      <c r="Y68" s="114"/>
      <c r="Z68" s="132">
        <v>0</v>
      </c>
      <c r="AA68" s="14">
        <f>LOOKUP(Z68,BASE!A$4:A$125,BASE!B$4:B$125)</f>
        <v>0</v>
      </c>
      <c r="AB68" s="117"/>
      <c r="AC68" s="134"/>
      <c r="AD68" s="135">
        <v>8.8000000000000007</v>
      </c>
      <c r="AE68" s="134" t="s">
        <v>155</v>
      </c>
      <c r="AF68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8" s="13">
        <f t="shared" si="6"/>
        <v>0</v>
      </c>
      <c r="AH68" s="141">
        <f>(IF(Z68="","",LOOKUP(Z68,BASE!A$4:A$125,BASE!H$4:H$125)))*ServExt8[[#This Row],[HE CALC]]</f>
        <v>0</v>
      </c>
      <c r="AI68" s="102">
        <f>ServExt8[[#This Row],[TOTAL HORAS]]*ServExt8[[#This Row],[R$ / HORA]]</f>
        <v>0</v>
      </c>
      <c r="AJ68" s="142">
        <f>BASE!$W$54</f>
        <v>0.79709863947533133</v>
      </c>
      <c r="AK68" s="141">
        <f t="shared" si="7"/>
        <v>0</v>
      </c>
      <c r="AL68" s="143">
        <f t="shared" si="8"/>
        <v>0</v>
      </c>
      <c r="AM68" s="144">
        <f>IF(OR(ServExt8[[#This Row],[TIPO H]]="NORMAL",ServExt8[[#This Row],[HORAS DIA]]&gt;=8),ServExt8[[#This Row],[PESSOAS]]*ServExt8[[#This Row],[DIAS]]*2,0)</f>
        <v>0</v>
      </c>
      <c r="AN68" s="144">
        <f>(IF(Z68="","",LOOKUP(Z68,BASE!A$4:A$125,BASE!E$4:E$125)))*ServExt8[[#This Row],[TOTAL HORAS]]</f>
        <v>0</v>
      </c>
      <c r="AO68" s="5">
        <f>IF(ServExt8[[#This Row],[TIPO H]]="NORMAL",ServExt8[[#This Row],[PESSOAS]],0)</f>
        <v>0</v>
      </c>
      <c r="AP68" s="145">
        <f>IFERROR(ServExt8[[#This Row],[TOTAL3]]*(RESUMO!$F$32/RESUMO!$F$24),0)</f>
        <v>0</v>
      </c>
      <c r="AU68" s="244">
        <v>47</v>
      </c>
      <c r="AV68" s="1" t="s">
        <v>203</v>
      </c>
    </row>
    <row r="69" spans="1:48" x14ac:dyDescent="0.25">
      <c r="B69" s="11"/>
      <c r="C69" s="11"/>
      <c r="D69" s="1"/>
      <c r="E69" s="1"/>
      <c r="F69" s="1"/>
      <c r="G69" s="1"/>
      <c r="H69" s="1"/>
      <c r="I69" s="1"/>
      <c r="J69" s="1"/>
      <c r="K69" s="1"/>
      <c r="L69" s="1"/>
      <c r="M69" s="175"/>
      <c r="N69" s="175"/>
      <c r="O69" s="97"/>
      <c r="P69" s="151"/>
      <c r="Q69" s="151"/>
      <c r="R69" s="150"/>
      <c r="S69" s="151"/>
      <c r="T69" s="152"/>
      <c r="U69" s="152"/>
      <c r="V69" s="152"/>
      <c r="W69" s="115">
        <v>46</v>
      </c>
      <c r="X69" s="115" t="s">
        <v>156</v>
      </c>
      <c r="Y69" s="114"/>
      <c r="Z69" s="132">
        <v>0</v>
      </c>
      <c r="AA69" s="14">
        <f>LOOKUP(Z69,BASE!A$4:A$125,BASE!B$4:B$125)</f>
        <v>0</v>
      </c>
      <c r="AB69" s="117"/>
      <c r="AC69" s="134"/>
      <c r="AD69" s="135">
        <v>8.8000000000000007</v>
      </c>
      <c r="AE69" s="134" t="s">
        <v>155</v>
      </c>
      <c r="AF69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69" s="13">
        <f t="shared" si="6"/>
        <v>0</v>
      </c>
      <c r="AH69" s="141">
        <f>(IF(Z69="","",LOOKUP(Z69,BASE!A$4:A$125,BASE!H$4:H$125)))*ServExt8[[#This Row],[HE CALC]]</f>
        <v>0</v>
      </c>
      <c r="AI69" s="102">
        <f>ServExt8[[#This Row],[TOTAL HORAS]]*ServExt8[[#This Row],[R$ / HORA]]</f>
        <v>0</v>
      </c>
      <c r="AJ69" s="142">
        <f>BASE!$W$54</f>
        <v>0.79709863947533133</v>
      </c>
      <c r="AK69" s="141">
        <f t="shared" si="7"/>
        <v>0</v>
      </c>
      <c r="AL69" s="143">
        <f t="shared" si="8"/>
        <v>0</v>
      </c>
      <c r="AM69" s="144">
        <f>IF(OR(ServExt8[[#This Row],[TIPO H]]="NORMAL",ServExt8[[#This Row],[HORAS DIA]]&gt;=8),ServExt8[[#This Row],[PESSOAS]]*ServExt8[[#This Row],[DIAS]]*2,0)</f>
        <v>0</v>
      </c>
      <c r="AN69" s="144">
        <f>(IF(Z69="","",LOOKUP(Z69,BASE!A$4:A$125,BASE!E$4:E$125)))*ServExt8[[#This Row],[TOTAL HORAS]]</f>
        <v>0</v>
      </c>
      <c r="AO69" s="5">
        <f>IF(ServExt8[[#This Row],[TIPO H]]="NORMAL",ServExt8[[#This Row],[PESSOAS]],0)</f>
        <v>0</v>
      </c>
      <c r="AP69" s="145">
        <f>IFERROR(ServExt8[[#This Row],[TOTAL3]]*(RESUMO!$F$32/RESUMO!$F$24),0)</f>
        <v>0</v>
      </c>
      <c r="AU69" s="244">
        <v>48</v>
      </c>
      <c r="AV69" s="1" t="s">
        <v>204</v>
      </c>
    </row>
    <row r="70" spans="1:48" x14ac:dyDescent="0.25">
      <c r="B70" s="11"/>
      <c r="C70" s="11"/>
      <c r="D70" s="1"/>
      <c r="E70" s="1"/>
      <c r="F70" s="1"/>
      <c r="G70" s="1"/>
      <c r="H70" s="1"/>
      <c r="I70" s="1"/>
      <c r="J70" s="1"/>
      <c r="K70" s="1"/>
      <c r="L70" s="1"/>
      <c r="M70" s="159"/>
      <c r="N70" s="160"/>
      <c r="O70" s="127" t="s">
        <v>112</v>
      </c>
      <c r="P70" s="151"/>
      <c r="Q70" s="151"/>
      <c r="R70" s="150"/>
      <c r="S70" s="150"/>
      <c r="T70" s="152"/>
      <c r="U70" s="152"/>
      <c r="V70" s="152"/>
      <c r="W70" s="115">
        <v>47</v>
      </c>
      <c r="X70" s="115" t="s">
        <v>156</v>
      </c>
      <c r="Y70" s="114"/>
      <c r="Z70" s="132">
        <v>0</v>
      </c>
      <c r="AA70" s="14">
        <f>LOOKUP(Z70,BASE!A$4:A$125,BASE!B$4:B$125)</f>
        <v>0</v>
      </c>
      <c r="AB70" s="117"/>
      <c r="AC70" s="134"/>
      <c r="AD70" s="135">
        <v>8.8000000000000007</v>
      </c>
      <c r="AE70" s="134" t="s">
        <v>155</v>
      </c>
      <c r="AF70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0" s="13">
        <f t="shared" si="6"/>
        <v>0</v>
      </c>
      <c r="AH70" s="141">
        <f>(IF(Z70="","",LOOKUP(Z70,BASE!A$4:A$125,BASE!H$4:H$125)))*ServExt8[[#This Row],[HE CALC]]</f>
        <v>0</v>
      </c>
      <c r="AI70" s="102">
        <f>ServExt8[[#This Row],[TOTAL HORAS]]*ServExt8[[#This Row],[R$ / HORA]]</f>
        <v>0</v>
      </c>
      <c r="AJ70" s="142">
        <f>BASE!$W$54</f>
        <v>0.79709863947533133</v>
      </c>
      <c r="AK70" s="141">
        <f t="shared" si="7"/>
        <v>0</v>
      </c>
      <c r="AL70" s="143">
        <f t="shared" si="8"/>
        <v>0</v>
      </c>
      <c r="AM70" s="144">
        <f>IF(OR(ServExt8[[#This Row],[TIPO H]]="NORMAL",ServExt8[[#This Row],[HORAS DIA]]&gt;=8),ServExt8[[#This Row],[PESSOAS]]*ServExt8[[#This Row],[DIAS]]*2,0)</f>
        <v>0</v>
      </c>
      <c r="AN70" s="144">
        <f>(IF(Z70="","",LOOKUP(Z70,BASE!A$4:A$125,BASE!E$4:E$125)))*ServExt8[[#This Row],[TOTAL HORAS]]</f>
        <v>0</v>
      </c>
      <c r="AO70" s="5">
        <f>IF(ServExt8[[#This Row],[TIPO H]]="NORMAL",ServExt8[[#This Row],[PESSOAS]],0)</f>
        <v>0</v>
      </c>
      <c r="AP70" s="145">
        <f>IFERROR(ServExt8[[#This Row],[TOTAL3]]*(RESUMO!$F$32/RESUMO!$F$24),0)</f>
        <v>0</v>
      </c>
      <c r="AU70" s="244">
        <v>49</v>
      </c>
      <c r="AV70" s="1" t="s">
        <v>205</v>
      </c>
    </row>
    <row r="71" spans="1:48" x14ac:dyDescent="0.25">
      <c r="B71" s="11"/>
      <c r="C71" s="11"/>
      <c r="D71" s="1"/>
      <c r="E71" s="1"/>
      <c r="F71" s="1"/>
      <c r="G71" s="1"/>
      <c r="H71" s="1"/>
      <c r="I71" s="1"/>
      <c r="J71" s="1"/>
      <c r="K71" s="1"/>
      <c r="L71" s="1"/>
      <c r="M71" s="154"/>
      <c r="N71" s="18"/>
      <c r="O71" s="148">
        <f>BASE!$W$54</f>
        <v>0.79709863947533133</v>
      </c>
      <c r="P71" s="150"/>
      <c r="Q71" s="150"/>
      <c r="R71" s="150"/>
      <c r="S71" s="150"/>
      <c r="T71" s="152"/>
      <c r="U71" s="152"/>
      <c r="V71" s="152"/>
      <c r="W71" s="115">
        <v>48</v>
      </c>
      <c r="X71" s="115" t="s">
        <v>156</v>
      </c>
      <c r="Y71" s="114"/>
      <c r="Z71" s="132">
        <v>0</v>
      </c>
      <c r="AA71" s="14">
        <f>LOOKUP(Z71,BASE!A$4:A$125,BASE!B$4:B$125)</f>
        <v>0</v>
      </c>
      <c r="AB71" s="117"/>
      <c r="AC71" s="134"/>
      <c r="AD71" s="135">
        <v>8.8000000000000007</v>
      </c>
      <c r="AE71" s="134" t="s">
        <v>155</v>
      </c>
      <c r="AF71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1" s="13">
        <f t="shared" si="6"/>
        <v>0</v>
      </c>
      <c r="AH71" s="141">
        <f>(IF(Z71="","",LOOKUP(Z71,BASE!A$4:A$125,BASE!H$4:H$125)))*ServExt8[[#This Row],[HE CALC]]</f>
        <v>0</v>
      </c>
      <c r="AI71" s="102">
        <f>ServExt8[[#This Row],[TOTAL HORAS]]*ServExt8[[#This Row],[R$ / HORA]]</f>
        <v>0</v>
      </c>
      <c r="AJ71" s="142">
        <f>BASE!$W$54</f>
        <v>0.79709863947533133</v>
      </c>
      <c r="AK71" s="141">
        <f t="shared" si="7"/>
        <v>0</v>
      </c>
      <c r="AL71" s="143">
        <f t="shared" si="8"/>
        <v>0</v>
      </c>
      <c r="AM71" s="144">
        <f>IF(OR(ServExt8[[#This Row],[TIPO H]]="NORMAL",ServExt8[[#This Row],[HORAS DIA]]&gt;=8),ServExt8[[#This Row],[PESSOAS]]*ServExt8[[#This Row],[DIAS]]*2,0)</f>
        <v>0</v>
      </c>
      <c r="AN71" s="144">
        <f>(IF(Z71="","",LOOKUP(Z71,BASE!A$4:A$125,BASE!E$4:E$125)))*ServExt8[[#This Row],[TOTAL HORAS]]</f>
        <v>0</v>
      </c>
      <c r="AO71" s="5">
        <f>IF(ServExt8[[#This Row],[TIPO H]]="NORMAL",ServExt8[[#This Row],[PESSOAS]],0)</f>
        <v>0</v>
      </c>
      <c r="AP71" s="145">
        <f>IFERROR(ServExt8[[#This Row],[TOTAL3]]*(RESUMO!$F$32/RESUMO!$F$24),0)</f>
        <v>0</v>
      </c>
      <c r="AU71" s="244">
        <v>50</v>
      </c>
      <c r="AV71" s="1" t="s">
        <v>206</v>
      </c>
    </row>
    <row r="72" spans="1:48" x14ac:dyDescent="0.25">
      <c r="B72" s="14"/>
      <c r="C72" s="14"/>
      <c r="D72" s="1"/>
      <c r="E72" s="1"/>
      <c r="F72" s="1"/>
      <c r="G72" s="1"/>
      <c r="H72" s="1"/>
      <c r="I72" s="1"/>
      <c r="J72" s="1"/>
      <c r="K72" s="1"/>
      <c r="L72" s="1"/>
      <c r="M72" s="154"/>
      <c r="N72" s="17"/>
      <c r="O72" s="14"/>
      <c r="P72" s="150"/>
      <c r="Q72" s="150"/>
      <c r="R72" s="150"/>
      <c r="S72" s="150"/>
      <c r="T72" s="152"/>
      <c r="U72" s="152"/>
      <c r="V72" s="152"/>
      <c r="W72" s="115">
        <v>49</v>
      </c>
      <c r="X72" s="115" t="s">
        <v>156</v>
      </c>
      <c r="Y72" s="114"/>
      <c r="Z72" s="132">
        <v>0</v>
      </c>
      <c r="AA72" s="14">
        <f>LOOKUP(Z72,BASE!A$4:A$125,BASE!B$4:B$125)</f>
        <v>0</v>
      </c>
      <c r="AB72" s="117"/>
      <c r="AC72" s="134"/>
      <c r="AD72" s="135">
        <v>8.8000000000000007</v>
      </c>
      <c r="AE72" s="134" t="s">
        <v>155</v>
      </c>
      <c r="AF72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2" s="13">
        <f t="shared" si="6"/>
        <v>0</v>
      </c>
      <c r="AH72" s="141">
        <f>(IF(Z72="","",LOOKUP(Z72,BASE!A$4:A$125,BASE!H$4:H$125)))*ServExt8[[#This Row],[HE CALC]]</f>
        <v>0</v>
      </c>
      <c r="AI72" s="102">
        <f>ServExt8[[#This Row],[TOTAL HORAS]]*ServExt8[[#This Row],[R$ / HORA]]</f>
        <v>0</v>
      </c>
      <c r="AJ72" s="142">
        <f>BASE!$W$54</f>
        <v>0.79709863947533133</v>
      </c>
      <c r="AK72" s="141">
        <f t="shared" si="7"/>
        <v>0</v>
      </c>
      <c r="AL72" s="143">
        <f t="shared" si="8"/>
        <v>0</v>
      </c>
      <c r="AM72" s="144">
        <f>IF(OR(ServExt8[[#This Row],[TIPO H]]="NORMAL",ServExt8[[#This Row],[HORAS DIA]]&gt;=8),ServExt8[[#This Row],[PESSOAS]]*ServExt8[[#This Row],[DIAS]]*2,0)</f>
        <v>0</v>
      </c>
      <c r="AN72" s="144">
        <f>(IF(Z72="","",LOOKUP(Z72,BASE!A$4:A$125,BASE!E$4:E$125)))*ServExt8[[#This Row],[TOTAL HORAS]]</f>
        <v>0</v>
      </c>
      <c r="AO72" s="5">
        <f>IF(ServExt8[[#This Row],[TIPO H]]="NORMAL",ServExt8[[#This Row],[PESSOAS]],0)</f>
        <v>0</v>
      </c>
      <c r="AP72" s="145">
        <f>IFERROR(ServExt8[[#This Row],[TOTAL3]]*(RESUMO!$F$32/RESUMO!$F$24),0)</f>
        <v>0</v>
      </c>
      <c r="AU72" s="244">
        <v>51</v>
      </c>
      <c r="AV72" s="1" t="s">
        <v>207</v>
      </c>
    </row>
    <row r="73" spans="1:48" x14ac:dyDescent="0.25">
      <c r="B73" s="11"/>
      <c r="C73" s="11"/>
      <c r="D73" s="1"/>
      <c r="E73" s="1"/>
      <c r="F73" s="1"/>
      <c r="G73" s="1"/>
      <c r="H73" s="1"/>
      <c r="I73" s="1"/>
      <c r="J73" s="1"/>
      <c r="K73" s="1"/>
      <c r="L73" s="1"/>
      <c r="M73" s="175"/>
      <c r="N73" s="175"/>
      <c r="O73" s="14"/>
      <c r="P73" s="150"/>
      <c r="Q73" s="150"/>
      <c r="R73" s="150"/>
      <c r="S73" s="150"/>
      <c r="T73" s="152"/>
      <c r="U73" s="152"/>
      <c r="V73" s="152"/>
      <c r="W73" s="115">
        <v>50</v>
      </c>
      <c r="X73" s="115" t="s">
        <v>156</v>
      </c>
      <c r="Y73" s="114"/>
      <c r="Z73" s="132">
        <v>0</v>
      </c>
      <c r="AA73" s="14">
        <f>LOOKUP(Z73,BASE!A$4:A$125,BASE!B$4:B$125)</f>
        <v>0</v>
      </c>
      <c r="AB73" s="117"/>
      <c r="AC73" s="134"/>
      <c r="AD73" s="135">
        <v>8.8000000000000007</v>
      </c>
      <c r="AE73" s="134" t="s">
        <v>155</v>
      </c>
      <c r="AF73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3" s="13">
        <f t="shared" si="6"/>
        <v>0</v>
      </c>
      <c r="AH73" s="141">
        <f>(IF(Z73="","",LOOKUP(Z73,BASE!A$4:A$125,BASE!H$4:H$125)))*ServExt8[[#This Row],[HE CALC]]</f>
        <v>0</v>
      </c>
      <c r="AI73" s="102">
        <f>ServExt8[[#This Row],[TOTAL HORAS]]*ServExt8[[#This Row],[R$ / HORA]]</f>
        <v>0</v>
      </c>
      <c r="AJ73" s="142">
        <f>BASE!$W$54</f>
        <v>0.79709863947533133</v>
      </c>
      <c r="AK73" s="141">
        <f t="shared" si="7"/>
        <v>0</v>
      </c>
      <c r="AL73" s="143">
        <f t="shared" si="8"/>
        <v>0</v>
      </c>
      <c r="AM73" s="144">
        <f>IF(OR(ServExt8[[#This Row],[TIPO H]]="NORMAL",ServExt8[[#This Row],[HORAS DIA]]&gt;=8),ServExt8[[#This Row],[PESSOAS]]*ServExt8[[#This Row],[DIAS]]*2,0)</f>
        <v>0</v>
      </c>
      <c r="AN73" s="144">
        <f>(IF(Z73="","",LOOKUP(Z73,BASE!A$4:A$125,BASE!E$4:E$125)))*ServExt8[[#This Row],[TOTAL HORAS]]</f>
        <v>0</v>
      </c>
      <c r="AO73" s="5">
        <f>IF(ServExt8[[#This Row],[TIPO H]]="NORMAL",ServExt8[[#This Row],[PESSOAS]],0)</f>
        <v>0</v>
      </c>
      <c r="AP73" s="145">
        <f>IFERROR(ServExt8[[#This Row],[TOTAL3]]*(RESUMO!$F$32/RESUMO!$F$24),0)</f>
        <v>0</v>
      </c>
      <c r="AU73" s="244">
        <v>52</v>
      </c>
      <c r="AV73" s="1" t="s">
        <v>208</v>
      </c>
    </row>
    <row r="74" spans="1:48" x14ac:dyDescent="0.25">
      <c r="B74" s="11"/>
      <c r="C74" s="11"/>
      <c r="D74" s="1"/>
      <c r="E74" s="1"/>
      <c r="F74" s="1"/>
      <c r="G74" s="1"/>
      <c r="H74" s="1"/>
      <c r="I74" s="1"/>
      <c r="J74" s="1"/>
      <c r="K74" s="1"/>
      <c r="L74" s="1"/>
      <c r="M74" s="158"/>
      <c r="N74" s="161"/>
      <c r="O74" s="127" t="s">
        <v>112</v>
      </c>
      <c r="P74" s="150"/>
      <c r="Q74" s="150"/>
      <c r="R74" s="150"/>
      <c r="S74" s="150"/>
      <c r="T74" s="152"/>
      <c r="U74" s="152"/>
      <c r="V74" s="152"/>
      <c r="W74" s="115">
        <v>51</v>
      </c>
      <c r="X74" s="115" t="s">
        <v>156</v>
      </c>
      <c r="Y74" s="114"/>
      <c r="Z74" s="132">
        <v>0</v>
      </c>
      <c r="AA74" s="14">
        <f>LOOKUP(Z74,BASE!A$4:A$125,BASE!B$4:B$125)</f>
        <v>0</v>
      </c>
      <c r="AB74" s="117"/>
      <c r="AC74" s="134"/>
      <c r="AD74" s="135">
        <v>8.8000000000000007</v>
      </c>
      <c r="AE74" s="134" t="s">
        <v>155</v>
      </c>
      <c r="AF74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4" s="13">
        <f t="shared" si="6"/>
        <v>0</v>
      </c>
      <c r="AH74" s="141">
        <f>(IF(Z74="","",LOOKUP(Z74,BASE!A$4:A$125,BASE!H$4:H$125)))*ServExt8[[#This Row],[HE CALC]]</f>
        <v>0</v>
      </c>
      <c r="AI74" s="102">
        <f>ServExt8[[#This Row],[TOTAL HORAS]]*ServExt8[[#This Row],[R$ / HORA]]</f>
        <v>0</v>
      </c>
      <c r="AJ74" s="142">
        <f>BASE!$W$54</f>
        <v>0.79709863947533133</v>
      </c>
      <c r="AK74" s="141">
        <f t="shared" si="7"/>
        <v>0</v>
      </c>
      <c r="AL74" s="143">
        <f t="shared" si="8"/>
        <v>0</v>
      </c>
      <c r="AM74" s="144">
        <f>IF(OR(ServExt8[[#This Row],[TIPO H]]="NORMAL",ServExt8[[#This Row],[HORAS DIA]]&gt;=8),ServExt8[[#This Row],[PESSOAS]]*ServExt8[[#This Row],[DIAS]]*2,0)</f>
        <v>0</v>
      </c>
      <c r="AN74" s="144">
        <f>(IF(Z74="","",LOOKUP(Z74,BASE!A$4:A$125,BASE!E$4:E$125)))*ServExt8[[#This Row],[TOTAL HORAS]]</f>
        <v>0</v>
      </c>
      <c r="AO74" s="5">
        <f>IF(ServExt8[[#This Row],[TIPO H]]="NORMAL",ServExt8[[#This Row],[PESSOAS]],0)</f>
        <v>0</v>
      </c>
      <c r="AP74" s="145">
        <f>IFERROR(ServExt8[[#This Row],[TOTAL3]]*(RESUMO!$F$32/RESUMO!$F$24),0)</f>
        <v>0</v>
      </c>
      <c r="AU74" s="244">
        <v>53</v>
      </c>
      <c r="AV74" s="1" t="s">
        <v>209</v>
      </c>
    </row>
    <row r="75" spans="1:48" x14ac:dyDescent="0.25">
      <c r="B75" s="11"/>
      <c r="C75" s="11"/>
      <c r="D75" s="1"/>
      <c r="E75" s="1"/>
      <c r="F75" s="1"/>
      <c r="G75" s="1"/>
      <c r="H75" s="1"/>
      <c r="I75" s="1"/>
      <c r="J75" s="1"/>
      <c r="K75" s="1"/>
      <c r="L75" s="1"/>
      <c r="M75" s="154"/>
      <c r="N75" s="17"/>
      <c r="O75" s="148">
        <f>BASE!$W$54</f>
        <v>0.79709863947533133</v>
      </c>
      <c r="P75" s="150"/>
      <c r="Q75" s="150"/>
      <c r="R75" s="150"/>
      <c r="S75" s="150"/>
      <c r="T75" s="152"/>
      <c r="U75" s="152"/>
      <c r="V75" s="152"/>
      <c r="W75" s="115">
        <v>52</v>
      </c>
      <c r="X75" s="115" t="s">
        <v>156</v>
      </c>
      <c r="Y75" s="114"/>
      <c r="Z75" s="132">
        <v>0</v>
      </c>
      <c r="AA75" s="14">
        <f>LOOKUP(Z75,BASE!A$4:A$125,BASE!B$4:B$125)</f>
        <v>0</v>
      </c>
      <c r="AB75" s="117"/>
      <c r="AC75" s="134"/>
      <c r="AD75" s="135">
        <v>8.8000000000000007</v>
      </c>
      <c r="AE75" s="134" t="s">
        <v>155</v>
      </c>
      <c r="AF75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5" s="13">
        <f t="shared" si="6"/>
        <v>0</v>
      </c>
      <c r="AH75" s="141">
        <f>(IF(Z75="","",LOOKUP(Z75,BASE!A$4:A$125,BASE!H$4:H$125)))*ServExt8[[#This Row],[HE CALC]]</f>
        <v>0</v>
      </c>
      <c r="AI75" s="102">
        <f>ServExt8[[#This Row],[TOTAL HORAS]]*ServExt8[[#This Row],[R$ / HORA]]</f>
        <v>0</v>
      </c>
      <c r="AJ75" s="142">
        <f>BASE!$W$54</f>
        <v>0.79709863947533133</v>
      </c>
      <c r="AK75" s="141">
        <f t="shared" si="7"/>
        <v>0</v>
      </c>
      <c r="AL75" s="143">
        <f t="shared" si="8"/>
        <v>0</v>
      </c>
      <c r="AM75" s="144">
        <f>IF(OR(ServExt8[[#This Row],[TIPO H]]="NORMAL",ServExt8[[#This Row],[HORAS DIA]]&gt;=8),ServExt8[[#This Row],[PESSOAS]]*ServExt8[[#This Row],[DIAS]]*2,0)</f>
        <v>0</v>
      </c>
      <c r="AN75" s="144">
        <f>(IF(Z75="","",LOOKUP(Z75,BASE!A$4:A$125,BASE!E$4:E$125)))*ServExt8[[#This Row],[TOTAL HORAS]]</f>
        <v>0</v>
      </c>
      <c r="AO75" s="5">
        <f>IF(ServExt8[[#This Row],[TIPO H]]="NORMAL",ServExt8[[#This Row],[PESSOAS]],0)</f>
        <v>0</v>
      </c>
      <c r="AP75" s="145">
        <f>IFERROR(ServExt8[[#This Row],[TOTAL3]]*(RESUMO!$F$32/RESUMO!$F$24),0)</f>
        <v>0</v>
      </c>
      <c r="AU75" s="244">
        <v>54</v>
      </c>
      <c r="AV75" s="1" t="s">
        <v>210</v>
      </c>
    </row>
    <row r="76" spans="1:48" x14ac:dyDescent="0.25">
      <c r="B76" s="14"/>
      <c r="C76" s="14"/>
      <c r="D76" s="1"/>
      <c r="E76" s="1"/>
      <c r="F76" s="1"/>
      <c r="G76" s="1"/>
      <c r="H76" s="1"/>
      <c r="I76" s="1"/>
      <c r="J76" s="1"/>
      <c r="K76" s="1"/>
      <c r="L76" s="1"/>
      <c r="M76" s="17"/>
      <c r="N76" s="17"/>
      <c r="O76" s="102"/>
      <c r="P76" s="150"/>
      <c r="Q76" s="150"/>
      <c r="R76" s="150"/>
      <c r="S76" s="150"/>
      <c r="T76" s="152"/>
      <c r="U76" s="152"/>
      <c r="V76" s="152"/>
      <c r="W76" s="115">
        <v>53</v>
      </c>
      <c r="X76" s="115" t="s">
        <v>156</v>
      </c>
      <c r="Y76" s="114"/>
      <c r="Z76" s="132">
        <v>0</v>
      </c>
      <c r="AA76" s="14">
        <f>LOOKUP(Z76,BASE!A$4:A$125,BASE!B$4:B$125)</f>
        <v>0</v>
      </c>
      <c r="AB76" s="117"/>
      <c r="AC76" s="134"/>
      <c r="AD76" s="135">
        <v>8.8000000000000007</v>
      </c>
      <c r="AE76" s="134" t="s">
        <v>155</v>
      </c>
      <c r="AF76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6" s="13">
        <f t="shared" si="6"/>
        <v>0</v>
      </c>
      <c r="AH76" s="141">
        <f>(IF(Z76="","",LOOKUP(Z76,BASE!A$4:A$125,BASE!H$4:H$125)))*ServExt8[[#This Row],[HE CALC]]</f>
        <v>0</v>
      </c>
      <c r="AI76" s="102">
        <f>ServExt8[[#This Row],[TOTAL HORAS]]*ServExt8[[#This Row],[R$ / HORA]]</f>
        <v>0</v>
      </c>
      <c r="AJ76" s="142">
        <f>BASE!$W$54</f>
        <v>0.79709863947533133</v>
      </c>
      <c r="AK76" s="141">
        <f t="shared" si="7"/>
        <v>0</v>
      </c>
      <c r="AL76" s="143">
        <f t="shared" si="8"/>
        <v>0</v>
      </c>
      <c r="AM76" s="144">
        <f>IF(OR(ServExt8[[#This Row],[TIPO H]]="NORMAL",ServExt8[[#This Row],[HORAS DIA]]&gt;=8),ServExt8[[#This Row],[PESSOAS]]*ServExt8[[#This Row],[DIAS]]*2,0)</f>
        <v>0</v>
      </c>
      <c r="AN76" s="144">
        <f>(IF(Z76="","",LOOKUP(Z76,BASE!A$4:A$125,BASE!E$4:E$125)))*ServExt8[[#This Row],[TOTAL HORAS]]</f>
        <v>0</v>
      </c>
      <c r="AO76" s="5">
        <f>IF(ServExt8[[#This Row],[TIPO H]]="NORMAL",ServExt8[[#This Row],[PESSOAS]],0)</f>
        <v>0</v>
      </c>
      <c r="AP76" s="145">
        <f>IFERROR(ServExt8[[#This Row],[TOTAL3]]*(RESUMO!$F$32/RESUMO!$F$24),0)</f>
        <v>0</v>
      </c>
      <c r="AU76" s="244">
        <v>55</v>
      </c>
      <c r="AV76" s="1" t="s">
        <v>211</v>
      </c>
    </row>
    <row r="77" spans="1:48" x14ac:dyDescent="0.25">
      <c r="B77" s="11"/>
      <c r="C77" s="11"/>
      <c r="D77" s="1"/>
      <c r="E77" s="1"/>
      <c r="F77" s="1"/>
      <c r="G77" s="1"/>
      <c r="H77" s="1"/>
      <c r="I77" s="1"/>
      <c r="J77" s="1"/>
      <c r="K77" s="1"/>
      <c r="L77" s="1"/>
      <c r="M77" s="175"/>
      <c r="N77" s="175"/>
      <c r="O77" s="102"/>
      <c r="P77" s="150"/>
      <c r="Q77" s="150"/>
      <c r="R77" s="150"/>
      <c r="S77" s="150"/>
      <c r="T77" s="152"/>
      <c r="U77" s="152"/>
      <c r="V77" s="152"/>
      <c r="W77" s="115">
        <v>54</v>
      </c>
      <c r="X77" s="115" t="s">
        <v>156</v>
      </c>
      <c r="Y77" s="114"/>
      <c r="Z77" s="132">
        <v>0</v>
      </c>
      <c r="AA77" s="14">
        <f>LOOKUP(Z77,BASE!A$4:A$125,BASE!B$4:B$125)</f>
        <v>0</v>
      </c>
      <c r="AB77" s="117"/>
      <c r="AC77" s="134"/>
      <c r="AD77" s="135">
        <v>8.8000000000000007</v>
      </c>
      <c r="AE77" s="134" t="s">
        <v>155</v>
      </c>
      <c r="AF77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7" s="13">
        <f t="shared" si="6"/>
        <v>0</v>
      </c>
      <c r="AH77" s="141">
        <f>(IF(Z77="","",LOOKUP(Z77,BASE!A$4:A$125,BASE!H$4:H$125)))*ServExt8[[#This Row],[HE CALC]]</f>
        <v>0</v>
      </c>
      <c r="AI77" s="102">
        <f>ServExt8[[#This Row],[TOTAL HORAS]]*ServExt8[[#This Row],[R$ / HORA]]</f>
        <v>0</v>
      </c>
      <c r="AJ77" s="142">
        <f>BASE!$W$54</f>
        <v>0.79709863947533133</v>
      </c>
      <c r="AK77" s="141">
        <f t="shared" si="7"/>
        <v>0</v>
      </c>
      <c r="AL77" s="143">
        <f t="shared" si="8"/>
        <v>0</v>
      </c>
      <c r="AM77" s="144">
        <f>IF(OR(ServExt8[[#This Row],[TIPO H]]="NORMAL",ServExt8[[#This Row],[HORAS DIA]]&gt;=8),ServExt8[[#This Row],[PESSOAS]]*ServExt8[[#This Row],[DIAS]]*2,0)</f>
        <v>0</v>
      </c>
      <c r="AN77" s="144">
        <f>(IF(Z77="","",LOOKUP(Z77,BASE!A$4:A$125,BASE!E$4:E$125)))*ServExt8[[#This Row],[TOTAL HORAS]]</f>
        <v>0</v>
      </c>
      <c r="AO77" s="5">
        <f>IF(ServExt8[[#This Row],[TIPO H]]="NORMAL",ServExt8[[#This Row],[PESSOAS]],0)</f>
        <v>0</v>
      </c>
      <c r="AP77" s="145">
        <f>IFERROR(ServExt8[[#This Row],[TOTAL3]]*(RESUMO!$F$32/RESUMO!$F$24),0)</f>
        <v>0</v>
      </c>
      <c r="AU77" s="244">
        <v>56</v>
      </c>
      <c r="AV77" s="1" t="s">
        <v>212</v>
      </c>
    </row>
    <row r="78" spans="1:48" x14ac:dyDescent="0.25">
      <c r="B78" s="11"/>
      <c r="C78" s="11"/>
      <c r="D78" s="1"/>
      <c r="E78" s="1"/>
      <c r="F78" s="1"/>
      <c r="G78" s="1"/>
      <c r="H78" s="1"/>
      <c r="I78" s="1"/>
      <c r="J78" s="1"/>
      <c r="K78" s="1"/>
      <c r="L78" s="1"/>
      <c r="M78" s="158"/>
      <c r="N78" s="161"/>
      <c r="O78" s="127" t="s">
        <v>112</v>
      </c>
      <c r="P78" s="150"/>
      <c r="Q78" s="150"/>
      <c r="R78" s="150"/>
      <c r="S78" s="150"/>
      <c r="T78" s="152"/>
      <c r="U78" s="152"/>
      <c r="V78" s="152"/>
      <c r="W78" s="115">
        <v>55</v>
      </c>
      <c r="X78" s="115" t="s">
        <v>156</v>
      </c>
      <c r="Y78" s="114"/>
      <c r="Z78" s="132">
        <v>0</v>
      </c>
      <c r="AA78" s="14">
        <f>LOOKUP(Z78,BASE!A$4:A$125,BASE!B$4:B$125)</f>
        <v>0</v>
      </c>
      <c r="AB78" s="117"/>
      <c r="AC78" s="134"/>
      <c r="AD78" s="135">
        <v>8.8000000000000007</v>
      </c>
      <c r="AE78" s="134" t="s">
        <v>155</v>
      </c>
      <c r="AF78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8" s="13">
        <f t="shared" si="6"/>
        <v>0</v>
      </c>
      <c r="AH78" s="141">
        <f>(IF(Z78="","",LOOKUP(Z78,BASE!A$4:A$125,BASE!H$4:H$125)))*ServExt8[[#This Row],[HE CALC]]</f>
        <v>0</v>
      </c>
      <c r="AI78" s="102">
        <f>ServExt8[[#This Row],[TOTAL HORAS]]*ServExt8[[#This Row],[R$ / HORA]]</f>
        <v>0</v>
      </c>
      <c r="AJ78" s="142">
        <f>BASE!$W$54</f>
        <v>0.79709863947533133</v>
      </c>
      <c r="AK78" s="141">
        <f t="shared" si="7"/>
        <v>0</v>
      </c>
      <c r="AL78" s="143">
        <f t="shared" si="8"/>
        <v>0</v>
      </c>
      <c r="AM78" s="144">
        <f>IF(OR(ServExt8[[#This Row],[TIPO H]]="NORMAL",ServExt8[[#This Row],[HORAS DIA]]&gt;=8),ServExt8[[#This Row],[PESSOAS]]*ServExt8[[#This Row],[DIAS]]*2,0)</f>
        <v>0</v>
      </c>
      <c r="AN78" s="144">
        <f>(IF(Z78="","",LOOKUP(Z78,BASE!A$4:A$125,BASE!E$4:E$125)))*ServExt8[[#This Row],[TOTAL HORAS]]</f>
        <v>0</v>
      </c>
      <c r="AO78" s="5">
        <f>IF(ServExt8[[#This Row],[TIPO H]]="NORMAL",ServExt8[[#This Row],[PESSOAS]],0)</f>
        <v>0</v>
      </c>
      <c r="AP78" s="145">
        <f>IFERROR(ServExt8[[#This Row],[TOTAL3]]*(RESUMO!$F$32/RESUMO!$F$24),0)</f>
        <v>0</v>
      </c>
      <c r="AU78" s="244">
        <v>57</v>
      </c>
      <c r="AV78" s="1" t="s">
        <v>213</v>
      </c>
    </row>
    <row r="79" spans="1:48" x14ac:dyDescent="0.25">
      <c r="B79" s="11"/>
      <c r="C79" s="11"/>
      <c r="D79" s="1"/>
      <c r="E79" s="1"/>
      <c r="F79" s="1"/>
      <c r="G79" s="1"/>
      <c r="H79" s="1"/>
      <c r="I79" s="1"/>
      <c r="J79" s="1"/>
      <c r="K79" s="1"/>
      <c r="L79" s="1"/>
      <c r="M79" s="154"/>
      <c r="N79" s="17"/>
      <c r="O79" s="148">
        <f>BASE!$W$54</f>
        <v>0.79709863947533133</v>
      </c>
      <c r="P79" s="150"/>
      <c r="Q79" s="150"/>
      <c r="R79" s="150"/>
      <c r="S79" s="150"/>
      <c r="T79" s="152"/>
      <c r="U79" s="152"/>
      <c r="V79" s="152"/>
      <c r="W79" s="115">
        <v>56</v>
      </c>
      <c r="X79" s="115" t="s">
        <v>156</v>
      </c>
      <c r="Y79" s="114"/>
      <c r="Z79" s="132">
        <v>0</v>
      </c>
      <c r="AA79" s="14">
        <f>LOOKUP(Z79,BASE!A$4:A$125,BASE!B$4:B$125)</f>
        <v>0</v>
      </c>
      <c r="AB79" s="117"/>
      <c r="AC79" s="134"/>
      <c r="AD79" s="135">
        <v>8.8000000000000007</v>
      </c>
      <c r="AE79" s="134" t="s">
        <v>155</v>
      </c>
      <c r="AF79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79" s="13">
        <f t="shared" si="6"/>
        <v>0</v>
      </c>
      <c r="AH79" s="141">
        <f>(IF(Z79="","",LOOKUP(Z79,BASE!A$4:A$125,BASE!H$4:H$125)))*ServExt8[[#This Row],[HE CALC]]</f>
        <v>0</v>
      </c>
      <c r="AI79" s="102">
        <f>ServExt8[[#This Row],[TOTAL HORAS]]*ServExt8[[#This Row],[R$ / HORA]]</f>
        <v>0</v>
      </c>
      <c r="AJ79" s="142">
        <f>BASE!$W$54</f>
        <v>0.79709863947533133</v>
      </c>
      <c r="AK79" s="141">
        <f t="shared" si="7"/>
        <v>0</v>
      </c>
      <c r="AL79" s="143">
        <f t="shared" si="8"/>
        <v>0</v>
      </c>
      <c r="AM79" s="144">
        <f>IF(OR(ServExt8[[#This Row],[TIPO H]]="NORMAL",ServExt8[[#This Row],[HORAS DIA]]&gt;=8),ServExt8[[#This Row],[PESSOAS]]*ServExt8[[#This Row],[DIAS]]*2,0)</f>
        <v>0</v>
      </c>
      <c r="AN79" s="144">
        <f>(IF(Z79="","",LOOKUP(Z79,BASE!A$4:A$125,BASE!E$4:E$125)))*ServExt8[[#This Row],[TOTAL HORAS]]</f>
        <v>0</v>
      </c>
      <c r="AO79" s="5">
        <f>IF(ServExt8[[#This Row],[TIPO H]]="NORMAL",ServExt8[[#This Row],[PESSOAS]],0)</f>
        <v>0</v>
      </c>
      <c r="AP79" s="145">
        <f>IFERROR(ServExt8[[#This Row],[TOTAL3]]*(RESUMO!$F$32/RESUMO!$F$24),0)</f>
        <v>0</v>
      </c>
      <c r="AU79" s="244">
        <v>58</v>
      </c>
      <c r="AV79" s="1" t="s">
        <v>214</v>
      </c>
    </row>
    <row r="80" spans="1:48" x14ac:dyDescent="0.25">
      <c r="B80" s="14"/>
      <c r="C80" s="14"/>
      <c r="D80" s="1"/>
      <c r="E80" s="1"/>
      <c r="F80" s="1"/>
      <c r="G80" s="1"/>
      <c r="H80" s="1"/>
      <c r="I80" s="1"/>
      <c r="J80" s="1"/>
      <c r="K80" s="1"/>
      <c r="L80" s="1"/>
      <c r="M80" s="154"/>
      <c r="N80" s="17"/>
      <c r="O80" s="148">
        <f>BASE!$W$54</f>
        <v>0.79709863947533133</v>
      </c>
      <c r="P80" s="150"/>
      <c r="Q80" s="150"/>
      <c r="R80" s="150"/>
      <c r="S80" s="150"/>
      <c r="T80" s="152"/>
      <c r="U80" s="152"/>
      <c r="V80" s="152"/>
      <c r="W80" s="115">
        <v>57</v>
      </c>
      <c r="X80" s="115" t="s">
        <v>156</v>
      </c>
      <c r="Y80" s="114"/>
      <c r="Z80" s="132">
        <v>0</v>
      </c>
      <c r="AA80" s="14">
        <f>LOOKUP(Z80,BASE!A$4:A$125,BASE!B$4:B$125)</f>
        <v>0</v>
      </c>
      <c r="AB80" s="117"/>
      <c r="AC80" s="134"/>
      <c r="AD80" s="135">
        <v>8.8000000000000007</v>
      </c>
      <c r="AE80" s="134" t="s">
        <v>155</v>
      </c>
      <c r="AF80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0" s="13">
        <f t="shared" si="6"/>
        <v>0</v>
      </c>
      <c r="AH80" s="141">
        <f>(IF(Z80="","",LOOKUP(Z80,BASE!A$4:A$125,BASE!H$4:H$125)))*ServExt8[[#This Row],[HE CALC]]</f>
        <v>0</v>
      </c>
      <c r="AI80" s="102">
        <f>ServExt8[[#This Row],[TOTAL HORAS]]*ServExt8[[#This Row],[R$ / HORA]]</f>
        <v>0</v>
      </c>
      <c r="AJ80" s="142">
        <f>BASE!$W$54</f>
        <v>0.79709863947533133</v>
      </c>
      <c r="AK80" s="141">
        <f t="shared" si="7"/>
        <v>0</v>
      </c>
      <c r="AL80" s="143">
        <f t="shared" si="8"/>
        <v>0</v>
      </c>
      <c r="AM80" s="144">
        <f>IF(OR(ServExt8[[#This Row],[TIPO H]]="NORMAL",ServExt8[[#This Row],[HORAS DIA]]&gt;=8),ServExt8[[#This Row],[PESSOAS]]*ServExt8[[#This Row],[DIAS]]*2,0)</f>
        <v>0</v>
      </c>
      <c r="AN80" s="144">
        <f>(IF(Z80="","",LOOKUP(Z80,BASE!A$4:A$125,BASE!E$4:E$125)))*ServExt8[[#This Row],[TOTAL HORAS]]</f>
        <v>0</v>
      </c>
      <c r="AO80" s="5">
        <f>IF(ServExt8[[#This Row],[TIPO H]]="NORMAL",ServExt8[[#This Row],[PESSOAS]],0)</f>
        <v>0</v>
      </c>
      <c r="AP80" s="145">
        <f>IFERROR(ServExt8[[#This Row],[TOTAL3]]*(RESUMO!$F$32/RESUMO!$F$24),0)</f>
        <v>0</v>
      </c>
      <c r="AU80" s="244">
        <v>59</v>
      </c>
      <c r="AV80" s="1" t="s">
        <v>215</v>
      </c>
    </row>
    <row r="81" spans="2:48" x14ac:dyDescent="0.25">
      <c r="B81" s="14"/>
      <c r="C81" s="14"/>
      <c r="D81" s="1"/>
      <c r="E81" s="1"/>
      <c r="F81" s="1"/>
      <c r="G81" s="1"/>
      <c r="H81" s="1"/>
      <c r="I81" s="1"/>
      <c r="J81" s="1"/>
      <c r="K81" s="1"/>
      <c r="L81" s="1"/>
      <c r="M81" s="154"/>
      <c r="N81" s="17"/>
      <c r="O81" s="148">
        <f>BASE!$W$54</f>
        <v>0.79709863947533133</v>
      </c>
      <c r="P81" s="150"/>
      <c r="Q81" s="150"/>
      <c r="R81" s="150"/>
      <c r="S81" s="150"/>
      <c r="T81" s="152"/>
      <c r="U81" s="152"/>
      <c r="V81" s="152"/>
      <c r="W81" s="115">
        <v>58</v>
      </c>
      <c r="X81" s="115" t="s">
        <v>156</v>
      </c>
      <c r="Y81" s="114"/>
      <c r="Z81" s="132">
        <v>0</v>
      </c>
      <c r="AA81" s="14">
        <f>LOOKUP(Z81,BASE!A$4:A$125,BASE!B$4:B$125)</f>
        <v>0</v>
      </c>
      <c r="AB81" s="117"/>
      <c r="AC81" s="134"/>
      <c r="AD81" s="135">
        <v>8.8000000000000007</v>
      </c>
      <c r="AE81" s="134" t="s">
        <v>155</v>
      </c>
      <c r="AF81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1" s="13">
        <f t="shared" si="6"/>
        <v>0</v>
      </c>
      <c r="AH81" s="141">
        <f>(IF(Z81="","",LOOKUP(Z81,BASE!A$4:A$125,BASE!H$4:H$125)))*ServExt8[[#This Row],[HE CALC]]</f>
        <v>0</v>
      </c>
      <c r="AI81" s="102">
        <f>ServExt8[[#This Row],[TOTAL HORAS]]*ServExt8[[#This Row],[R$ / HORA]]</f>
        <v>0</v>
      </c>
      <c r="AJ81" s="142">
        <f>BASE!$W$54</f>
        <v>0.79709863947533133</v>
      </c>
      <c r="AK81" s="141">
        <f t="shared" si="7"/>
        <v>0</v>
      </c>
      <c r="AL81" s="143">
        <f t="shared" si="8"/>
        <v>0</v>
      </c>
      <c r="AM81" s="144">
        <f>IF(OR(ServExt8[[#This Row],[TIPO H]]="NORMAL",ServExt8[[#This Row],[HORAS DIA]]&gt;=8),ServExt8[[#This Row],[PESSOAS]]*ServExt8[[#This Row],[DIAS]]*2,0)</f>
        <v>0</v>
      </c>
      <c r="AN81" s="144">
        <f>(IF(Z81="","",LOOKUP(Z81,BASE!A$4:A$125,BASE!E$4:E$125)))*ServExt8[[#This Row],[TOTAL HORAS]]</f>
        <v>0</v>
      </c>
      <c r="AO81" s="5">
        <f>IF(ServExt8[[#This Row],[TIPO H]]="NORMAL",ServExt8[[#This Row],[PESSOAS]],0)</f>
        <v>0</v>
      </c>
      <c r="AP81" s="145">
        <f>IFERROR(ServExt8[[#This Row],[TOTAL3]]*(RESUMO!$F$32/RESUMO!$F$24),0)</f>
        <v>0</v>
      </c>
      <c r="AU81" s="244">
        <v>60</v>
      </c>
      <c r="AV81" s="1" t="s">
        <v>216</v>
      </c>
    </row>
    <row r="82" spans="2:48" x14ac:dyDescent="0.25">
      <c r="B82" s="14"/>
      <c r="C82" s="14"/>
      <c r="D82" s="1"/>
      <c r="E82" s="1"/>
      <c r="F82" s="1"/>
      <c r="G82" s="1"/>
      <c r="H82" s="1"/>
      <c r="I82" s="1"/>
      <c r="J82" s="1"/>
      <c r="K82" s="1"/>
      <c r="L82" s="1"/>
      <c r="M82" s="154"/>
      <c r="N82" s="17"/>
      <c r="O82" s="148">
        <f>BASE!$W$54</f>
        <v>0.79709863947533133</v>
      </c>
      <c r="P82" s="150"/>
      <c r="Q82" s="150"/>
      <c r="R82" s="150"/>
      <c r="S82" s="150"/>
      <c r="T82" s="152"/>
      <c r="U82" s="152"/>
      <c r="V82" s="152"/>
      <c r="W82" s="115">
        <v>59</v>
      </c>
      <c r="X82" s="115" t="s">
        <v>156</v>
      </c>
      <c r="Y82" s="114"/>
      <c r="Z82" s="132">
        <v>0</v>
      </c>
      <c r="AA82" s="14">
        <f>LOOKUP(Z82,BASE!A$4:A$125,BASE!B$4:B$125)</f>
        <v>0</v>
      </c>
      <c r="AB82" s="117"/>
      <c r="AC82" s="134"/>
      <c r="AD82" s="135">
        <v>8.8000000000000007</v>
      </c>
      <c r="AE82" s="134" t="s">
        <v>155</v>
      </c>
      <c r="AF82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2" s="13">
        <f t="shared" si="6"/>
        <v>0</v>
      </c>
      <c r="AH82" s="141">
        <f>(IF(Z82="","",LOOKUP(Z82,BASE!A$4:A$125,BASE!H$4:H$125)))*ServExt8[[#This Row],[HE CALC]]</f>
        <v>0</v>
      </c>
      <c r="AI82" s="102">
        <f>ServExt8[[#This Row],[TOTAL HORAS]]*ServExt8[[#This Row],[R$ / HORA]]</f>
        <v>0</v>
      </c>
      <c r="AJ82" s="142">
        <f>BASE!$W$54</f>
        <v>0.79709863947533133</v>
      </c>
      <c r="AK82" s="141">
        <f t="shared" si="7"/>
        <v>0</v>
      </c>
      <c r="AL82" s="143">
        <f t="shared" si="8"/>
        <v>0</v>
      </c>
      <c r="AM82" s="144">
        <f>IF(OR(ServExt8[[#This Row],[TIPO H]]="NORMAL",ServExt8[[#This Row],[HORAS DIA]]&gt;=8),ServExt8[[#This Row],[PESSOAS]]*ServExt8[[#This Row],[DIAS]]*2,0)</f>
        <v>0</v>
      </c>
      <c r="AN82" s="144">
        <f>(IF(Z82="","",LOOKUP(Z82,BASE!A$4:A$125,BASE!E$4:E$125)))*ServExt8[[#This Row],[TOTAL HORAS]]</f>
        <v>0</v>
      </c>
      <c r="AO82" s="5">
        <f>IF(ServExt8[[#This Row],[TIPO H]]="NORMAL",ServExt8[[#This Row],[PESSOAS]],0)</f>
        <v>0</v>
      </c>
      <c r="AP82" s="145">
        <f>IFERROR(ServExt8[[#This Row],[TOTAL3]]*(RESUMO!$F$32/RESUMO!$F$24),0)</f>
        <v>0</v>
      </c>
      <c r="AU82" s="244">
        <v>61</v>
      </c>
      <c r="AV82" s="1" t="s">
        <v>217</v>
      </c>
    </row>
    <row r="83" spans="2:48" x14ac:dyDescent="0.25">
      <c r="B83" s="14"/>
      <c r="C83" s="14"/>
      <c r="D83" s="1"/>
      <c r="E83" s="1"/>
      <c r="F83" s="1"/>
      <c r="G83" s="1"/>
      <c r="H83" s="1"/>
      <c r="I83" s="1"/>
      <c r="J83" s="1"/>
      <c r="K83" s="1"/>
      <c r="L83" s="1"/>
      <c r="M83" s="17"/>
      <c r="N83" s="17"/>
      <c r="O83" s="102"/>
      <c r="P83" s="150"/>
      <c r="Q83" s="150"/>
      <c r="R83" s="150"/>
      <c r="S83" s="150"/>
      <c r="T83" s="152"/>
      <c r="U83" s="152"/>
      <c r="V83" s="152"/>
      <c r="W83" s="115">
        <v>60</v>
      </c>
      <c r="X83" s="115" t="s">
        <v>156</v>
      </c>
      <c r="Y83" s="114"/>
      <c r="Z83" s="132">
        <v>0</v>
      </c>
      <c r="AA83" s="14">
        <f>LOOKUP(Z83,BASE!A$4:A$125,BASE!B$4:B$125)</f>
        <v>0</v>
      </c>
      <c r="AB83" s="117"/>
      <c r="AC83" s="134"/>
      <c r="AD83" s="135">
        <v>8.8000000000000007</v>
      </c>
      <c r="AE83" s="134" t="s">
        <v>155</v>
      </c>
      <c r="AF83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3" s="13">
        <f t="shared" si="6"/>
        <v>0</v>
      </c>
      <c r="AH83" s="141">
        <f>(IF(Z83="","",LOOKUP(Z83,BASE!A$4:A$125,BASE!H$4:H$125)))*ServExt8[[#This Row],[HE CALC]]</f>
        <v>0</v>
      </c>
      <c r="AI83" s="102">
        <f>ServExt8[[#This Row],[TOTAL HORAS]]*ServExt8[[#This Row],[R$ / HORA]]</f>
        <v>0</v>
      </c>
      <c r="AJ83" s="142">
        <f>BASE!$W$54</f>
        <v>0.79709863947533133</v>
      </c>
      <c r="AK83" s="141">
        <f t="shared" si="7"/>
        <v>0</v>
      </c>
      <c r="AL83" s="143">
        <f t="shared" si="8"/>
        <v>0</v>
      </c>
      <c r="AM83" s="144">
        <f>IF(OR(ServExt8[[#This Row],[TIPO H]]="NORMAL",ServExt8[[#This Row],[HORAS DIA]]&gt;=8),ServExt8[[#This Row],[PESSOAS]]*ServExt8[[#This Row],[DIAS]]*2,0)</f>
        <v>0</v>
      </c>
      <c r="AN83" s="144">
        <f>(IF(Z83="","",LOOKUP(Z83,BASE!A$4:A$125,BASE!E$4:E$125)))*ServExt8[[#This Row],[TOTAL HORAS]]</f>
        <v>0</v>
      </c>
      <c r="AO83" s="5">
        <f>IF(ServExt8[[#This Row],[TIPO H]]="NORMAL",ServExt8[[#This Row],[PESSOAS]],0)</f>
        <v>0</v>
      </c>
      <c r="AP83" s="145">
        <f>IFERROR(ServExt8[[#This Row],[TOTAL3]]*(RESUMO!$F$32/RESUMO!$F$24),0)</f>
        <v>0</v>
      </c>
      <c r="AU83" s="244">
        <v>62</v>
      </c>
      <c r="AV83" s="1" t="s">
        <v>218</v>
      </c>
    </row>
    <row r="84" spans="2:48" x14ac:dyDescent="0.25">
      <c r="B84" s="14"/>
      <c r="C84" s="14"/>
      <c r="D84" s="114"/>
      <c r="E84" s="115"/>
      <c r="F84" s="14"/>
      <c r="G84" s="115"/>
      <c r="H84" s="115"/>
      <c r="I84" s="102"/>
      <c r="J84" s="14"/>
      <c r="K84" s="14"/>
      <c r="L84" s="14"/>
      <c r="M84" s="14"/>
      <c r="N84" s="14"/>
      <c r="O84" s="102"/>
      <c r="P84" s="150"/>
      <c r="Q84" s="150"/>
      <c r="R84" s="150"/>
      <c r="S84" s="150"/>
      <c r="T84" s="152"/>
      <c r="U84" s="152"/>
      <c r="V84" s="152"/>
      <c r="W84" s="115">
        <v>61</v>
      </c>
      <c r="X84" s="115" t="s">
        <v>156</v>
      </c>
      <c r="Y84" s="114"/>
      <c r="Z84" s="132">
        <v>0</v>
      </c>
      <c r="AA84" s="14">
        <f>LOOKUP(Z84,BASE!A$4:A$125,BASE!B$4:B$125)</f>
        <v>0</v>
      </c>
      <c r="AB84" s="117"/>
      <c r="AC84" s="134"/>
      <c r="AD84" s="135">
        <v>8.8000000000000007</v>
      </c>
      <c r="AE84" s="134" t="s">
        <v>155</v>
      </c>
      <c r="AF84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4" s="13">
        <f t="shared" si="6"/>
        <v>0</v>
      </c>
      <c r="AH84" s="141">
        <f>(IF(Z84="","",LOOKUP(Z84,BASE!A$4:A$125,BASE!H$4:H$125)))*ServExt8[[#This Row],[HE CALC]]</f>
        <v>0</v>
      </c>
      <c r="AI84" s="102">
        <f>ServExt8[[#This Row],[TOTAL HORAS]]*ServExt8[[#This Row],[R$ / HORA]]</f>
        <v>0</v>
      </c>
      <c r="AJ84" s="142">
        <f>BASE!$W$54</f>
        <v>0.79709863947533133</v>
      </c>
      <c r="AK84" s="141">
        <f t="shared" si="7"/>
        <v>0</v>
      </c>
      <c r="AL84" s="143">
        <f t="shared" si="8"/>
        <v>0</v>
      </c>
      <c r="AM84" s="144">
        <f>IF(OR(ServExt8[[#This Row],[TIPO H]]="NORMAL",ServExt8[[#This Row],[HORAS DIA]]&gt;=8),ServExt8[[#This Row],[PESSOAS]]*ServExt8[[#This Row],[DIAS]]*2,0)</f>
        <v>0</v>
      </c>
      <c r="AN84" s="144">
        <f>(IF(Z84="","",LOOKUP(Z84,BASE!A$4:A$125,BASE!E$4:E$125)))*ServExt8[[#This Row],[TOTAL HORAS]]</f>
        <v>0</v>
      </c>
      <c r="AO84" s="5">
        <f>IF(ServExt8[[#This Row],[TIPO H]]="NORMAL",ServExt8[[#This Row],[PESSOAS]],0)</f>
        <v>0</v>
      </c>
      <c r="AP84" s="145">
        <f>IFERROR(ServExt8[[#This Row],[TOTAL3]]*(RESUMO!$F$32/RESUMO!$F$24),0)</f>
        <v>0</v>
      </c>
      <c r="AU84" s="244">
        <v>63</v>
      </c>
      <c r="AV84" s="1" t="s">
        <v>219</v>
      </c>
    </row>
    <row r="85" spans="2:48" x14ac:dyDescent="0.25">
      <c r="B85" s="14"/>
      <c r="C85" s="14"/>
      <c r="D85" s="114"/>
      <c r="E85" s="115"/>
      <c r="F85" s="14"/>
      <c r="G85" s="115"/>
      <c r="H85" s="115"/>
      <c r="I85" s="121"/>
      <c r="J85" s="14"/>
      <c r="K85" s="14"/>
      <c r="L85" s="14"/>
      <c r="M85" s="14"/>
      <c r="N85" s="14"/>
      <c r="O85" s="102"/>
      <c r="P85" s="150"/>
      <c r="Q85" s="150"/>
      <c r="R85" s="150"/>
      <c r="S85" s="150"/>
      <c r="T85" s="152"/>
      <c r="U85" s="152"/>
      <c r="V85" s="152"/>
      <c r="W85" s="115">
        <v>62</v>
      </c>
      <c r="X85" s="115" t="s">
        <v>156</v>
      </c>
      <c r="Y85" s="114"/>
      <c r="Z85" s="132">
        <v>0</v>
      </c>
      <c r="AA85" s="14">
        <f>LOOKUP(Z85,BASE!A$4:A$125,BASE!B$4:B$125)</f>
        <v>0</v>
      </c>
      <c r="AB85" s="117"/>
      <c r="AC85" s="134"/>
      <c r="AD85" s="135">
        <v>8.8000000000000007</v>
      </c>
      <c r="AE85" s="134" t="s">
        <v>155</v>
      </c>
      <c r="AF85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5" s="13">
        <f t="shared" si="6"/>
        <v>0</v>
      </c>
      <c r="AH85" s="141">
        <f>(IF(Z85="","",LOOKUP(Z85,BASE!A$4:A$125,BASE!H$4:H$125)))*ServExt8[[#This Row],[HE CALC]]</f>
        <v>0</v>
      </c>
      <c r="AI85" s="102">
        <f>ServExt8[[#This Row],[TOTAL HORAS]]*ServExt8[[#This Row],[R$ / HORA]]</f>
        <v>0</v>
      </c>
      <c r="AJ85" s="142">
        <f>BASE!$W$54</f>
        <v>0.79709863947533133</v>
      </c>
      <c r="AK85" s="141">
        <f t="shared" si="7"/>
        <v>0</v>
      </c>
      <c r="AL85" s="143">
        <f t="shared" si="8"/>
        <v>0</v>
      </c>
      <c r="AM85" s="144">
        <f>IF(OR(ServExt8[[#This Row],[TIPO H]]="NORMAL",ServExt8[[#This Row],[HORAS DIA]]&gt;=8),ServExt8[[#This Row],[PESSOAS]]*ServExt8[[#This Row],[DIAS]]*2,0)</f>
        <v>0</v>
      </c>
      <c r="AN85" s="144">
        <f>(IF(Z85="","",LOOKUP(Z85,BASE!A$4:A$125,BASE!E$4:E$125)))*ServExt8[[#This Row],[TOTAL HORAS]]</f>
        <v>0</v>
      </c>
      <c r="AO85" s="5">
        <f>IF(ServExt8[[#This Row],[TIPO H]]="NORMAL",ServExt8[[#This Row],[PESSOAS]],0)</f>
        <v>0</v>
      </c>
      <c r="AP85" s="145">
        <f>IFERROR(ServExt8[[#This Row],[TOTAL3]]*(RESUMO!$F$32/RESUMO!$F$24),0)</f>
        <v>0</v>
      </c>
      <c r="AU85" s="244">
        <v>64</v>
      </c>
      <c r="AV85" s="1" t="s">
        <v>220</v>
      </c>
    </row>
    <row r="86" spans="2:48" x14ac:dyDescent="0.25">
      <c r="B86" s="11"/>
      <c r="C86" s="11"/>
      <c r="D86" s="150"/>
      <c r="E86" s="150"/>
      <c r="F86" s="150"/>
      <c r="G86" s="150"/>
      <c r="H86" s="150"/>
      <c r="I86" s="97"/>
      <c r="J86" s="97"/>
      <c r="K86" s="126"/>
      <c r="L86" s="97"/>
      <c r="M86" s="97"/>
      <c r="N86" s="126"/>
      <c r="O86" s="97"/>
      <c r="P86" s="150"/>
      <c r="Q86" s="150"/>
      <c r="R86" s="151"/>
      <c r="S86" s="150"/>
      <c r="T86" s="152"/>
      <c r="U86" s="152"/>
      <c r="V86" s="152"/>
      <c r="W86" s="115">
        <v>63</v>
      </c>
      <c r="X86" s="115" t="s">
        <v>156</v>
      </c>
      <c r="Y86" s="114"/>
      <c r="Z86" s="132">
        <v>0</v>
      </c>
      <c r="AA86" s="14">
        <f>LOOKUP(Z86,BASE!A$4:A$125,BASE!B$4:B$125)</f>
        <v>0</v>
      </c>
      <c r="AB86" s="117"/>
      <c r="AC86" s="134"/>
      <c r="AD86" s="135">
        <v>8.8000000000000007</v>
      </c>
      <c r="AE86" s="134" t="s">
        <v>155</v>
      </c>
      <c r="AF86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6" s="13">
        <f t="shared" si="6"/>
        <v>0</v>
      </c>
      <c r="AH86" s="141">
        <f>(IF(Z86="","",LOOKUP(Z86,BASE!A$4:A$125,BASE!H$4:H$125)))*ServExt8[[#This Row],[HE CALC]]</f>
        <v>0</v>
      </c>
      <c r="AI86" s="102">
        <f>ServExt8[[#This Row],[TOTAL HORAS]]*ServExt8[[#This Row],[R$ / HORA]]</f>
        <v>0</v>
      </c>
      <c r="AJ86" s="142">
        <f>BASE!$W$54</f>
        <v>0.79709863947533133</v>
      </c>
      <c r="AK86" s="141">
        <f t="shared" si="7"/>
        <v>0</v>
      </c>
      <c r="AL86" s="143">
        <f t="shared" si="8"/>
        <v>0</v>
      </c>
      <c r="AM86" s="144">
        <f>IF(OR(ServExt8[[#This Row],[TIPO H]]="NORMAL",ServExt8[[#This Row],[HORAS DIA]]&gt;=8),ServExt8[[#This Row],[PESSOAS]]*ServExt8[[#This Row],[DIAS]]*2,0)</f>
        <v>0</v>
      </c>
      <c r="AN86" s="144">
        <f>(IF(Z86="","",LOOKUP(Z86,BASE!A$4:A$125,BASE!E$4:E$125)))*ServExt8[[#This Row],[TOTAL HORAS]]</f>
        <v>0</v>
      </c>
      <c r="AO86" s="5">
        <f>IF(ServExt8[[#This Row],[TIPO H]]="NORMAL",ServExt8[[#This Row],[PESSOAS]],0)</f>
        <v>0</v>
      </c>
      <c r="AP86" s="145">
        <f>IFERROR(ServExt8[[#This Row],[TOTAL3]]*(RESUMO!$F$32/RESUMO!$F$24),0)</f>
        <v>0</v>
      </c>
      <c r="AU86" s="244">
        <v>65</v>
      </c>
      <c r="AV86" s="1" t="s">
        <v>221</v>
      </c>
    </row>
    <row r="87" spans="2:48" x14ac:dyDescent="0.25">
      <c r="B87" s="11"/>
      <c r="C87" s="11"/>
      <c r="D87" s="11"/>
      <c r="E87" s="11"/>
      <c r="F87" s="11"/>
      <c r="G87" s="11"/>
      <c r="H87" s="11"/>
      <c r="I87" s="97"/>
      <c r="J87" s="97"/>
      <c r="K87" s="126"/>
      <c r="L87" s="97"/>
      <c r="M87" s="97"/>
      <c r="N87" s="126"/>
      <c r="O87" s="97"/>
      <c r="P87" s="11"/>
      <c r="Q87" s="11"/>
      <c r="S87" s="11"/>
      <c r="W87" s="115">
        <v>64</v>
      </c>
      <c r="X87" s="115" t="s">
        <v>156</v>
      </c>
      <c r="Y87" s="114"/>
      <c r="Z87" s="132">
        <v>0</v>
      </c>
      <c r="AA87" s="14">
        <f>LOOKUP(Z87,BASE!A$4:A$125,BASE!B$4:B$125)</f>
        <v>0</v>
      </c>
      <c r="AB87" s="117"/>
      <c r="AC87" s="134"/>
      <c r="AD87" s="135">
        <v>8.8000000000000007</v>
      </c>
      <c r="AE87" s="134" t="s">
        <v>155</v>
      </c>
      <c r="AF87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7" s="13">
        <f t="shared" si="6"/>
        <v>0</v>
      </c>
      <c r="AH87" s="141">
        <f>(IF(Z87="","",LOOKUP(Z87,BASE!A$4:A$125,BASE!H$4:H$125)))*ServExt8[[#This Row],[HE CALC]]</f>
        <v>0</v>
      </c>
      <c r="AI87" s="102">
        <f>ServExt8[[#This Row],[TOTAL HORAS]]*ServExt8[[#This Row],[R$ / HORA]]</f>
        <v>0</v>
      </c>
      <c r="AJ87" s="142">
        <f>BASE!$W$54</f>
        <v>0.79709863947533133</v>
      </c>
      <c r="AK87" s="141">
        <f t="shared" si="7"/>
        <v>0</v>
      </c>
      <c r="AL87" s="143">
        <f t="shared" si="8"/>
        <v>0</v>
      </c>
      <c r="AM87" s="144">
        <f>IF(OR(ServExt8[[#This Row],[TIPO H]]="NORMAL",ServExt8[[#This Row],[HORAS DIA]]&gt;=8),ServExt8[[#This Row],[PESSOAS]]*ServExt8[[#This Row],[DIAS]]*2,0)</f>
        <v>0</v>
      </c>
      <c r="AN87" s="144">
        <f>(IF(Z87="","",LOOKUP(Z87,BASE!A$4:A$125,BASE!E$4:E$125)))*ServExt8[[#This Row],[TOTAL HORAS]]</f>
        <v>0</v>
      </c>
      <c r="AO87" s="5">
        <f>IF(ServExt8[[#This Row],[TIPO H]]="NORMAL",ServExt8[[#This Row],[PESSOAS]],0)</f>
        <v>0</v>
      </c>
      <c r="AP87" s="145">
        <f>IFERROR(ServExt8[[#This Row],[TOTAL3]]*(RESUMO!$F$32/RESUMO!$F$24),0)</f>
        <v>0</v>
      </c>
      <c r="AU87" s="244">
        <v>66</v>
      </c>
      <c r="AV87" s="1" t="s">
        <v>222</v>
      </c>
    </row>
    <row r="88" spans="2:48" x14ac:dyDescent="0.25">
      <c r="B88" s="11"/>
      <c r="C88" s="11"/>
      <c r="D88" s="11"/>
      <c r="E88" s="11"/>
      <c r="F88" s="11"/>
      <c r="G88" s="11"/>
      <c r="H88" s="11"/>
      <c r="I88" s="97"/>
      <c r="J88" s="97"/>
      <c r="K88" s="126"/>
      <c r="L88" s="97"/>
      <c r="M88" s="97"/>
      <c r="N88" s="126"/>
      <c r="O88" s="97"/>
      <c r="P88" s="11"/>
      <c r="Q88" s="11"/>
      <c r="S88" s="11"/>
      <c r="W88" s="115">
        <v>65</v>
      </c>
      <c r="X88" s="115" t="s">
        <v>156</v>
      </c>
      <c r="Y88" s="114"/>
      <c r="Z88" s="132">
        <v>0</v>
      </c>
      <c r="AA88" s="14">
        <f>LOOKUP(Z88,BASE!A$4:A$125,BASE!B$4:B$125)</f>
        <v>0</v>
      </c>
      <c r="AB88" s="117"/>
      <c r="AC88" s="134"/>
      <c r="AD88" s="135">
        <v>8.8000000000000007</v>
      </c>
      <c r="AE88" s="134" t="s">
        <v>155</v>
      </c>
      <c r="AF88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8" s="13">
        <f t="shared" si="6"/>
        <v>0</v>
      </c>
      <c r="AH88" s="141">
        <f>(IF(Z88="","",LOOKUP(Z88,BASE!A$4:A$125,BASE!H$4:H$125)))*ServExt8[[#This Row],[HE CALC]]</f>
        <v>0</v>
      </c>
      <c r="AI88" s="102">
        <f>ServExt8[[#This Row],[TOTAL HORAS]]*ServExt8[[#This Row],[R$ / HORA]]</f>
        <v>0</v>
      </c>
      <c r="AJ88" s="142">
        <f>BASE!$W$54</f>
        <v>0.79709863947533133</v>
      </c>
      <c r="AK88" s="141">
        <f t="shared" si="7"/>
        <v>0</v>
      </c>
      <c r="AL88" s="143">
        <f t="shared" si="8"/>
        <v>0</v>
      </c>
      <c r="AM88" s="144">
        <f>IF(OR(ServExt8[[#This Row],[TIPO H]]="NORMAL",ServExt8[[#This Row],[HORAS DIA]]&gt;=8),ServExt8[[#This Row],[PESSOAS]]*ServExt8[[#This Row],[DIAS]]*2,0)</f>
        <v>0</v>
      </c>
      <c r="AN88" s="144">
        <f>(IF(Z88="","",LOOKUP(Z88,BASE!A$4:A$125,BASE!E$4:E$125)))*ServExt8[[#This Row],[TOTAL HORAS]]</f>
        <v>0</v>
      </c>
      <c r="AO88" s="5">
        <f>IF(ServExt8[[#This Row],[TIPO H]]="NORMAL",ServExt8[[#This Row],[PESSOAS]],0)</f>
        <v>0</v>
      </c>
      <c r="AP88" s="145">
        <f>IFERROR(ServExt8[[#This Row],[TOTAL3]]*(RESUMO!$F$32/RESUMO!$F$24),0)</f>
        <v>0</v>
      </c>
      <c r="AU88" s="244">
        <v>67</v>
      </c>
      <c r="AV88" s="1" t="s">
        <v>223</v>
      </c>
    </row>
    <row r="89" spans="2:48" x14ac:dyDescent="0.25">
      <c r="B89" s="11"/>
      <c r="C89" s="11"/>
      <c r="D89" s="11"/>
      <c r="E89" s="11"/>
      <c r="F89" s="11"/>
      <c r="G89" s="11"/>
      <c r="H89" s="11"/>
      <c r="I89" s="97"/>
      <c r="J89" s="97"/>
      <c r="K89" s="126"/>
      <c r="L89" s="97"/>
      <c r="M89" s="97"/>
      <c r="N89" s="126"/>
      <c r="O89" s="97"/>
      <c r="P89" s="11"/>
      <c r="Q89" s="11"/>
      <c r="S89" s="11"/>
      <c r="W89" s="115">
        <v>66</v>
      </c>
      <c r="X89" s="115" t="s">
        <v>156</v>
      </c>
      <c r="Y89" s="114"/>
      <c r="Z89" s="132">
        <v>0</v>
      </c>
      <c r="AA89" s="14">
        <f>LOOKUP(Z89,BASE!A$4:A$125,BASE!B$4:B$125)</f>
        <v>0</v>
      </c>
      <c r="AB89" s="117"/>
      <c r="AC89" s="134"/>
      <c r="AD89" s="135">
        <v>8.8000000000000007</v>
      </c>
      <c r="AE89" s="134" t="s">
        <v>155</v>
      </c>
      <c r="AF89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89" s="13">
        <f t="shared" si="6"/>
        <v>0</v>
      </c>
      <c r="AH89" s="141">
        <f>(IF(Z89="","",LOOKUP(Z89,BASE!A$4:A$125,BASE!H$4:H$125)))*ServExt8[[#This Row],[HE CALC]]</f>
        <v>0</v>
      </c>
      <c r="AI89" s="102">
        <f>ServExt8[[#This Row],[TOTAL HORAS]]*ServExt8[[#This Row],[R$ / HORA]]</f>
        <v>0</v>
      </c>
      <c r="AJ89" s="142">
        <f>BASE!$W$54</f>
        <v>0.79709863947533133</v>
      </c>
      <c r="AK89" s="141">
        <f t="shared" si="7"/>
        <v>0</v>
      </c>
      <c r="AL89" s="143">
        <f t="shared" si="8"/>
        <v>0</v>
      </c>
      <c r="AM89" s="144">
        <f>IF(OR(ServExt8[[#This Row],[TIPO H]]="NORMAL",ServExt8[[#This Row],[HORAS DIA]]&gt;=8),ServExt8[[#This Row],[PESSOAS]]*ServExt8[[#This Row],[DIAS]]*2,0)</f>
        <v>0</v>
      </c>
      <c r="AN89" s="144">
        <f>(IF(Z89="","",LOOKUP(Z89,BASE!A$4:A$125,BASE!E$4:E$125)))*ServExt8[[#This Row],[TOTAL HORAS]]</f>
        <v>0</v>
      </c>
      <c r="AO89" s="5">
        <f>IF(ServExt8[[#This Row],[TIPO H]]="NORMAL",ServExt8[[#This Row],[PESSOAS]],0)</f>
        <v>0</v>
      </c>
      <c r="AP89" s="145">
        <f>IFERROR(ServExt8[[#This Row],[TOTAL3]]*(RESUMO!$F$32/RESUMO!$F$24),0)</f>
        <v>0</v>
      </c>
      <c r="AU89" s="244">
        <v>68</v>
      </c>
      <c r="AV89" s="1" t="s">
        <v>224</v>
      </c>
    </row>
    <row r="90" spans="2:48" x14ac:dyDescent="0.25">
      <c r="B90" s="11"/>
      <c r="C90" s="11"/>
      <c r="D90" s="11"/>
      <c r="E90" s="11"/>
      <c r="F90" s="11"/>
      <c r="G90" s="11"/>
      <c r="H90" s="11"/>
      <c r="I90" s="97"/>
      <c r="J90" s="97"/>
      <c r="K90" s="126"/>
      <c r="L90" s="97"/>
      <c r="M90" s="97"/>
      <c r="N90" s="126"/>
      <c r="O90" s="97"/>
      <c r="P90" s="11"/>
      <c r="Q90" s="11"/>
      <c r="S90" s="11"/>
      <c r="W90" s="115">
        <v>67</v>
      </c>
      <c r="X90" s="115" t="s">
        <v>156</v>
      </c>
      <c r="Y90" s="114"/>
      <c r="Z90" s="132">
        <v>0</v>
      </c>
      <c r="AA90" s="14">
        <f>LOOKUP(Z90,BASE!A$4:A$125,BASE!B$4:B$125)</f>
        <v>0</v>
      </c>
      <c r="AB90" s="117"/>
      <c r="AC90" s="134"/>
      <c r="AD90" s="135">
        <v>8.8000000000000007</v>
      </c>
      <c r="AE90" s="134" t="s">
        <v>155</v>
      </c>
      <c r="AF90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90" s="13">
        <f t="shared" si="6"/>
        <v>0</v>
      </c>
      <c r="AH90" s="141">
        <f>(IF(Z90="","",LOOKUP(Z90,BASE!A$4:A$125,BASE!H$4:H$125)))*ServExt8[[#This Row],[HE CALC]]</f>
        <v>0</v>
      </c>
      <c r="AI90" s="102">
        <f>ServExt8[[#This Row],[TOTAL HORAS]]*ServExt8[[#This Row],[R$ / HORA]]</f>
        <v>0</v>
      </c>
      <c r="AJ90" s="142">
        <f>BASE!$W$54</f>
        <v>0.79709863947533133</v>
      </c>
      <c r="AK90" s="141">
        <f t="shared" si="7"/>
        <v>0</v>
      </c>
      <c r="AL90" s="143">
        <f t="shared" si="8"/>
        <v>0</v>
      </c>
      <c r="AM90" s="144">
        <f>IF(OR(ServExt8[[#This Row],[TIPO H]]="NORMAL",ServExt8[[#This Row],[HORAS DIA]]&gt;=8),ServExt8[[#This Row],[PESSOAS]]*ServExt8[[#This Row],[DIAS]]*2,0)</f>
        <v>0</v>
      </c>
      <c r="AN90" s="144">
        <f>(IF(Z90="","",LOOKUP(Z90,BASE!A$4:A$125,BASE!E$4:E$125)))*ServExt8[[#This Row],[TOTAL HORAS]]</f>
        <v>0</v>
      </c>
      <c r="AO90" s="5">
        <f>IF(ServExt8[[#This Row],[TIPO H]]="NORMAL",ServExt8[[#This Row],[PESSOAS]],0)</f>
        <v>0</v>
      </c>
      <c r="AP90" s="145">
        <f>IFERROR(ServExt8[[#This Row],[TOTAL3]]*(RESUMO!$F$32/RESUMO!$F$24),0)</f>
        <v>0</v>
      </c>
      <c r="AU90" s="244">
        <v>69</v>
      </c>
      <c r="AV90" s="1" t="s">
        <v>225</v>
      </c>
    </row>
    <row r="91" spans="2:48" x14ac:dyDescent="0.25">
      <c r="B91" s="11"/>
      <c r="C91" s="11"/>
      <c r="D91" s="11"/>
      <c r="E91" s="11"/>
      <c r="F91" s="11"/>
      <c r="G91" s="11"/>
      <c r="H91" s="11"/>
      <c r="I91" s="97"/>
      <c r="J91" s="97"/>
      <c r="K91" s="126"/>
      <c r="L91" s="97"/>
      <c r="M91" s="97"/>
      <c r="N91" s="126"/>
      <c r="O91" s="97"/>
      <c r="P91" s="11"/>
      <c r="Q91" s="11"/>
      <c r="S91" s="11"/>
      <c r="W91" s="115">
        <v>68</v>
      </c>
      <c r="X91" s="115" t="s">
        <v>156</v>
      </c>
      <c r="Y91" s="114"/>
      <c r="Z91" s="132">
        <v>0</v>
      </c>
      <c r="AA91" s="14">
        <f>LOOKUP(Z91,BASE!A$4:A$125,BASE!B$4:B$125)</f>
        <v>0</v>
      </c>
      <c r="AB91" s="117"/>
      <c r="AC91" s="134"/>
      <c r="AD91" s="135">
        <v>8.8000000000000007</v>
      </c>
      <c r="AE91" s="134" t="s">
        <v>155</v>
      </c>
      <c r="AF91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91" s="13">
        <f t="shared" si="6"/>
        <v>0</v>
      </c>
      <c r="AH91" s="141">
        <f>(IF(Z91="","",LOOKUP(Z91,BASE!A$4:A$125,BASE!H$4:H$125)))*ServExt8[[#This Row],[HE CALC]]</f>
        <v>0</v>
      </c>
      <c r="AI91" s="102">
        <f>ServExt8[[#This Row],[TOTAL HORAS]]*ServExt8[[#This Row],[R$ / HORA]]</f>
        <v>0</v>
      </c>
      <c r="AJ91" s="142">
        <f>BASE!$W$54</f>
        <v>0.79709863947533133</v>
      </c>
      <c r="AK91" s="141">
        <f t="shared" si="7"/>
        <v>0</v>
      </c>
      <c r="AL91" s="143">
        <f t="shared" si="8"/>
        <v>0</v>
      </c>
      <c r="AM91" s="144">
        <f>IF(OR(ServExt8[[#This Row],[TIPO H]]="NORMAL",ServExt8[[#This Row],[HORAS DIA]]&gt;=8),ServExt8[[#This Row],[PESSOAS]]*ServExt8[[#This Row],[DIAS]]*2,0)</f>
        <v>0</v>
      </c>
      <c r="AN91" s="144">
        <f>(IF(Z91="","",LOOKUP(Z91,BASE!A$4:A$125,BASE!E$4:E$125)))*ServExt8[[#This Row],[TOTAL HORAS]]</f>
        <v>0</v>
      </c>
      <c r="AO91" s="5">
        <f>IF(ServExt8[[#This Row],[TIPO H]]="NORMAL",ServExt8[[#This Row],[PESSOAS]],0)</f>
        <v>0</v>
      </c>
      <c r="AP91" s="145">
        <f>IFERROR(ServExt8[[#This Row],[TOTAL3]]*(RESUMO!$F$32/RESUMO!$F$24),0)</f>
        <v>0</v>
      </c>
      <c r="AU91" s="244">
        <v>70</v>
      </c>
      <c r="AV91" s="1" t="s">
        <v>226</v>
      </c>
    </row>
    <row r="92" spans="2:48" x14ac:dyDescent="0.25">
      <c r="B92" s="11"/>
      <c r="C92" s="11"/>
      <c r="D92" s="11"/>
      <c r="E92" s="11"/>
      <c r="F92" s="11"/>
      <c r="G92" s="11"/>
      <c r="H92" s="11"/>
      <c r="I92" s="97"/>
      <c r="J92" s="97"/>
      <c r="K92" s="126"/>
      <c r="L92" s="97"/>
      <c r="M92" s="97"/>
      <c r="N92" s="126"/>
      <c r="O92" s="97"/>
      <c r="P92" s="11"/>
      <c r="Q92" s="11"/>
      <c r="S92" s="11"/>
      <c r="W92" s="115">
        <v>69</v>
      </c>
      <c r="X92" s="115" t="s">
        <v>156</v>
      </c>
      <c r="Y92" s="114"/>
      <c r="Z92" s="132">
        <v>0</v>
      </c>
      <c r="AA92" s="14">
        <f>LOOKUP(Z92,BASE!A$4:A$125,BASE!B$4:B$125)</f>
        <v>0</v>
      </c>
      <c r="AB92" s="117"/>
      <c r="AC92" s="134"/>
      <c r="AD92" s="135">
        <v>8.8000000000000007</v>
      </c>
      <c r="AE92" s="134" t="s">
        <v>155</v>
      </c>
      <c r="AF92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92" s="13">
        <f t="shared" si="6"/>
        <v>0</v>
      </c>
      <c r="AH92" s="141">
        <f>(IF(Z92="","",LOOKUP(Z92,BASE!A$4:A$125,BASE!H$4:H$125)))*ServExt8[[#This Row],[HE CALC]]</f>
        <v>0</v>
      </c>
      <c r="AI92" s="102">
        <f>ServExt8[[#This Row],[TOTAL HORAS]]*ServExt8[[#This Row],[R$ / HORA]]</f>
        <v>0</v>
      </c>
      <c r="AJ92" s="142">
        <f>BASE!$W$54</f>
        <v>0.79709863947533133</v>
      </c>
      <c r="AK92" s="141">
        <f t="shared" si="7"/>
        <v>0</v>
      </c>
      <c r="AL92" s="143">
        <f t="shared" si="8"/>
        <v>0</v>
      </c>
      <c r="AM92" s="144">
        <f>IF(OR(ServExt8[[#This Row],[TIPO H]]="NORMAL",ServExt8[[#This Row],[HORAS DIA]]&gt;=8),ServExt8[[#This Row],[PESSOAS]]*ServExt8[[#This Row],[DIAS]]*2,0)</f>
        <v>0</v>
      </c>
      <c r="AN92" s="144">
        <f>(IF(Z92="","",LOOKUP(Z92,BASE!A$4:A$125,BASE!E$4:E$125)))*ServExt8[[#This Row],[TOTAL HORAS]]</f>
        <v>0</v>
      </c>
      <c r="AO92" s="5">
        <f>IF(ServExt8[[#This Row],[TIPO H]]="NORMAL",ServExt8[[#This Row],[PESSOAS]],0)</f>
        <v>0</v>
      </c>
      <c r="AP92" s="145">
        <f>IFERROR(ServExt8[[#This Row],[TOTAL3]]*(RESUMO!$F$32/RESUMO!$F$24),0)</f>
        <v>0</v>
      </c>
      <c r="AU92" s="244">
        <v>71</v>
      </c>
      <c r="AV92" s="1" t="s">
        <v>227</v>
      </c>
    </row>
    <row r="93" spans="2:48" x14ac:dyDescent="0.25">
      <c r="B93" s="11"/>
      <c r="C93" s="11"/>
      <c r="D93" s="11"/>
      <c r="E93" s="11"/>
      <c r="F93" s="11"/>
      <c r="G93" s="11"/>
      <c r="H93" s="11"/>
      <c r="I93" s="97"/>
      <c r="J93" s="97"/>
      <c r="K93" s="126"/>
      <c r="L93" s="97"/>
      <c r="M93" s="97"/>
      <c r="N93" s="126"/>
      <c r="O93" s="97"/>
      <c r="P93" s="11"/>
      <c r="Q93" s="11"/>
      <c r="W93" s="115">
        <v>70</v>
      </c>
      <c r="X93" s="115" t="s">
        <v>156</v>
      </c>
      <c r="Y93" s="114"/>
      <c r="Z93" s="132">
        <v>0</v>
      </c>
      <c r="AA93" s="14">
        <f>LOOKUP(Z93,BASE!A$4:A$125,BASE!B$4:B$125)</f>
        <v>0</v>
      </c>
      <c r="AB93" s="117"/>
      <c r="AC93" s="134"/>
      <c r="AD93" s="135">
        <v>8.8000000000000007</v>
      </c>
      <c r="AE93" s="134" t="s">
        <v>155</v>
      </c>
      <c r="AF93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93" s="13">
        <f t="shared" si="6"/>
        <v>0</v>
      </c>
      <c r="AH93" s="141">
        <f>(IF(Z93="","",LOOKUP(Z93,BASE!A$4:A$125,BASE!H$4:H$125)))*ServExt8[[#This Row],[HE CALC]]</f>
        <v>0</v>
      </c>
      <c r="AI93" s="102">
        <f>ServExt8[[#This Row],[TOTAL HORAS]]*ServExt8[[#This Row],[R$ / HORA]]</f>
        <v>0</v>
      </c>
      <c r="AJ93" s="142">
        <f>BASE!$W$54</f>
        <v>0.79709863947533133</v>
      </c>
      <c r="AK93" s="141">
        <f t="shared" si="7"/>
        <v>0</v>
      </c>
      <c r="AL93" s="143">
        <f t="shared" si="8"/>
        <v>0</v>
      </c>
      <c r="AM93" s="144">
        <f>IF(OR(ServExt8[[#This Row],[TIPO H]]="NORMAL",ServExt8[[#This Row],[HORAS DIA]]&gt;=8),ServExt8[[#This Row],[PESSOAS]]*ServExt8[[#This Row],[DIAS]]*2,0)</f>
        <v>0</v>
      </c>
      <c r="AN93" s="144">
        <f>(IF(Z93="","",LOOKUP(Z93,BASE!A$4:A$125,BASE!E$4:E$125)))*ServExt8[[#This Row],[TOTAL HORAS]]</f>
        <v>0</v>
      </c>
      <c r="AO93" s="5">
        <f>IF(ServExt8[[#This Row],[TIPO H]]="NORMAL",ServExt8[[#This Row],[PESSOAS]],0)</f>
        <v>0</v>
      </c>
      <c r="AP93" s="145">
        <f>IFERROR(ServExt8[[#This Row],[TOTAL3]]*(RESUMO!$F$32/RESUMO!$F$24),0)</f>
        <v>0</v>
      </c>
      <c r="AU93" s="244">
        <v>72</v>
      </c>
      <c r="AV93" s="1" t="s">
        <v>228</v>
      </c>
    </row>
    <row r="94" spans="2:48" x14ac:dyDescent="0.25">
      <c r="I94" s="97"/>
      <c r="J94" s="97"/>
      <c r="K94" s="126"/>
      <c r="L94" s="97"/>
      <c r="M94" s="97"/>
      <c r="N94" s="126"/>
      <c r="O94" s="97"/>
      <c r="W94" s="115">
        <v>71</v>
      </c>
      <c r="X94" s="115" t="s">
        <v>156</v>
      </c>
      <c r="Y94" s="114"/>
      <c r="Z94" s="132">
        <v>0</v>
      </c>
      <c r="AA94" s="14">
        <f>LOOKUP(Z94,BASE!A$4:A$125,BASE!B$4:B$125)</f>
        <v>0</v>
      </c>
      <c r="AB94" s="117"/>
      <c r="AC94" s="134"/>
      <c r="AD94" s="135">
        <v>8.8000000000000007</v>
      </c>
      <c r="AE94" s="134" t="s">
        <v>155</v>
      </c>
      <c r="AF94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94" s="13">
        <f t="shared" si="6"/>
        <v>0</v>
      </c>
      <c r="AH94" s="141">
        <f>(IF(Z94="","",LOOKUP(Z94,BASE!A$4:A$125,BASE!H$4:H$125)))*ServExt8[[#This Row],[HE CALC]]</f>
        <v>0</v>
      </c>
      <c r="AI94" s="102">
        <f>ServExt8[[#This Row],[TOTAL HORAS]]*ServExt8[[#This Row],[R$ / HORA]]</f>
        <v>0</v>
      </c>
      <c r="AJ94" s="142">
        <f>BASE!$W$54</f>
        <v>0.79709863947533133</v>
      </c>
      <c r="AK94" s="141">
        <f t="shared" si="7"/>
        <v>0</v>
      </c>
      <c r="AL94" s="143">
        <f t="shared" si="8"/>
        <v>0</v>
      </c>
      <c r="AM94" s="144">
        <f>IF(OR(ServExt8[[#This Row],[TIPO H]]="NORMAL",ServExt8[[#This Row],[HORAS DIA]]&gt;=8),ServExt8[[#This Row],[PESSOAS]]*ServExt8[[#This Row],[DIAS]]*2,0)</f>
        <v>0</v>
      </c>
      <c r="AN94" s="144">
        <f>(IF(Z94="","",LOOKUP(Z94,BASE!A$4:A$125,BASE!E$4:E$125)))*ServExt8[[#This Row],[TOTAL HORAS]]</f>
        <v>0</v>
      </c>
      <c r="AO94" s="5">
        <f>IF(ServExt8[[#This Row],[TIPO H]]="NORMAL",ServExt8[[#This Row],[PESSOAS]],0)</f>
        <v>0</v>
      </c>
      <c r="AP94" s="145">
        <f>IFERROR(ServExt8[[#This Row],[TOTAL3]]*(RESUMO!$F$32/RESUMO!$F$24),0)</f>
        <v>0</v>
      </c>
      <c r="AU94" s="244">
        <v>73</v>
      </c>
      <c r="AV94" s="1" t="s">
        <v>229</v>
      </c>
    </row>
    <row r="95" spans="2:48" x14ac:dyDescent="0.25">
      <c r="I95" s="97"/>
      <c r="J95" s="97"/>
      <c r="K95" s="126"/>
      <c r="L95" s="97"/>
      <c r="M95" s="97"/>
      <c r="N95" s="126"/>
      <c r="O95" s="97"/>
      <c r="W95" s="115">
        <v>72</v>
      </c>
      <c r="X95" s="115" t="s">
        <v>156</v>
      </c>
      <c r="Y95" s="114"/>
      <c r="Z95" s="132">
        <v>0</v>
      </c>
      <c r="AA95" s="14">
        <f>LOOKUP(Z95,BASE!A$4:A$125,BASE!B$4:B$125)</f>
        <v>0</v>
      </c>
      <c r="AB95" s="117"/>
      <c r="AC95" s="134"/>
      <c r="AD95" s="135">
        <v>8.8000000000000007</v>
      </c>
      <c r="AE95" s="134" t="s">
        <v>155</v>
      </c>
      <c r="AF95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95" s="13">
        <f t="shared" si="6"/>
        <v>0</v>
      </c>
      <c r="AH95" s="141">
        <f>(IF(Z95="","",LOOKUP(Z95,BASE!A$4:A$125,BASE!H$4:H$125)))*ServExt8[[#This Row],[HE CALC]]</f>
        <v>0</v>
      </c>
      <c r="AI95" s="102">
        <f>ServExt8[[#This Row],[TOTAL HORAS]]*ServExt8[[#This Row],[R$ / HORA]]</f>
        <v>0</v>
      </c>
      <c r="AJ95" s="142">
        <f>BASE!$W$54</f>
        <v>0.79709863947533133</v>
      </c>
      <c r="AK95" s="141">
        <f t="shared" si="7"/>
        <v>0</v>
      </c>
      <c r="AL95" s="143">
        <f t="shared" si="8"/>
        <v>0</v>
      </c>
      <c r="AM95" s="144">
        <f>IF(OR(ServExt8[[#This Row],[TIPO H]]="NORMAL",ServExt8[[#This Row],[HORAS DIA]]&gt;=8),ServExt8[[#This Row],[PESSOAS]]*ServExt8[[#This Row],[DIAS]]*2,0)</f>
        <v>0</v>
      </c>
      <c r="AN95" s="144">
        <f>(IF(Z95="","",LOOKUP(Z95,BASE!A$4:A$125,BASE!E$4:E$125)))*ServExt8[[#This Row],[TOTAL HORAS]]</f>
        <v>0</v>
      </c>
      <c r="AO95" s="5">
        <f>IF(ServExt8[[#This Row],[TIPO H]]="NORMAL",ServExt8[[#This Row],[PESSOAS]],0)</f>
        <v>0</v>
      </c>
      <c r="AP95" s="145">
        <f>IFERROR(ServExt8[[#This Row],[TOTAL3]]*(RESUMO!$F$32/RESUMO!$F$24),0)</f>
        <v>0</v>
      </c>
      <c r="AU95" s="244">
        <v>74</v>
      </c>
      <c r="AV95" s="1" t="s">
        <v>230</v>
      </c>
    </row>
    <row r="96" spans="2:48" x14ac:dyDescent="0.25">
      <c r="I96" s="97"/>
      <c r="J96" s="97"/>
      <c r="K96" s="126"/>
      <c r="L96" s="97"/>
      <c r="M96" s="97"/>
      <c r="N96" s="126"/>
      <c r="O96" s="97"/>
      <c r="W96" s="115">
        <v>73</v>
      </c>
      <c r="X96" s="115" t="s">
        <v>156</v>
      </c>
      <c r="Y96" s="114"/>
      <c r="Z96" s="132">
        <v>0</v>
      </c>
      <c r="AA96" s="14">
        <f>LOOKUP(Z96,BASE!A$4:A$125,BASE!B$4:B$125)</f>
        <v>0</v>
      </c>
      <c r="AB96" s="117"/>
      <c r="AC96" s="134"/>
      <c r="AD96" s="135">
        <v>8.8000000000000007</v>
      </c>
      <c r="AE96" s="134" t="s">
        <v>155</v>
      </c>
      <c r="AF96" s="118">
        <f>_xlfn.IFS(ServExt8[[#This Row],[TIPO H]]="EXTRA 150%",((1)*2.5),ServExt8[[#This Row],[TIPO H]]="EXTRA 100%",((1)*2),ServExt8[[#This Row],[TIPO H]]="EXTRA 75%",((1)*1.75),ServExt8[[#This Row],[TIPO H]]="EXTRA 50%",((1)*1.5),ServExt8[[#This Row],[TIPO H]]="NORMAL",((1)))</f>
        <v>1</v>
      </c>
      <c r="AG96" s="13">
        <f t="shared" si="6"/>
        <v>0</v>
      </c>
      <c r="AH96" s="141">
        <f>(IF(Z96="","",LOOKUP(Z96,BASE!A$4:A$125,BASE!H$4:H$125)))*ServExt8[[#This Row],[HE CALC]]</f>
        <v>0</v>
      </c>
      <c r="AI96" s="102">
        <f>ServExt8[[#This Row],[TOTAL HORAS]]*ServExt8[[#This Row],[R$ / HORA]]</f>
        <v>0</v>
      </c>
      <c r="AJ96" s="142">
        <f>BASE!$W$54</f>
        <v>0.79709863947533133</v>
      </c>
      <c r="AK96" s="141">
        <f t="shared" si="7"/>
        <v>0</v>
      </c>
      <c r="AL96" s="143">
        <f t="shared" si="8"/>
        <v>0</v>
      </c>
      <c r="AM96" s="144">
        <f>IF(OR(ServExt8[[#This Row],[TIPO H]]="NORMAL",ServExt8[[#This Row],[HORAS DIA]]&gt;=8),ServExt8[[#This Row],[PESSOAS]]*ServExt8[[#This Row],[DIAS]]*2,0)</f>
        <v>0</v>
      </c>
      <c r="AN96" s="144">
        <f>(IF(Z96="","",LOOKUP(Z96,BASE!A$4:A$125,BASE!E$4:E$125)))*ServExt8[[#This Row],[TOTAL HORAS]]</f>
        <v>0</v>
      </c>
      <c r="AO96" s="5">
        <f>IF(ServExt8[[#This Row],[TIPO H]]="NORMAL",ServExt8[[#This Row],[PESSOAS]],0)</f>
        <v>0</v>
      </c>
      <c r="AP96" s="145">
        <f>IFERROR(ServExt8[[#This Row],[TOTAL3]]*(RESUMO!$F$32/RESUMO!$F$24),0)</f>
        <v>0</v>
      </c>
      <c r="AU96" s="244">
        <v>75</v>
      </c>
      <c r="AV96" s="1" t="s">
        <v>231</v>
      </c>
    </row>
    <row r="97" spans="9:48" x14ac:dyDescent="0.25">
      <c r="I97" s="97"/>
      <c r="J97" s="97"/>
      <c r="K97" s="126"/>
      <c r="L97" s="97"/>
      <c r="M97" s="97"/>
      <c r="N97" s="126"/>
      <c r="O97" s="97"/>
      <c r="W97" s="14" t="s">
        <v>198</v>
      </c>
      <c r="X97" s="14"/>
      <c r="Y97" s="114"/>
      <c r="Z97" s="115"/>
      <c r="AA97" s="14"/>
      <c r="AB97" s="117">
        <f>SUBTOTAL(109,ServExt8[DIAS])</f>
        <v>498</v>
      </c>
      <c r="AC97" s="134">
        <f>SUBTOTAL(109,ServExt8[PESSOAS])</f>
        <v>15</v>
      </c>
      <c r="AD97" s="135"/>
      <c r="AE97" s="115"/>
      <c r="AF97" s="14"/>
      <c r="AG97" s="14"/>
      <c r="AH97" s="14"/>
      <c r="AI97" s="102">
        <f>SUBTOTAL(109,ServExt8[TOTAL])</f>
        <v>269517.60000000003</v>
      </c>
      <c r="AJ97" s="14"/>
      <c r="AK97" s="14"/>
      <c r="AL97" s="102">
        <f>SUBTOTAL(109,ServExt8[TOTAL3])</f>
        <v>338123.27189192385</v>
      </c>
      <c r="AM97" s="5">
        <f>SUBTOTAL(109,ServExt8[TOTAL4])</f>
        <v>2490</v>
      </c>
      <c r="AN97" s="5">
        <f>SUBTOTAL(109,ServExt8[MULTA])</f>
        <v>9731.9153363658206</v>
      </c>
      <c r="AO97" s="5">
        <f>SUBTOTAL(109,ServExt8[Coluna1])</f>
        <v>15</v>
      </c>
      <c r="AP97" s="149">
        <f>SUBTOTAL(109,ServExt8[VENDA COM IMPOSTOS])</f>
        <v>380983.96832892834</v>
      </c>
      <c r="AU97" s="244">
        <v>76</v>
      </c>
      <c r="AV97" s="1" t="s">
        <v>232</v>
      </c>
    </row>
    <row r="98" spans="9:48" x14ac:dyDescent="0.25">
      <c r="I98" s="97"/>
      <c r="J98" s="97"/>
      <c r="K98" s="126"/>
      <c r="L98" s="97"/>
      <c r="M98" s="97"/>
      <c r="N98" s="126"/>
      <c r="O98" s="97"/>
      <c r="AU98" s="244">
        <v>77</v>
      </c>
      <c r="AV98" s="1" t="s">
        <v>233</v>
      </c>
    </row>
    <row r="99" spans="9:48" x14ac:dyDescent="0.25">
      <c r="I99" s="97"/>
      <c r="J99" s="97"/>
      <c r="K99" s="126"/>
      <c r="L99" s="97"/>
      <c r="M99" s="97"/>
      <c r="N99" s="126"/>
      <c r="O99" s="97"/>
      <c r="AU99" s="244">
        <v>78</v>
      </c>
      <c r="AV99" s="1" t="s">
        <v>234</v>
      </c>
    </row>
    <row r="100" spans="9:48" x14ac:dyDescent="0.25">
      <c r="I100" s="97"/>
      <c r="J100" s="97"/>
      <c r="K100" s="126"/>
      <c r="L100" s="97"/>
      <c r="M100" s="97"/>
      <c r="N100" s="126"/>
      <c r="O100" s="97"/>
      <c r="AU100" s="244">
        <v>79</v>
      </c>
      <c r="AV100" s="1" t="s">
        <v>235</v>
      </c>
    </row>
    <row r="101" spans="9:48" x14ac:dyDescent="0.25">
      <c r="I101" s="97"/>
      <c r="J101" s="97"/>
      <c r="K101" s="126"/>
      <c r="L101" s="97"/>
      <c r="M101" s="97"/>
      <c r="N101" s="126"/>
      <c r="O101" s="97"/>
      <c r="AU101" s="244">
        <v>80</v>
      </c>
      <c r="AV101" s="1" t="s">
        <v>236</v>
      </c>
    </row>
    <row r="102" spans="9:48" x14ac:dyDescent="0.25">
      <c r="I102" s="97"/>
      <c r="J102" s="97"/>
      <c r="K102" s="126"/>
      <c r="L102" s="97"/>
      <c r="M102" s="97"/>
      <c r="N102" s="126"/>
      <c r="O102" s="97"/>
      <c r="AU102" s="244">
        <v>81</v>
      </c>
      <c r="AV102" s="1" t="s">
        <v>237</v>
      </c>
    </row>
    <row r="103" spans="9:48" x14ac:dyDescent="0.25">
      <c r="AU103" s="244">
        <v>82</v>
      </c>
      <c r="AV103" s="1" t="s">
        <v>238</v>
      </c>
    </row>
    <row r="104" spans="9:48" x14ac:dyDescent="0.25">
      <c r="AU104" s="244">
        <v>83</v>
      </c>
      <c r="AV104" s="1" t="s">
        <v>239</v>
      </c>
    </row>
    <row r="105" spans="9:48" x14ac:dyDescent="0.25">
      <c r="AU105" s="244">
        <v>84</v>
      </c>
      <c r="AV105" s="1" t="s">
        <v>240</v>
      </c>
    </row>
    <row r="106" spans="9:48" x14ac:dyDescent="0.25">
      <c r="AU106" s="244">
        <v>85</v>
      </c>
      <c r="AV106" s="1" t="s">
        <v>241</v>
      </c>
    </row>
    <row r="107" spans="9:48" x14ac:dyDescent="0.25">
      <c r="AU107" s="244">
        <v>86</v>
      </c>
      <c r="AV107" s="1" t="s">
        <v>242</v>
      </c>
    </row>
    <row r="108" spans="9:48" x14ac:dyDescent="0.25">
      <c r="AU108" s="244">
        <v>87</v>
      </c>
      <c r="AV108" s="1" t="s">
        <v>243</v>
      </c>
    </row>
    <row r="109" spans="9:48" x14ac:dyDescent="0.25">
      <c r="AU109" s="244">
        <v>88</v>
      </c>
      <c r="AV109" s="1" t="s">
        <v>244</v>
      </c>
    </row>
    <row r="110" spans="9:48" x14ac:dyDescent="0.25">
      <c r="AU110" s="244">
        <v>89</v>
      </c>
      <c r="AV110" s="1" t="s">
        <v>245</v>
      </c>
    </row>
    <row r="111" spans="9:48" x14ac:dyDescent="0.25">
      <c r="AU111" s="244">
        <v>90</v>
      </c>
      <c r="AV111" s="1" t="s">
        <v>246</v>
      </c>
    </row>
    <row r="112" spans="9:48" x14ac:dyDescent="0.25">
      <c r="AU112" s="244">
        <v>91</v>
      </c>
      <c r="AV112" s="1" t="s">
        <v>247</v>
      </c>
    </row>
    <row r="113" spans="47:48" x14ac:dyDescent="0.25">
      <c r="AU113" s="244">
        <v>92</v>
      </c>
      <c r="AV113" s="1" t="s">
        <v>248</v>
      </c>
    </row>
    <row r="114" spans="47:48" x14ac:dyDescent="0.25">
      <c r="AU114" s="244">
        <v>93</v>
      </c>
      <c r="AV114" s="1" t="s">
        <v>249</v>
      </c>
    </row>
    <row r="115" spans="47:48" x14ac:dyDescent="0.25">
      <c r="AU115" s="244">
        <v>94</v>
      </c>
      <c r="AV115" s="1" t="s">
        <v>250</v>
      </c>
    </row>
    <row r="116" spans="47:48" x14ac:dyDescent="0.25">
      <c r="AU116" s="244">
        <v>95</v>
      </c>
      <c r="AV116" s="1" t="s">
        <v>251</v>
      </c>
    </row>
    <row r="117" spans="47:48" x14ac:dyDescent="0.25">
      <c r="AU117" s="244">
        <v>96</v>
      </c>
      <c r="AV117" s="1" t="s">
        <v>252</v>
      </c>
    </row>
    <row r="118" spans="47:48" x14ac:dyDescent="0.25">
      <c r="AU118" s="244">
        <v>97</v>
      </c>
      <c r="AV118" s="1" t="s">
        <v>253</v>
      </c>
    </row>
    <row r="119" spans="47:48" x14ac:dyDescent="0.25">
      <c r="AU119" s="244">
        <v>98</v>
      </c>
      <c r="AV119" s="1" t="s">
        <v>254</v>
      </c>
    </row>
    <row r="120" spans="47:48" x14ac:dyDescent="0.25">
      <c r="AU120" s="244">
        <v>99</v>
      </c>
      <c r="AV120" s="1" t="s">
        <v>255</v>
      </c>
    </row>
    <row r="121" spans="47:48" x14ac:dyDescent="0.25">
      <c r="AU121" s="244">
        <v>100</v>
      </c>
      <c r="AV121" s="1" t="s">
        <v>256</v>
      </c>
    </row>
    <row r="122" spans="47:48" x14ac:dyDescent="0.25">
      <c r="AU122" s="244">
        <v>101</v>
      </c>
      <c r="AV122" s="1" t="s">
        <v>257</v>
      </c>
    </row>
    <row r="123" spans="47:48" x14ac:dyDescent="0.25">
      <c r="AU123" s="244">
        <v>102</v>
      </c>
      <c r="AV123" s="1" t="s">
        <v>258</v>
      </c>
    </row>
    <row r="124" spans="47:48" x14ac:dyDescent="0.25">
      <c r="AU124" s="244">
        <v>103</v>
      </c>
      <c r="AV124" s="1" t="s">
        <v>259</v>
      </c>
    </row>
    <row r="125" spans="47:48" x14ac:dyDescent="0.25">
      <c r="AU125" s="244">
        <v>104</v>
      </c>
      <c r="AV125" s="1" t="s">
        <v>260</v>
      </c>
    </row>
    <row r="126" spans="47:48" x14ac:dyDescent="0.25">
      <c r="AU126" s="244">
        <v>105</v>
      </c>
      <c r="AV126" s="1" t="s">
        <v>261</v>
      </c>
    </row>
    <row r="127" spans="47:48" x14ac:dyDescent="0.25">
      <c r="AU127" s="244">
        <v>106</v>
      </c>
      <c r="AV127" s="1" t="s">
        <v>262</v>
      </c>
    </row>
    <row r="128" spans="47:48" x14ac:dyDescent="0.25">
      <c r="AU128" s="244">
        <v>107</v>
      </c>
      <c r="AV128" s="1" t="s">
        <v>263</v>
      </c>
    </row>
    <row r="129" spans="47:48" x14ac:dyDescent="0.25">
      <c r="AU129" s="244">
        <v>108</v>
      </c>
      <c r="AV129" s="1" t="s">
        <v>264</v>
      </c>
    </row>
    <row r="130" spans="47:48" x14ac:dyDescent="0.25">
      <c r="AU130" s="244">
        <v>109</v>
      </c>
      <c r="AV130" s="1" t="s">
        <v>265</v>
      </c>
    </row>
    <row r="131" spans="47:48" x14ac:dyDescent="0.25">
      <c r="AU131" s="244">
        <v>110</v>
      </c>
      <c r="AV131" s="1" t="s">
        <v>266</v>
      </c>
    </row>
    <row r="132" spans="47:48" x14ac:dyDescent="0.25">
      <c r="AU132" s="244">
        <v>111</v>
      </c>
      <c r="AV132" s="1" t="s">
        <v>267</v>
      </c>
    </row>
    <row r="133" spans="47:48" x14ac:dyDescent="0.25">
      <c r="AU133" s="244">
        <v>112</v>
      </c>
      <c r="AV133" s="1" t="s">
        <v>268</v>
      </c>
    </row>
    <row r="134" spans="47:48" x14ac:dyDescent="0.25">
      <c r="AU134" s="244">
        <v>113</v>
      </c>
      <c r="AV134" s="1" t="s">
        <v>269</v>
      </c>
    </row>
    <row r="135" spans="47:48" x14ac:dyDescent="0.25">
      <c r="AU135" s="244">
        <v>114</v>
      </c>
      <c r="AV135" s="1" t="s">
        <v>270</v>
      </c>
    </row>
    <row r="136" spans="47:48" x14ac:dyDescent="0.25">
      <c r="AU136" s="244">
        <v>115</v>
      </c>
      <c r="AV136" s="1" t="s">
        <v>271</v>
      </c>
    </row>
    <row r="137" spans="47:48" x14ac:dyDescent="0.25">
      <c r="AU137" s="244">
        <v>116</v>
      </c>
      <c r="AV137" s="1" t="s">
        <v>272</v>
      </c>
    </row>
    <row r="138" spans="47:48" x14ac:dyDescent="0.25">
      <c r="AU138" s="244">
        <v>117</v>
      </c>
      <c r="AV138" s="1" t="s">
        <v>273</v>
      </c>
    </row>
    <row r="139" spans="47:48" x14ac:dyDescent="0.25">
      <c r="AU139" s="244">
        <v>118</v>
      </c>
      <c r="AV139" s="1" t="s">
        <v>274</v>
      </c>
    </row>
    <row r="140" spans="47:48" x14ac:dyDescent="0.25">
      <c r="AU140" s="244">
        <v>119</v>
      </c>
      <c r="AV140" s="1" t="s">
        <v>275</v>
      </c>
    </row>
    <row r="141" spans="47:48" x14ac:dyDescent="0.25">
      <c r="AU141" s="244">
        <v>120</v>
      </c>
      <c r="AV141" s="1" t="s">
        <v>276</v>
      </c>
    </row>
    <row r="142" spans="47:48" x14ac:dyDescent="0.25">
      <c r="AU142" s="244">
        <v>121</v>
      </c>
      <c r="AV142" s="1" t="s">
        <v>277</v>
      </c>
    </row>
  </sheetData>
  <sheetProtection algorithmName="SHA-512" hashValue="ZspqYR35bOYKsguI2yYHbWGIMy3+KH2kr8HqjJFdeo+eN0jINV+jdSb9IJsIQ/iEeji5MMrFbu+lpBcqVeqm1Q==" saltValue="otsCItNvsb5B5+LwtZ3MeA==" spinCount="100000" sheet="1" formatCells="0" formatColumns="0" formatRows="0" insertRows="0" selectLockedCells="1" sort="0" autoFilter="0"/>
  <mergeCells count="30">
    <mergeCell ref="AU21:AV21"/>
    <mergeCell ref="O16:P16"/>
    <mergeCell ref="B21:T21"/>
    <mergeCell ref="A1:E4"/>
    <mergeCell ref="F1:T4"/>
    <mergeCell ref="J13:J14"/>
    <mergeCell ref="J15:J19"/>
    <mergeCell ref="D5:F5"/>
    <mergeCell ref="D9:F9"/>
    <mergeCell ref="D13:I13"/>
    <mergeCell ref="D19:G19"/>
    <mergeCell ref="H19:I19"/>
    <mergeCell ref="H14:I14"/>
    <mergeCell ref="H15:I15"/>
    <mergeCell ref="H16:I16"/>
    <mergeCell ref="E17:F17"/>
    <mergeCell ref="AF22:AI22"/>
    <mergeCell ref="AJ22:AL22"/>
    <mergeCell ref="W21:AP21"/>
    <mergeCell ref="B66:Q66"/>
    <mergeCell ref="B22:D22"/>
    <mergeCell ref="G22:J22"/>
    <mergeCell ref="K22:N22"/>
    <mergeCell ref="O22:Q22"/>
    <mergeCell ref="B65:Q65"/>
    <mergeCell ref="H17:I17"/>
    <mergeCell ref="F18:G18"/>
    <mergeCell ref="H18:I18"/>
    <mergeCell ref="W22:Y22"/>
    <mergeCell ref="AB22:AE22"/>
  </mergeCells>
  <phoneticPr fontId="25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F24:F63 AA24:AA96" calculatedColumn="1"/>
  </ignoredErrors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BE3890-B9BF-4C6F-938C-D93DE252DBAA}">
          <x14:formula1>
            <xm:f>BASE!$BA$3:$BA$19</xm:f>
          </x14:formula1>
          <xm:sqref>C24:C63 X24:X96</xm:sqref>
        </x14:dataValidation>
        <x14:dataValidation type="list" allowBlank="1" showInputMessage="1" showErrorMessage="1" xr:uid="{A0B2E71F-184F-4A8E-87BC-096B4B1F0FC0}">
          <x14:formula1>
            <xm:f>BASE!$O$3:$O$7</xm:f>
          </x14:formula1>
          <xm:sqref>J24:J63 AE24:AE96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761D-9E33-42C0-B7AB-EDAC37EDA2EC}">
  <sheetPr codeName="Planilha5">
    <tabColor theme="5" tint="-0.249977111117893"/>
  </sheetPr>
  <dimension ref="A2:AJ60"/>
  <sheetViews>
    <sheetView showGridLines="0" zoomScaleNormal="100" workbookViewId="0">
      <pane ySplit="8" topLeftCell="A16" activePane="bottomLeft" state="frozen"/>
      <selection pane="bottomLeft" activeCell="H52" sqref="H52"/>
    </sheetView>
  </sheetViews>
  <sheetFormatPr defaultColWidth="8.81640625" defaultRowHeight="11.5" x14ac:dyDescent="0.25"/>
  <cols>
    <col min="1" max="1" width="4.1796875" style="5" customWidth="1"/>
    <col min="2" max="2" width="9.453125" style="5" bestFit="1" customWidth="1"/>
    <col min="3" max="3" width="110.7265625" style="5" bestFit="1" customWidth="1"/>
    <col min="4" max="4" width="22.453125" style="5" bestFit="1" customWidth="1"/>
    <col min="5" max="5" width="22.54296875" style="246" bestFit="1" customWidth="1"/>
    <col min="6" max="6" width="23.81640625" style="246" bestFit="1" customWidth="1"/>
    <col min="7" max="7" width="25.453125" style="246" customWidth="1"/>
    <col min="8" max="8" width="16.1796875" style="246" bestFit="1" customWidth="1"/>
    <col min="9" max="9" width="16.1796875" style="5" customWidth="1"/>
    <col min="10" max="10" width="20.453125" style="5" customWidth="1"/>
    <col min="11" max="11" width="19.453125" style="5" customWidth="1"/>
    <col min="12" max="12" width="19.26953125" style="5" bestFit="1" customWidth="1"/>
    <col min="13" max="13" width="14.54296875" style="94" hidden="1" customWidth="1"/>
    <col min="14" max="14" width="22.26953125" style="5" bestFit="1" customWidth="1"/>
    <col min="15" max="15" width="19.453125" style="5" bestFit="1" customWidth="1"/>
    <col min="16" max="16" width="18" style="5" hidden="1" customWidth="1"/>
    <col min="17" max="17" width="8.81640625" style="5"/>
    <col min="18" max="18" width="8.81640625" style="1"/>
    <col min="19" max="19" width="9.81640625" style="1" bestFit="1" customWidth="1"/>
    <col min="20" max="21" width="8.81640625" style="1"/>
    <col min="22" max="22" width="9.81640625" style="1" bestFit="1" customWidth="1"/>
    <col min="23" max="16384" width="8.81640625" style="1"/>
  </cols>
  <sheetData>
    <row r="2" spans="1:36" s="8" customFormat="1" ht="20.5" customHeight="1" x14ac:dyDescent="0.35">
      <c r="B2" s="739" t="s">
        <v>280</v>
      </c>
      <c r="C2" s="739"/>
      <c r="D2" s="739"/>
      <c r="E2" s="96"/>
      <c r="F2" s="303"/>
      <c r="G2" s="735" t="s">
        <v>281</v>
      </c>
      <c r="H2" s="735"/>
      <c r="I2" s="735"/>
      <c r="J2" s="735"/>
      <c r="K2" s="735"/>
      <c r="L2" s="736" t="s">
        <v>67</v>
      </c>
      <c r="M2" s="736"/>
      <c r="N2" s="737">
        <v>0</v>
      </c>
      <c r="O2" s="737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24"/>
      <c r="AJ2" s="24"/>
    </row>
    <row r="3" spans="1:36" s="8" customFormat="1" ht="20.5" customHeight="1" x14ac:dyDescent="0.35">
      <c r="A3" s="9"/>
      <c r="B3" s="739"/>
      <c r="C3" s="739"/>
      <c r="D3" s="739"/>
      <c r="E3" s="96"/>
      <c r="F3" s="303"/>
      <c r="G3" s="735"/>
      <c r="H3" s="735"/>
      <c r="I3" s="735"/>
      <c r="J3" s="735"/>
      <c r="K3" s="735"/>
      <c r="L3" s="736" t="s">
        <v>282</v>
      </c>
      <c r="M3" s="736"/>
      <c r="N3" s="737" t="s">
        <v>283</v>
      </c>
      <c r="O3" s="737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24"/>
      <c r="AJ3" s="24"/>
    </row>
    <row r="4" spans="1:36" s="8" customFormat="1" ht="20.5" customHeight="1" x14ac:dyDescent="0.35">
      <c r="A4" s="9"/>
      <c r="B4" s="739"/>
      <c r="C4" s="739"/>
      <c r="D4" s="739"/>
      <c r="E4" s="96"/>
      <c r="F4" s="303"/>
      <c r="G4" s="735"/>
      <c r="H4" s="735"/>
      <c r="I4" s="735"/>
      <c r="J4" s="735"/>
      <c r="K4" s="735"/>
      <c r="L4" s="736" t="s">
        <v>279</v>
      </c>
      <c r="M4" s="736"/>
      <c r="N4" s="738">
        <v>43420</v>
      </c>
      <c r="O4" s="738"/>
      <c r="V4" s="10"/>
      <c r="W4" s="10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24"/>
      <c r="AJ4" s="24"/>
    </row>
    <row r="5" spans="1:36" x14ac:dyDescent="0.25">
      <c r="A5" s="97"/>
      <c r="B5" s="97"/>
      <c r="C5" s="97"/>
      <c r="D5" s="97"/>
      <c r="E5" s="130"/>
      <c r="F5" s="130"/>
      <c r="G5" s="130"/>
      <c r="H5" s="130"/>
      <c r="I5" s="97"/>
      <c r="J5" s="97"/>
      <c r="K5" s="97"/>
      <c r="L5" s="97"/>
      <c r="M5" s="98"/>
      <c r="N5" s="97"/>
    </row>
    <row r="6" spans="1:36" x14ac:dyDescent="0.25">
      <c r="A6" s="97"/>
      <c r="B6" s="97"/>
      <c r="C6" s="97"/>
      <c r="D6" s="97"/>
      <c r="E6" s="130"/>
      <c r="F6" s="130"/>
      <c r="G6" s="130"/>
      <c r="H6" s="130"/>
      <c r="I6" s="97"/>
      <c r="J6" s="97"/>
      <c r="K6" s="97"/>
      <c r="L6" s="97"/>
      <c r="M6" s="98"/>
    </row>
    <row r="7" spans="1:36" s="2" customFormat="1" ht="15" customHeight="1" x14ac:dyDescent="0.25">
      <c r="A7" s="14"/>
      <c r="B7" s="728" t="s">
        <v>284</v>
      </c>
      <c r="C7" s="728"/>
      <c r="D7" s="728"/>
      <c r="E7" s="728"/>
      <c r="F7" s="728"/>
      <c r="G7" s="728"/>
      <c r="H7" s="728" t="s">
        <v>69</v>
      </c>
      <c r="I7" s="728"/>
      <c r="J7" s="728"/>
      <c r="K7" s="728"/>
      <c r="L7" s="728"/>
      <c r="M7" s="728"/>
      <c r="N7" s="728" t="s">
        <v>285</v>
      </c>
      <c r="O7" s="728"/>
      <c r="P7" s="111" t="s">
        <v>286</v>
      </c>
      <c r="Q7" s="11"/>
    </row>
    <row r="8" spans="1:36" s="2" customFormat="1" x14ac:dyDescent="0.25">
      <c r="A8" s="14"/>
      <c r="B8" s="304" t="s">
        <v>134</v>
      </c>
      <c r="C8" s="304" t="s">
        <v>38</v>
      </c>
      <c r="D8" s="304" t="s">
        <v>135</v>
      </c>
      <c r="E8" s="338" t="s">
        <v>287</v>
      </c>
      <c r="F8" s="338" t="s">
        <v>288</v>
      </c>
      <c r="G8" s="304" t="s">
        <v>102</v>
      </c>
      <c r="H8" s="338" t="s">
        <v>109</v>
      </c>
      <c r="I8" s="337" t="s">
        <v>98</v>
      </c>
      <c r="J8" s="338" t="s">
        <v>289</v>
      </c>
      <c r="K8" s="337" t="s">
        <v>290</v>
      </c>
      <c r="L8" s="337" t="s">
        <v>291</v>
      </c>
      <c r="M8" s="337" t="s">
        <v>112</v>
      </c>
      <c r="N8" s="341" t="s">
        <v>292</v>
      </c>
      <c r="O8" s="337" t="s">
        <v>293</v>
      </c>
      <c r="P8" s="99" t="s">
        <v>294</v>
      </c>
      <c r="Q8" s="11"/>
    </row>
    <row r="9" spans="1:36" s="2" customFormat="1" x14ac:dyDescent="0.25">
      <c r="A9" s="14"/>
      <c r="B9" s="100"/>
      <c r="C9" s="288" t="s">
        <v>870</v>
      </c>
      <c r="D9" s="104" t="s">
        <v>153</v>
      </c>
      <c r="E9" s="119"/>
      <c r="F9" s="119">
        <v>0</v>
      </c>
      <c r="G9" s="342"/>
      <c r="H9" s="101"/>
      <c r="I9" s="107"/>
      <c r="J9" s="101" t="s">
        <v>295</v>
      </c>
      <c r="K9" s="19">
        <f>ServTerc[[#This Row],[VALOR]]*ServTerc[[#This Row],[QUANTIDADE]]</f>
        <v>0</v>
      </c>
      <c r="L9" s="19" t="s">
        <v>422</v>
      </c>
      <c r="M9" s="235" cm="1">
        <f t="array" ref="M9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9" s="108">
        <f>ServTerc[[#This Row],[VALOR]]/ServTerc[[#This Row],[MARK-UP]]</f>
        <v>0</v>
      </c>
      <c r="O9" s="19">
        <f>ServTerc[[#This Row],[TOTAL CUSTO]]/ServTerc[[#This Row],[MARK-UP]]</f>
        <v>0</v>
      </c>
      <c r="P9" s="236">
        <f>IF(ServTerc[[#This Row],[FATURAMENTO]]="NORMAL",ServTerc[[#This Row],[TOTAL VENDA]],0)</f>
        <v>0</v>
      </c>
      <c r="Q9" s="11"/>
    </row>
    <row r="10" spans="1:36" s="2" customFormat="1" x14ac:dyDescent="0.25">
      <c r="A10" s="14"/>
      <c r="B10" s="100"/>
      <c r="C10" s="100" t="s">
        <v>296</v>
      </c>
      <c r="D10" s="104" t="s">
        <v>153</v>
      </c>
      <c r="E10" s="119"/>
      <c r="F10" s="119">
        <v>0</v>
      </c>
      <c r="G10" s="342"/>
      <c r="H10" s="101"/>
      <c r="I10" s="289">
        <v>50000</v>
      </c>
      <c r="J10" s="101" t="s">
        <v>295</v>
      </c>
      <c r="K10" s="19">
        <f>ServTerc[[#This Row],[VALOR]]*ServTerc[[#This Row],[QUANTIDADE]]</f>
        <v>0</v>
      </c>
      <c r="L10" s="19" t="s">
        <v>422</v>
      </c>
      <c r="M10" s="235" cm="1">
        <f t="array" ref="M10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0" s="108">
        <f>ServTerc[[#This Row],[VALOR]]/ServTerc[[#This Row],[MARK-UP]]</f>
        <v>55735.23111041895</v>
      </c>
      <c r="O10" s="19">
        <f>ServTerc[[#This Row],[TOTAL CUSTO]]/ServTerc[[#This Row],[MARK-UP]]</f>
        <v>0</v>
      </c>
      <c r="P10" s="236">
        <f>IF(ServTerc[[#This Row],[FATURAMENTO]]="NORMAL",ServTerc[[#This Row],[TOTAL VENDA]],0)</f>
        <v>0</v>
      </c>
      <c r="Q10" s="11"/>
    </row>
    <row r="11" spans="1:36" s="2" customFormat="1" x14ac:dyDescent="0.25">
      <c r="A11" s="14"/>
      <c r="B11" s="100"/>
      <c r="C11" s="100" t="s">
        <v>297</v>
      </c>
      <c r="D11" s="104" t="s">
        <v>153</v>
      </c>
      <c r="E11" s="119"/>
      <c r="F11" s="119">
        <v>0</v>
      </c>
      <c r="G11" s="342"/>
      <c r="H11" s="101"/>
      <c r="I11" s="289">
        <v>50000</v>
      </c>
      <c r="J11" s="101" t="s">
        <v>295</v>
      </c>
      <c r="K11" s="19">
        <f>ServTerc[[#This Row],[VALOR]]*ServTerc[[#This Row],[QUANTIDADE]]</f>
        <v>0</v>
      </c>
      <c r="L11" s="19" t="s">
        <v>422</v>
      </c>
      <c r="M11" s="235" cm="1">
        <f t="array" ref="M11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1" s="108">
        <f>ServTerc[[#This Row],[VALOR]]/ServTerc[[#This Row],[MARK-UP]]</f>
        <v>55735.23111041895</v>
      </c>
      <c r="O11" s="19">
        <f>ServTerc[[#This Row],[TOTAL CUSTO]]/ServTerc[[#This Row],[MARK-UP]]</f>
        <v>0</v>
      </c>
      <c r="P11" s="236">
        <f>IF(ServTerc[[#This Row],[FATURAMENTO]]="NORMAL",ServTerc[[#This Row],[TOTAL VENDA]],0)</f>
        <v>0</v>
      </c>
      <c r="Q11" s="11"/>
    </row>
    <row r="12" spans="1:36" s="2" customFormat="1" x14ac:dyDescent="0.25">
      <c r="A12" s="14"/>
      <c r="B12" s="100"/>
      <c r="C12" s="100" t="s">
        <v>298</v>
      </c>
      <c r="D12" s="104" t="s">
        <v>153</v>
      </c>
      <c r="E12" s="119"/>
      <c r="F12" s="119">
        <v>0</v>
      </c>
      <c r="G12" s="104"/>
      <c r="H12" s="101"/>
      <c r="I12" s="289">
        <v>75000</v>
      </c>
      <c r="J12" s="101" t="s">
        <v>295</v>
      </c>
      <c r="K12" s="19">
        <f>ServTerc[[#This Row],[VALOR]]*ServTerc[[#This Row],[QUANTIDADE]]</f>
        <v>0</v>
      </c>
      <c r="L12" s="19" t="s">
        <v>422</v>
      </c>
      <c r="M12" s="235" cm="1">
        <f t="array" ref="M12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2" s="18">
        <f>ServTerc[[#This Row],[VALOR]]/ServTerc[[#This Row],[MARK-UP]]</f>
        <v>83602.846665628429</v>
      </c>
      <c r="O12" s="19">
        <f>ServTerc[[#This Row],[TOTAL CUSTO]]/ServTerc[[#This Row],[MARK-UP]]</f>
        <v>0</v>
      </c>
      <c r="P12" s="236">
        <f>IF(ServTerc[[#This Row],[FATURAMENTO]]="NORMAL",ServTerc[[#This Row],[TOTAL VENDA]],0)</f>
        <v>0</v>
      </c>
      <c r="Q12" s="11"/>
    </row>
    <row r="13" spans="1:36" x14ac:dyDescent="0.25">
      <c r="A13" s="97"/>
      <c r="B13" s="100"/>
      <c r="C13" s="592" t="s">
        <v>871</v>
      </c>
      <c r="D13" s="104" t="s">
        <v>153</v>
      </c>
      <c r="E13" s="119"/>
      <c r="F13" s="119">
        <v>0</v>
      </c>
      <c r="G13" s="104"/>
      <c r="H13" s="101">
        <v>4</v>
      </c>
      <c r="I13" s="289">
        <v>10000</v>
      </c>
      <c r="J13" s="101" t="s">
        <v>295</v>
      </c>
      <c r="K13" s="19">
        <f>ServTerc[[#This Row],[VALOR]]*ServTerc[[#This Row],[QUANTIDADE]]</f>
        <v>40000</v>
      </c>
      <c r="L13" s="19" t="s">
        <v>422</v>
      </c>
      <c r="M13" s="235" cm="1">
        <f t="array" ref="M13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3" s="108">
        <f>ServTerc[[#This Row],[VALOR]]/ServTerc[[#This Row],[MARK-UP]]</f>
        <v>11147.046222083791</v>
      </c>
      <c r="O13" s="19">
        <f>ServTerc[[#This Row],[TOTAL CUSTO]]/ServTerc[[#This Row],[MARK-UP]]</f>
        <v>44588.184888335163</v>
      </c>
      <c r="P13" s="236">
        <f>IF(ServTerc[[#This Row],[FATURAMENTO]]="NORMAL",ServTerc[[#This Row],[TOTAL VENDA]],0)</f>
        <v>0</v>
      </c>
      <c r="S13" s="23"/>
      <c r="T13" s="23"/>
      <c r="U13" s="23"/>
      <c r="V13" s="23"/>
    </row>
    <row r="14" spans="1:36" x14ac:dyDescent="0.25">
      <c r="A14" s="97"/>
      <c r="B14" s="100"/>
      <c r="C14" s="100"/>
      <c r="D14" s="104" t="s">
        <v>153</v>
      </c>
      <c r="E14" s="119"/>
      <c r="F14" s="119">
        <v>0</v>
      </c>
      <c r="G14" s="104"/>
      <c r="H14" s="101"/>
      <c r="I14" s="289"/>
      <c r="J14" s="101" t="s">
        <v>295</v>
      </c>
      <c r="K14" s="19">
        <f>ServTerc[[#This Row],[VALOR]]*ServTerc[[#This Row],[QUANTIDADE]]</f>
        <v>0</v>
      </c>
      <c r="L14" s="19" t="s">
        <v>422</v>
      </c>
      <c r="M14" s="235" cm="1">
        <f t="array" ref="M14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4" s="108">
        <f>ServTerc[[#This Row],[VALOR]]/ServTerc[[#This Row],[MARK-UP]]</f>
        <v>0</v>
      </c>
      <c r="O14" s="19">
        <f>ServTerc[[#This Row],[TOTAL CUSTO]]/ServTerc[[#This Row],[MARK-UP]]</f>
        <v>0</v>
      </c>
      <c r="P14" s="236">
        <f>IF(ServTerc[[#This Row],[FATURAMENTO]]="NORMAL",ServTerc[[#This Row],[TOTAL VENDA]],0)</f>
        <v>0</v>
      </c>
      <c r="S14" s="23"/>
      <c r="T14" s="23"/>
      <c r="U14" s="23"/>
      <c r="V14" s="23"/>
    </row>
    <row r="15" spans="1:36" x14ac:dyDescent="0.25">
      <c r="A15" s="97"/>
      <c r="B15" s="100"/>
      <c r="C15" s="288" t="s">
        <v>299</v>
      </c>
      <c r="D15" s="104" t="s">
        <v>153</v>
      </c>
      <c r="E15" s="119"/>
      <c r="F15" s="119">
        <v>0</v>
      </c>
      <c r="G15" s="104"/>
      <c r="H15" s="101"/>
      <c r="I15" s="289"/>
      <c r="J15" s="101" t="s">
        <v>295</v>
      </c>
      <c r="K15" s="19">
        <f>ServTerc[[#This Row],[VALOR]]*ServTerc[[#This Row],[QUANTIDADE]]</f>
        <v>0</v>
      </c>
      <c r="L15" s="19" t="s">
        <v>422</v>
      </c>
      <c r="M15" s="235" cm="1">
        <f t="array" ref="M15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5" s="108">
        <f>ServTerc[[#This Row],[VALOR]]/ServTerc[[#This Row],[MARK-UP]]</f>
        <v>0</v>
      </c>
      <c r="O15" s="19">
        <f>ServTerc[[#This Row],[TOTAL CUSTO]]/ServTerc[[#This Row],[MARK-UP]]</f>
        <v>0</v>
      </c>
      <c r="P15" s="236">
        <f>IF(ServTerc[[#This Row],[FATURAMENTO]]="NORMAL",ServTerc[[#This Row],[TOTAL VENDA]],0)</f>
        <v>0</v>
      </c>
      <c r="S15" s="23"/>
      <c r="T15" s="23"/>
      <c r="U15" s="23"/>
      <c r="V15" s="23"/>
    </row>
    <row r="16" spans="1:36" x14ac:dyDescent="0.25">
      <c r="A16" s="97"/>
      <c r="B16" s="100"/>
      <c r="C16" s="100" t="s">
        <v>299</v>
      </c>
      <c r="D16" s="104" t="s">
        <v>300</v>
      </c>
      <c r="E16" s="119"/>
      <c r="F16" s="119">
        <v>0</v>
      </c>
      <c r="G16" s="104"/>
      <c r="H16" s="101">
        <v>1</v>
      </c>
      <c r="I16" s="289">
        <v>10000</v>
      </c>
      <c r="J16" s="101" t="s">
        <v>295</v>
      </c>
      <c r="K16" s="19">
        <f>ServTerc[[#This Row],[VALOR]]*ServTerc[[#This Row],[QUANTIDADE]]</f>
        <v>10000</v>
      </c>
      <c r="L16" s="19" t="s">
        <v>422</v>
      </c>
      <c r="M16" s="235" cm="1">
        <f t="array" ref="M16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6" s="108">
        <f>ServTerc[[#This Row],[VALOR]]/ServTerc[[#This Row],[MARK-UP]]</f>
        <v>11147.046222083791</v>
      </c>
      <c r="O16" s="19">
        <f>ServTerc[[#This Row],[TOTAL CUSTO]]/ServTerc[[#This Row],[MARK-UP]]</f>
        <v>11147.046222083791</v>
      </c>
      <c r="P16" s="236">
        <f>IF(ServTerc[[#This Row],[FATURAMENTO]]="NORMAL",ServTerc[[#This Row],[TOTAL VENDA]],0)</f>
        <v>0</v>
      </c>
      <c r="S16" s="23"/>
      <c r="T16" s="23"/>
      <c r="U16" s="23"/>
      <c r="V16" s="23"/>
    </row>
    <row r="17" spans="1:22" x14ac:dyDescent="0.25">
      <c r="A17" s="97"/>
      <c r="B17" s="100"/>
      <c r="C17" s="100" t="s">
        <v>902</v>
      </c>
      <c r="D17" s="104" t="s">
        <v>300</v>
      </c>
      <c r="E17" s="119"/>
      <c r="F17" s="119">
        <v>0</v>
      </c>
      <c r="G17" s="104"/>
      <c r="H17" s="101">
        <v>4</v>
      </c>
      <c r="I17" s="289">
        <v>1500</v>
      </c>
      <c r="J17" s="101" t="s">
        <v>295</v>
      </c>
      <c r="K17" s="19">
        <f>ServTerc[[#This Row],[VALOR]]*ServTerc[[#This Row],[QUANTIDADE]]</f>
        <v>6000</v>
      </c>
      <c r="L17" s="19" t="s">
        <v>422</v>
      </c>
      <c r="M17" s="235" cm="1">
        <f t="array" ref="M17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7" s="108">
        <f>ServTerc[[#This Row],[VALOR]]/ServTerc[[#This Row],[MARK-UP]]</f>
        <v>1672.0569333125686</v>
      </c>
      <c r="O17" s="19">
        <f>ServTerc[[#This Row],[TOTAL CUSTO]]/ServTerc[[#This Row],[MARK-UP]]</f>
        <v>6688.2277332502745</v>
      </c>
      <c r="P17" s="236">
        <f>IF(ServTerc[[#This Row],[FATURAMENTO]]="NORMAL",ServTerc[[#This Row],[TOTAL VENDA]],0)</f>
        <v>0</v>
      </c>
      <c r="S17" s="23"/>
      <c r="T17" s="23"/>
      <c r="U17" s="23"/>
      <c r="V17" s="23"/>
    </row>
    <row r="18" spans="1:22" x14ac:dyDescent="0.25">
      <c r="A18" s="97"/>
      <c r="B18" s="100"/>
      <c r="C18" s="100" t="s">
        <v>301</v>
      </c>
      <c r="D18" s="104" t="s">
        <v>300</v>
      </c>
      <c r="E18" s="119"/>
      <c r="F18" s="119">
        <v>0</v>
      </c>
      <c r="G18" s="104"/>
      <c r="H18" s="101">
        <v>4</v>
      </c>
      <c r="I18" s="289">
        <v>1200</v>
      </c>
      <c r="J18" s="101" t="s">
        <v>295</v>
      </c>
      <c r="K18" s="19">
        <f>ServTerc[[#This Row],[VALOR]]*ServTerc[[#This Row],[QUANTIDADE]]</f>
        <v>4800</v>
      </c>
      <c r="L18" s="19" t="s">
        <v>422</v>
      </c>
      <c r="M18" s="235" cm="1">
        <f t="array" ref="M18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8" s="108">
        <f>ServTerc[[#This Row],[VALOR]]/ServTerc[[#This Row],[MARK-UP]]</f>
        <v>1337.6455466500549</v>
      </c>
      <c r="O18" s="19">
        <f>ServTerc[[#This Row],[TOTAL CUSTO]]/ServTerc[[#This Row],[MARK-UP]]</f>
        <v>5350.5821866002198</v>
      </c>
      <c r="P18" s="236">
        <f>IF(ServTerc[[#This Row],[FATURAMENTO]]="NORMAL",ServTerc[[#This Row],[TOTAL VENDA]],0)</f>
        <v>0</v>
      </c>
      <c r="S18" s="23"/>
      <c r="T18" s="23"/>
      <c r="U18" s="23"/>
      <c r="V18" s="23"/>
    </row>
    <row r="19" spans="1:22" x14ac:dyDescent="0.25">
      <c r="A19" s="97"/>
      <c r="B19" s="100"/>
      <c r="C19" s="100" t="s">
        <v>302</v>
      </c>
      <c r="D19" s="104" t="s">
        <v>300</v>
      </c>
      <c r="E19" s="119"/>
      <c r="F19" s="119">
        <v>0</v>
      </c>
      <c r="G19" s="104"/>
      <c r="H19" s="101">
        <v>4</v>
      </c>
      <c r="I19" s="289">
        <v>750</v>
      </c>
      <c r="J19" s="101" t="s">
        <v>295</v>
      </c>
      <c r="K19" s="19">
        <f>ServTerc[[#This Row],[VALOR]]*ServTerc[[#This Row],[QUANTIDADE]]</f>
        <v>3000</v>
      </c>
      <c r="L19" s="19" t="s">
        <v>422</v>
      </c>
      <c r="M19" s="235" cm="1">
        <f t="array" ref="M19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19" s="108">
        <f>ServTerc[[#This Row],[VALOR]]/ServTerc[[#This Row],[MARK-UP]]</f>
        <v>836.02846665628431</v>
      </c>
      <c r="O19" s="19">
        <f>ServTerc[[#This Row],[TOTAL CUSTO]]/ServTerc[[#This Row],[MARK-UP]]</f>
        <v>3344.1138666251372</v>
      </c>
      <c r="P19" s="236">
        <f>IF(ServTerc[[#This Row],[FATURAMENTO]]="NORMAL",ServTerc[[#This Row],[TOTAL VENDA]],0)</f>
        <v>0</v>
      </c>
      <c r="S19" s="23"/>
      <c r="T19" s="23"/>
      <c r="U19" s="23"/>
      <c r="V19" s="23"/>
    </row>
    <row r="20" spans="1:22" x14ac:dyDescent="0.25">
      <c r="A20" s="97"/>
      <c r="B20" s="100"/>
      <c r="C20" s="100" t="s">
        <v>303</v>
      </c>
      <c r="D20" s="104" t="s">
        <v>300</v>
      </c>
      <c r="E20" s="119"/>
      <c r="F20" s="119">
        <v>0</v>
      </c>
      <c r="G20" s="104"/>
      <c r="H20" s="101">
        <v>4</v>
      </c>
      <c r="I20" s="289">
        <v>1200</v>
      </c>
      <c r="J20" s="101" t="s">
        <v>295</v>
      </c>
      <c r="K20" s="19">
        <f>ServTerc[[#This Row],[VALOR]]*ServTerc[[#This Row],[QUANTIDADE]]</f>
        <v>4800</v>
      </c>
      <c r="L20" s="19" t="s">
        <v>422</v>
      </c>
      <c r="M20" s="235" cm="1">
        <f t="array" ref="M20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0" s="108">
        <f>ServTerc[[#This Row],[VALOR]]/ServTerc[[#This Row],[MARK-UP]]</f>
        <v>1337.6455466500549</v>
      </c>
      <c r="O20" s="19">
        <f>ServTerc[[#This Row],[TOTAL CUSTO]]/ServTerc[[#This Row],[MARK-UP]]</f>
        <v>5350.5821866002198</v>
      </c>
      <c r="P20" s="236">
        <f>IF(ServTerc[[#This Row],[FATURAMENTO]]="NORMAL",ServTerc[[#This Row],[TOTAL VENDA]],0)</f>
        <v>0</v>
      </c>
      <c r="S20" s="23"/>
      <c r="T20" s="23"/>
      <c r="U20" s="23"/>
      <c r="V20" s="23"/>
    </row>
    <row r="21" spans="1:22" x14ac:dyDescent="0.25">
      <c r="B21" s="100"/>
      <c r="C21" s="100" t="s">
        <v>304</v>
      </c>
      <c r="D21" s="104" t="s">
        <v>300</v>
      </c>
      <c r="E21" s="119"/>
      <c r="F21" s="119">
        <v>0</v>
      </c>
      <c r="G21" s="104"/>
      <c r="H21" s="101">
        <v>1</v>
      </c>
      <c r="I21" s="289">
        <v>5000</v>
      </c>
      <c r="J21" s="101" t="s">
        <v>295</v>
      </c>
      <c r="K21" s="19">
        <f>ServTerc[[#This Row],[VALOR]]*ServTerc[[#This Row],[QUANTIDADE]]</f>
        <v>5000</v>
      </c>
      <c r="L21" s="19" t="s">
        <v>422</v>
      </c>
      <c r="M21" s="235" cm="1">
        <f t="array" ref="M21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1" s="108">
        <f>ServTerc[[#This Row],[VALOR]]/ServTerc[[#This Row],[MARK-UP]]</f>
        <v>5573.5231110418954</v>
      </c>
      <c r="O21" s="19">
        <f>ServTerc[[#This Row],[TOTAL CUSTO]]/ServTerc[[#This Row],[MARK-UP]]</f>
        <v>5573.5231110418954</v>
      </c>
      <c r="P21" s="236">
        <f>IF(ServTerc[[#This Row],[FATURAMENTO]]="NORMAL",ServTerc[[#This Row],[TOTAL VENDA]],0)</f>
        <v>0</v>
      </c>
      <c r="S21" s="23"/>
      <c r="T21" s="23"/>
      <c r="U21" s="23"/>
      <c r="V21" s="23"/>
    </row>
    <row r="22" spans="1:22" x14ac:dyDescent="0.25">
      <c r="B22" s="100"/>
      <c r="C22" s="100" t="s">
        <v>305</v>
      </c>
      <c r="D22" s="104" t="s">
        <v>300</v>
      </c>
      <c r="E22" s="119"/>
      <c r="F22" s="119">
        <v>0</v>
      </c>
      <c r="G22" s="104"/>
      <c r="H22" s="101">
        <v>16</v>
      </c>
      <c r="I22" s="289">
        <v>500</v>
      </c>
      <c r="J22" s="101" t="s">
        <v>295</v>
      </c>
      <c r="K22" s="19">
        <f>ServTerc[[#This Row],[VALOR]]*ServTerc[[#This Row],[QUANTIDADE]]</f>
        <v>8000</v>
      </c>
      <c r="L22" s="19" t="s">
        <v>422</v>
      </c>
      <c r="M22" s="235" cm="1">
        <f t="array" ref="M22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2" s="108">
        <f>ServTerc[[#This Row],[VALOR]]/ServTerc[[#This Row],[MARK-UP]]</f>
        <v>557.35231110418954</v>
      </c>
      <c r="O22" s="19">
        <f>ServTerc[[#This Row],[TOTAL CUSTO]]/ServTerc[[#This Row],[MARK-UP]]</f>
        <v>8917.6369776670326</v>
      </c>
      <c r="P22" s="236">
        <f>IF(ServTerc[[#This Row],[FATURAMENTO]]="NORMAL",ServTerc[[#This Row],[TOTAL VENDA]],0)</f>
        <v>0</v>
      </c>
      <c r="S22" s="23"/>
      <c r="T22" s="23"/>
      <c r="U22" s="23"/>
      <c r="V22" s="23"/>
    </row>
    <row r="23" spans="1:22" x14ac:dyDescent="0.25">
      <c r="B23" s="100"/>
      <c r="C23" s="100" t="s">
        <v>306</v>
      </c>
      <c r="D23" s="104" t="s">
        <v>300</v>
      </c>
      <c r="E23" s="119"/>
      <c r="F23" s="119">
        <v>0</v>
      </c>
      <c r="G23" s="104"/>
      <c r="H23" s="101"/>
      <c r="I23" s="289">
        <v>15000</v>
      </c>
      <c r="J23" s="101" t="s">
        <v>295</v>
      </c>
      <c r="K23" s="19">
        <f>ServTerc[[#This Row],[VALOR]]*ServTerc[[#This Row],[QUANTIDADE]]</f>
        <v>0</v>
      </c>
      <c r="L23" s="19" t="s">
        <v>422</v>
      </c>
      <c r="M23" s="235" cm="1">
        <f t="array" ref="M23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3" s="108">
        <f>ServTerc[[#This Row],[VALOR]]/ServTerc[[#This Row],[MARK-UP]]</f>
        <v>16720.569333125684</v>
      </c>
      <c r="O23" s="19">
        <f>ServTerc[[#This Row],[TOTAL CUSTO]]/ServTerc[[#This Row],[MARK-UP]]</f>
        <v>0</v>
      </c>
      <c r="P23" s="236">
        <f>IF(ServTerc[[#This Row],[FATURAMENTO]]="NORMAL",ServTerc[[#This Row],[TOTAL VENDA]],0)</f>
        <v>0</v>
      </c>
      <c r="S23" s="23"/>
      <c r="T23" s="23"/>
      <c r="U23" s="23"/>
      <c r="V23" s="23"/>
    </row>
    <row r="24" spans="1:22" x14ac:dyDescent="0.25">
      <c r="B24" s="100"/>
      <c r="C24" s="288" t="s">
        <v>307</v>
      </c>
      <c r="D24" s="104" t="s">
        <v>300</v>
      </c>
      <c r="E24" s="119"/>
      <c r="F24" s="119">
        <v>0</v>
      </c>
      <c r="G24" s="104"/>
      <c r="H24" s="101"/>
      <c r="I24" s="289"/>
      <c r="J24" s="101" t="s">
        <v>295</v>
      </c>
      <c r="K24" s="19">
        <f>ServTerc[[#This Row],[VALOR]]*ServTerc[[#This Row],[QUANTIDADE]]</f>
        <v>0</v>
      </c>
      <c r="L24" s="19" t="s">
        <v>422</v>
      </c>
      <c r="M24" s="235" cm="1">
        <f t="array" ref="M24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4" s="108">
        <f>ServTerc[[#This Row],[VALOR]]/ServTerc[[#This Row],[MARK-UP]]</f>
        <v>0</v>
      </c>
      <c r="O24" s="19">
        <f>ServTerc[[#This Row],[TOTAL CUSTO]]/ServTerc[[#This Row],[MARK-UP]]</f>
        <v>0</v>
      </c>
      <c r="P24" s="236">
        <f>IF(ServTerc[[#This Row],[FATURAMENTO]]="NORMAL",ServTerc[[#This Row],[TOTAL VENDA]],0)</f>
        <v>0</v>
      </c>
      <c r="S24" s="23"/>
      <c r="T24" s="23"/>
      <c r="U24" s="23"/>
      <c r="V24" s="23"/>
    </row>
    <row r="25" spans="1:22" x14ac:dyDescent="0.25">
      <c r="B25" s="100"/>
      <c r="C25" s="100" t="s">
        <v>308</v>
      </c>
      <c r="D25" s="104" t="s">
        <v>300</v>
      </c>
      <c r="E25" s="119"/>
      <c r="F25" s="119">
        <v>0</v>
      </c>
      <c r="G25" s="104"/>
      <c r="H25" s="101"/>
      <c r="I25" s="289">
        <v>33500</v>
      </c>
      <c r="J25" s="101" t="s">
        <v>295</v>
      </c>
      <c r="K25" s="19">
        <f>ServTerc[[#This Row],[VALOR]]*ServTerc[[#This Row],[QUANTIDADE]]</f>
        <v>0</v>
      </c>
      <c r="L25" s="19" t="s">
        <v>422</v>
      </c>
      <c r="M25" s="235" cm="1">
        <f t="array" ref="M25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5" s="108">
        <f>ServTerc[[#This Row],[VALOR]]/ServTerc[[#This Row],[MARK-UP]]</f>
        <v>37342.604843980698</v>
      </c>
      <c r="O25" s="19">
        <f>ServTerc[[#This Row],[TOTAL CUSTO]]/ServTerc[[#This Row],[MARK-UP]]</f>
        <v>0</v>
      </c>
      <c r="P25" s="236">
        <f>IF(ServTerc[[#This Row],[FATURAMENTO]]="NORMAL",ServTerc[[#This Row],[TOTAL VENDA]],0)</f>
        <v>0</v>
      </c>
      <c r="S25" s="23"/>
      <c r="T25" s="23"/>
      <c r="U25" s="23"/>
      <c r="V25" s="23"/>
    </row>
    <row r="26" spans="1:22" x14ac:dyDescent="0.25">
      <c r="B26" s="100"/>
      <c r="C26" s="100" t="s">
        <v>309</v>
      </c>
      <c r="D26" s="104" t="s">
        <v>300</v>
      </c>
      <c r="E26" s="119"/>
      <c r="F26" s="119">
        <v>0</v>
      </c>
      <c r="G26" s="104"/>
      <c r="H26" s="101"/>
      <c r="I26" s="289">
        <v>19000</v>
      </c>
      <c r="J26" s="101" t="s">
        <v>295</v>
      </c>
      <c r="K26" s="19">
        <f>ServTerc[[#This Row],[VALOR]]*ServTerc[[#This Row],[QUANTIDADE]]</f>
        <v>0</v>
      </c>
      <c r="L26" s="19" t="s">
        <v>422</v>
      </c>
      <c r="M26" s="235" cm="1">
        <f t="array" ref="M26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6" s="108">
        <f>ServTerc[[#This Row],[VALOR]]/ServTerc[[#This Row],[MARK-UP]]</f>
        <v>21179.387821959201</v>
      </c>
      <c r="O26" s="19">
        <f>ServTerc[[#This Row],[TOTAL CUSTO]]/ServTerc[[#This Row],[MARK-UP]]</f>
        <v>0</v>
      </c>
      <c r="P26" s="236">
        <f>IF(ServTerc[[#This Row],[FATURAMENTO]]="NORMAL",ServTerc[[#This Row],[TOTAL VENDA]],0)</f>
        <v>0</v>
      </c>
      <c r="S26" s="23"/>
      <c r="T26" s="23"/>
      <c r="U26" s="23"/>
      <c r="V26" s="23"/>
    </row>
    <row r="27" spans="1:22" x14ac:dyDescent="0.25">
      <c r="B27" s="100"/>
      <c r="C27" s="100" t="s">
        <v>310</v>
      </c>
      <c r="D27" s="104" t="s">
        <v>300</v>
      </c>
      <c r="E27" s="119"/>
      <c r="F27" s="119">
        <v>0</v>
      </c>
      <c r="G27" s="104"/>
      <c r="H27" s="101"/>
      <c r="I27" s="289">
        <v>20000</v>
      </c>
      <c r="J27" s="101" t="s">
        <v>295</v>
      </c>
      <c r="K27" s="19">
        <f>ServTerc[[#This Row],[VALOR]]*ServTerc[[#This Row],[QUANTIDADE]]</f>
        <v>0</v>
      </c>
      <c r="L27" s="19" t="s">
        <v>422</v>
      </c>
      <c r="M27" s="235" cm="1">
        <f t="array" ref="M27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7" s="108">
        <f>ServTerc[[#This Row],[VALOR]]/ServTerc[[#This Row],[MARK-UP]]</f>
        <v>22294.092444167582</v>
      </c>
      <c r="O27" s="19">
        <f>ServTerc[[#This Row],[TOTAL CUSTO]]/ServTerc[[#This Row],[MARK-UP]]</f>
        <v>0</v>
      </c>
      <c r="P27" s="236">
        <f>IF(ServTerc[[#This Row],[FATURAMENTO]]="NORMAL",ServTerc[[#This Row],[TOTAL VENDA]],0)</f>
        <v>0</v>
      </c>
      <c r="S27" s="23"/>
      <c r="T27" s="23"/>
      <c r="U27" s="23"/>
      <c r="V27" s="23"/>
    </row>
    <row r="28" spans="1:22" x14ac:dyDescent="0.25">
      <c r="B28" s="100"/>
      <c r="C28" s="100" t="s">
        <v>311</v>
      </c>
      <c r="D28" s="104" t="s">
        <v>300</v>
      </c>
      <c r="E28" s="119"/>
      <c r="F28" s="119">
        <v>0</v>
      </c>
      <c r="G28" s="104"/>
      <c r="H28" s="101"/>
      <c r="I28" s="289">
        <v>1500</v>
      </c>
      <c r="J28" s="101" t="s">
        <v>295</v>
      </c>
      <c r="K28" s="19">
        <f>ServTerc[[#This Row],[VALOR]]*ServTerc[[#This Row],[QUANTIDADE]]</f>
        <v>0</v>
      </c>
      <c r="L28" s="19" t="s">
        <v>422</v>
      </c>
      <c r="M28" s="235" cm="1">
        <f t="array" ref="M28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8" s="108">
        <f>ServTerc[[#This Row],[VALOR]]/ServTerc[[#This Row],[MARK-UP]]</f>
        <v>1672.0569333125686</v>
      </c>
      <c r="O28" s="19">
        <f>ServTerc[[#This Row],[TOTAL CUSTO]]/ServTerc[[#This Row],[MARK-UP]]</f>
        <v>0</v>
      </c>
      <c r="P28" s="236">
        <f>IF(ServTerc[[#This Row],[FATURAMENTO]]="NORMAL",ServTerc[[#This Row],[TOTAL VENDA]],0)</f>
        <v>0</v>
      </c>
      <c r="S28" s="23"/>
      <c r="T28" s="23"/>
      <c r="U28" s="23"/>
      <c r="V28" s="23"/>
    </row>
    <row r="29" spans="1:22" x14ac:dyDescent="0.25">
      <c r="B29" s="100"/>
      <c r="C29" s="100" t="s">
        <v>312</v>
      </c>
      <c r="D29" s="104" t="s">
        <v>300</v>
      </c>
      <c r="E29" s="119"/>
      <c r="F29" s="119">
        <v>0</v>
      </c>
      <c r="G29" s="104"/>
      <c r="H29" s="101"/>
      <c r="I29" s="289">
        <v>15000</v>
      </c>
      <c r="J29" s="101" t="s">
        <v>295</v>
      </c>
      <c r="K29" s="19">
        <f>ServTerc[[#This Row],[VALOR]]*ServTerc[[#This Row],[QUANTIDADE]]</f>
        <v>0</v>
      </c>
      <c r="L29" s="19" t="s">
        <v>422</v>
      </c>
      <c r="M29" s="235" cm="1">
        <f t="array" ref="M29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29" s="108">
        <f>ServTerc[[#This Row],[VALOR]]/ServTerc[[#This Row],[MARK-UP]]</f>
        <v>16720.569333125684</v>
      </c>
      <c r="O29" s="19">
        <f>ServTerc[[#This Row],[TOTAL CUSTO]]/ServTerc[[#This Row],[MARK-UP]]</f>
        <v>0</v>
      </c>
      <c r="P29" s="236">
        <f>IF(ServTerc[[#This Row],[FATURAMENTO]]="NORMAL",ServTerc[[#This Row],[TOTAL VENDA]],0)</f>
        <v>0</v>
      </c>
      <c r="S29" s="23"/>
      <c r="T29" s="23"/>
      <c r="U29" s="23"/>
      <c r="V29" s="23"/>
    </row>
    <row r="30" spans="1:22" x14ac:dyDescent="0.25">
      <c r="B30" s="100"/>
      <c r="C30" s="100" t="s">
        <v>313</v>
      </c>
      <c r="D30" s="104" t="s">
        <v>300</v>
      </c>
      <c r="E30" s="119"/>
      <c r="F30" s="119">
        <v>0</v>
      </c>
      <c r="G30" s="104"/>
      <c r="H30" s="101">
        <v>5</v>
      </c>
      <c r="I30" s="289">
        <v>2500</v>
      </c>
      <c r="J30" s="101" t="s">
        <v>295</v>
      </c>
      <c r="K30" s="19">
        <f>ServTerc[[#This Row],[VALOR]]*ServTerc[[#This Row],[QUANTIDADE]]</f>
        <v>12500</v>
      </c>
      <c r="L30" s="19" t="s">
        <v>422</v>
      </c>
      <c r="M30" s="235" cm="1">
        <f t="array" ref="M30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0" s="108">
        <f>ServTerc[[#This Row],[VALOR]]/ServTerc[[#This Row],[MARK-UP]]</f>
        <v>2786.7615555209477</v>
      </c>
      <c r="O30" s="19">
        <f>ServTerc[[#This Row],[TOTAL CUSTO]]/ServTerc[[#This Row],[MARK-UP]]</f>
        <v>13933.807777604738</v>
      </c>
      <c r="P30" s="236">
        <f>IF(ServTerc[[#This Row],[FATURAMENTO]]="NORMAL",ServTerc[[#This Row],[TOTAL VENDA]],0)</f>
        <v>0</v>
      </c>
      <c r="S30" s="23"/>
      <c r="T30" s="23"/>
      <c r="U30" s="23"/>
      <c r="V30" s="23"/>
    </row>
    <row r="31" spans="1:22" x14ac:dyDescent="0.25">
      <c r="B31" s="100"/>
      <c r="C31" s="100"/>
      <c r="D31" s="104" t="s">
        <v>300</v>
      </c>
      <c r="E31" s="119"/>
      <c r="F31" s="119">
        <v>0</v>
      </c>
      <c r="G31" s="104"/>
      <c r="H31" s="101"/>
      <c r="I31" s="289"/>
      <c r="J31" s="101" t="s">
        <v>295</v>
      </c>
      <c r="K31" s="19">
        <f>ServTerc[[#This Row],[VALOR]]*ServTerc[[#This Row],[QUANTIDADE]]</f>
        <v>0</v>
      </c>
      <c r="L31" s="19" t="s">
        <v>422</v>
      </c>
      <c r="M31" s="235" cm="1">
        <f t="array" ref="M31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1" s="108">
        <f>ServTerc[[#This Row],[VALOR]]/ServTerc[[#This Row],[MARK-UP]]</f>
        <v>0</v>
      </c>
      <c r="O31" s="19">
        <f>ServTerc[[#This Row],[TOTAL CUSTO]]/ServTerc[[#This Row],[MARK-UP]]</f>
        <v>0</v>
      </c>
      <c r="P31" s="236">
        <f>IF(ServTerc[[#This Row],[FATURAMENTO]]="NORMAL",ServTerc[[#This Row],[TOTAL VENDA]],0)</f>
        <v>0</v>
      </c>
      <c r="S31" s="23"/>
      <c r="T31" s="23"/>
      <c r="U31" s="23"/>
      <c r="V31" s="23"/>
    </row>
    <row r="32" spans="1:22" x14ac:dyDescent="0.25">
      <c r="B32" s="100"/>
      <c r="C32" s="288" t="s">
        <v>314</v>
      </c>
      <c r="D32" s="104" t="s">
        <v>300</v>
      </c>
      <c r="E32" s="119"/>
      <c r="F32" s="119">
        <v>0</v>
      </c>
      <c r="G32" s="104"/>
      <c r="H32" s="101"/>
      <c r="I32" s="289"/>
      <c r="J32" s="101" t="s">
        <v>295</v>
      </c>
      <c r="K32" s="19">
        <f>ServTerc[[#This Row],[VALOR]]*ServTerc[[#This Row],[QUANTIDADE]]</f>
        <v>0</v>
      </c>
      <c r="L32" s="19" t="s">
        <v>422</v>
      </c>
      <c r="M32" s="235" cm="1">
        <f t="array" ref="M32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2" s="108">
        <f>ServTerc[[#This Row],[VALOR]]/ServTerc[[#This Row],[MARK-UP]]</f>
        <v>0</v>
      </c>
      <c r="O32" s="19">
        <f>ServTerc[[#This Row],[TOTAL CUSTO]]/ServTerc[[#This Row],[MARK-UP]]</f>
        <v>0</v>
      </c>
      <c r="P32" s="236">
        <f>IF(ServTerc[[#This Row],[FATURAMENTO]]="NORMAL",ServTerc[[#This Row],[TOTAL VENDA]],0)</f>
        <v>0</v>
      </c>
    </row>
    <row r="33" spans="2:16" x14ac:dyDescent="0.25">
      <c r="B33" s="100"/>
      <c r="C33" s="100" t="s">
        <v>315</v>
      </c>
      <c r="D33" s="104" t="s">
        <v>300</v>
      </c>
      <c r="E33" s="119"/>
      <c r="F33" s="119">
        <v>0</v>
      </c>
      <c r="G33" s="104"/>
      <c r="H33" s="101">
        <v>1</v>
      </c>
      <c r="I33" s="289">
        <v>3000</v>
      </c>
      <c r="J33" s="101" t="s">
        <v>295</v>
      </c>
      <c r="K33" s="19">
        <f>ServTerc[[#This Row],[VALOR]]*ServTerc[[#This Row],[QUANTIDADE]]</f>
        <v>3000</v>
      </c>
      <c r="L33" s="19" t="s">
        <v>422</v>
      </c>
      <c r="M33" s="235" cm="1">
        <f t="array" ref="M33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3" s="108">
        <f>ServTerc[[#This Row],[VALOR]]/ServTerc[[#This Row],[MARK-UP]]</f>
        <v>3344.1138666251372</v>
      </c>
      <c r="O33" s="19">
        <f>ServTerc[[#This Row],[TOTAL CUSTO]]/ServTerc[[#This Row],[MARK-UP]]</f>
        <v>3344.1138666251372</v>
      </c>
      <c r="P33" s="236">
        <f>IF(ServTerc[[#This Row],[FATURAMENTO]]="NORMAL",ServTerc[[#This Row],[TOTAL VENDA]],0)</f>
        <v>0</v>
      </c>
    </row>
    <row r="34" spans="2:16" x14ac:dyDescent="0.25">
      <c r="B34" s="100"/>
      <c r="C34" s="100"/>
      <c r="D34" s="104" t="s">
        <v>300</v>
      </c>
      <c r="E34" s="119"/>
      <c r="F34" s="119">
        <v>0</v>
      </c>
      <c r="G34" s="104"/>
      <c r="H34" s="101"/>
      <c r="I34" s="289"/>
      <c r="J34" s="101" t="s">
        <v>295</v>
      </c>
      <c r="K34" s="19">
        <f>ServTerc[[#This Row],[VALOR]]*ServTerc[[#This Row],[QUANTIDADE]]</f>
        <v>0</v>
      </c>
      <c r="L34" s="19" t="s">
        <v>422</v>
      </c>
      <c r="M34" s="235" cm="1">
        <f t="array" ref="M34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4" s="108">
        <f>ServTerc[[#This Row],[VALOR]]/ServTerc[[#This Row],[MARK-UP]]</f>
        <v>0</v>
      </c>
      <c r="O34" s="19">
        <f>ServTerc[[#This Row],[TOTAL CUSTO]]/ServTerc[[#This Row],[MARK-UP]]</f>
        <v>0</v>
      </c>
      <c r="P34" s="236">
        <f>IF(ServTerc[[#This Row],[FATURAMENTO]]="NORMAL",ServTerc[[#This Row],[TOTAL VENDA]],0)</f>
        <v>0</v>
      </c>
    </row>
    <row r="35" spans="2:16" x14ac:dyDescent="0.25">
      <c r="B35" s="100"/>
      <c r="C35" s="288" t="s">
        <v>316</v>
      </c>
      <c r="D35" s="104" t="s">
        <v>300</v>
      </c>
      <c r="E35" s="119"/>
      <c r="F35" s="119">
        <v>0</v>
      </c>
      <c r="G35" s="104"/>
      <c r="H35" s="101"/>
      <c r="I35" s="289"/>
      <c r="J35" s="101" t="s">
        <v>295</v>
      </c>
      <c r="K35" s="19">
        <f>ServTerc[[#This Row],[VALOR]]*ServTerc[[#This Row],[QUANTIDADE]]</f>
        <v>0</v>
      </c>
      <c r="L35" s="19" t="s">
        <v>422</v>
      </c>
      <c r="M35" s="235" cm="1">
        <f t="array" ref="M35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5" s="108">
        <f>ServTerc[[#This Row],[VALOR]]/ServTerc[[#This Row],[MARK-UP]]</f>
        <v>0</v>
      </c>
      <c r="O35" s="19">
        <f>ServTerc[[#This Row],[TOTAL CUSTO]]/ServTerc[[#This Row],[MARK-UP]]</f>
        <v>0</v>
      </c>
      <c r="P35" s="236">
        <f>IF(ServTerc[[#This Row],[FATURAMENTO]]="NORMAL",ServTerc[[#This Row],[TOTAL VENDA]],0)</f>
        <v>0</v>
      </c>
    </row>
    <row r="36" spans="2:16" x14ac:dyDescent="0.25">
      <c r="B36" s="100"/>
      <c r="C36" s="100" t="s">
        <v>315</v>
      </c>
      <c r="D36" s="104" t="s">
        <v>300</v>
      </c>
      <c r="E36" s="119"/>
      <c r="F36" s="119">
        <v>0</v>
      </c>
      <c r="G36" s="104"/>
      <c r="H36" s="101">
        <v>1</v>
      </c>
      <c r="I36" s="289">
        <v>10000</v>
      </c>
      <c r="J36" s="101" t="s">
        <v>295</v>
      </c>
      <c r="K36" s="19">
        <f>ServTerc[[#This Row],[VALOR]]*ServTerc[[#This Row],[QUANTIDADE]]</f>
        <v>10000</v>
      </c>
      <c r="L36" s="19" t="s">
        <v>422</v>
      </c>
      <c r="M36" s="235" cm="1">
        <f t="array" ref="M36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6" s="108">
        <f>ServTerc[[#This Row],[VALOR]]/ServTerc[[#This Row],[MARK-UP]]</f>
        <v>11147.046222083791</v>
      </c>
      <c r="O36" s="19">
        <f>ServTerc[[#This Row],[TOTAL CUSTO]]/ServTerc[[#This Row],[MARK-UP]]</f>
        <v>11147.046222083791</v>
      </c>
      <c r="P36" s="236">
        <f>IF(ServTerc[[#This Row],[FATURAMENTO]]="NORMAL",ServTerc[[#This Row],[TOTAL VENDA]],0)</f>
        <v>0</v>
      </c>
    </row>
    <row r="37" spans="2:16" x14ac:dyDescent="0.25">
      <c r="B37" s="100"/>
      <c r="C37" s="100"/>
      <c r="D37" s="104" t="s">
        <v>300</v>
      </c>
      <c r="E37" s="119"/>
      <c r="F37" s="119">
        <v>0</v>
      </c>
      <c r="G37" s="104"/>
      <c r="H37" s="101"/>
      <c r="I37" s="289"/>
      <c r="J37" s="101" t="s">
        <v>295</v>
      </c>
      <c r="K37" s="19">
        <f>ServTerc[[#This Row],[VALOR]]*ServTerc[[#This Row],[QUANTIDADE]]</f>
        <v>0</v>
      </c>
      <c r="L37" s="19" t="s">
        <v>422</v>
      </c>
      <c r="M37" s="235" cm="1">
        <f t="array" ref="M37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7" s="108">
        <f>ServTerc[[#This Row],[VALOR]]/ServTerc[[#This Row],[MARK-UP]]</f>
        <v>0</v>
      </c>
      <c r="O37" s="19">
        <f>ServTerc[[#This Row],[TOTAL CUSTO]]/ServTerc[[#This Row],[MARK-UP]]</f>
        <v>0</v>
      </c>
      <c r="P37" s="236">
        <f>IF(ServTerc[[#This Row],[FATURAMENTO]]="NORMAL",ServTerc[[#This Row],[TOTAL VENDA]],0)</f>
        <v>0</v>
      </c>
    </row>
    <row r="38" spans="2:16" x14ac:dyDescent="0.25">
      <c r="B38" s="100"/>
      <c r="C38" s="288" t="s">
        <v>317</v>
      </c>
      <c r="D38" s="104" t="s">
        <v>300</v>
      </c>
      <c r="E38" s="119"/>
      <c r="F38" s="119">
        <v>0</v>
      </c>
      <c r="G38" s="104"/>
      <c r="H38" s="101"/>
      <c r="I38" s="289"/>
      <c r="J38" s="101" t="s">
        <v>295</v>
      </c>
      <c r="K38" s="19">
        <f>ServTerc[[#This Row],[VALOR]]*ServTerc[[#This Row],[QUANTIDADE]]</f>
        <v>0</v>
      </c>
      <c r="L38" s="19" t="s">
        <v>422</v>
      </c>
      <c r="M38" s="235" cm="1">
        <f t="array" ref="M38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8" s="108">
        <f>ServTerc[[#This Row],[VALOR]]/ServTerc[[#This Row],[MARK-UP]]</f>
        <v>0</v>
      </c>
      <c r="O38" s="19">
        <f>ServTerc[[#This Row],[TOTAL CUSTO]]/ServTerc[[#This Row],[MARK-UP]]</f>
        <v>0</v>
      </c>
      <c r="P38" s="236">
        <f>IF(ServTerc[[#This Row],[FATURAMENTO]]="NORMAL",ServTerc[[#This Row],[TOTAL VENDA]],0)</f>
        <v>0</v>
      </c>
    </row>
    <row r="39" spans="2:16" x14ac:dyDescent="0.25">
      <c r="B39" s="100"/>
      <c r="C39" s="100" t="s">
        <v>318</v>
      </c>
      <c r="D39" s="104" t="s">
        <v>300</v>
      </c>
      <c r="E39" s="119"/>
      <c r="F39" s="119">
        <v>0</v>
      </c>
      <c r="G39" s="104"/>
      <c r="H39" s="101">
        <v>16</v>
      </c>
      <c r="I39" s="289">
        <v>250</v>
      </c>
      <c r="J39" s="101" t="s">
        <v>295</v>
      </c>
      <c r="K39" s="19">
        <f>ServTerc[[#This Row],[VALOR]]*ServTerc[[#This Row],[QUANTIDADE]]</f>
        <v>4000</v>
      </c>
      <c r="L39" s="19" t="s">
        <v>422</v>
      </c>
      <c r="M39" s="235" cm="1">
        <f t="array" ref="M39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39" s="108">
        <f>ServTerc[[#This Row],[VALOR]]/ServTerc[[#This Row],[MARK-UP]]</f>
        <v>278.67615555209477</v>
      </c>
      <c r="O39" s="19">
        <f>ServTerc[[#This Row],[TOTAL CUSTO]]/ServTerc[[#This Row],[MARK-UP]]</f>
        <v>4458.8184888335163</v>
      </c>
      <c r="P39" s="236">
        <f>IF(ServTerc[[#This Row],[FATURAMENTO]]="NORMAL",ServTerc[[#This Row],[TOTAL VENDA]],0)</f>
        <v>0</v>
      </c>
    </row>
    <row r="40" spans="2:16" x14ac:dyDescent="0.25">
      <c r="B40" s="100"/>
      <c r="C40" s="100" t="s">
        <v>319</v>
      </c>
      <c r="D40" s="104" t="s">
        <v>300</v>
      </c>
      <c r="E40" s="119"/>
      <c r="F40" s="119">
        <v>0</v>
      </c>
      <c r="G40" s="104"/>
      <c r="H40" s="101">
        <v>16</v>
      </c>
      <c r="I40" s="289">
        <v>350</v>
      </c>
      <c r="J40" s="101" t="s">
        <v>295</v>
      </c>
      <c r="K40" s="19">
        <f>ServTerc[[#This Row],[VALOR]]*ServTerc[[#This Row],[QUANTIDADE]]</f>
        <v>5600</v>
      </c>
      <c r="L40" s="19" t="s">
        <v>422</v>
      </c>
      <c r="M40" s="235" cm="1">
        <f t="array" ref="M40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0" s="108">
        <f>ServTerc[[#This Row],[VALOR]]/ServTerc[[#This Row],[MARK-UP]]</f>
        <v>390.14661777293264</v>
      </c>
      <c r="O40" s="19">
        <f>ServTerc[[#This Row],[TOTAL CUSTO]]/ServTerc[[#This Row],[MARK-UP]]</f>
        <v>6242.3458843669223</v>
      </c>
      <c r="P40" s="236">
        <f>IF(ServTerc[[#This Row],[FATURAMENTO]]="NORMAL",ServTerc[[#This Row],[TOTAL VENDA]],0)</f>
        <v>0</v>
      </c>
    </row>
    <row r="41" spans="2:16" x14ac:dyDescent="0.25">
      <c r="B41" s="100"/>
      <c r="C41" s="100" t="s">
        <v>320</v>
      </c>
      <c r="D41" s="104" t="s">
        <v>300</v>
      </c>
      <c r="E41" s="119"/>
      <c r="F41" s="119">
        <v>0</v>
      </c>
      <c r="G41" s="104"/>
      <c r="H41" s="101">
        <v>16</v>
      </c>
      <c r="I41" s="289">
        <v>500</v>
      </c>
      <c r="J41" s="101" t="s">
        <v>295</v>
      </c>
      <c r="K41" s="19">
        <f>ServTerc[[#This Row],[VALOR]]*ServTerc[[#This Row],[QUANTIDADE]]</f>
        <v>8000</v>
      </c>
      <c r="L41" s="19" t="s">
        <v>422</v>
      </c>
      <c r="M41" s="235" cm="1">
        <f t="array" ref="M41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1" s="108">
        <f>ServTerc[[#This Row],[VALOR]]/ServTerc[[#This Row],[MARK-UP]]</f>
        <v>557.35231110418954</v>
      </c>
      <c r="O41" s="19">
        <f>ServTerc[[#This Row],[TOTAL CUSTO]]/ServTerc[[#This Row],[MARK-UP]]</f>
        <v>8917.6369776670326</v>
      </c>
      <c r="P41" s="236">
        <f>IF(ServTerc[[#This Row],[FATURAMENTO]]="NORMAL",ServTerc[[#This Row],[TOTAL VENDA]],0)</f>
        <v>0</v>
      </c>
    </row>
    <row r="42" spans="2:16" x14ac:dyDescent="0.25">
      <c r="B42" s="100"/>
      <c r="C42" s="100" t="s">
        <v>321</v>
      </c>
      <c r="D42" s="104" t="s">
        <v>300</v>
      </c>
      <c r="E42" s="119"/>
      <c r="F42" s="119">
        <v>0</v>
      </c>
      <c r="G42" s="104"/>
      <c r="H42" s="101">
        <v>16</v>
      </c>
      <c r="I42" s="289">
        <v>500</v>
      </c>
      <c r="J42" s="101" t="s">
        <v>295</v>
      </c>
      <c r="K42" s="19">
        <f>ServTerc[[#This Row],[VALOR]]*ServTerc[[#This Row],[QUANTIDADE]]</f>
        <v>8000</v>
      </c>
      <c r="L42" s="19" t="s">
        <v>422</v>
      </c>
      <c r="M42" s="235" cm="1">
        <f t="array" ref="M42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2" s="108">
        <f>ServTerc[[#This Row],[VALOR]]/ServTerc[[#This Row],[MARK-UP]]</f>
        <v>557.35231110418954</v>
      </c>
      <c r="O42" s="19">
        <f>ServTerc[[#This Row],[TOTAL CUSTO]]/ServTerc[[#This Row],[MARK-UP]]</f>
        <v>8917.6369776670326</v>
      </c>
      <c r="P42" s="236">
        <f>IF(ServTerc[[#This Row],[FATURAMENTO]]="NORMAL",ServTerc[[#This Row],[TOTAL VENDA]],0)</f>
        <v>0</v>
      </c>
    </row>
    <row r="43" spans="2:16" x14ac:dyDescent="0.25">
      <c r="B43" s="100"/>
      <c r="C43" s="100"/>
      <c r="D43" s="104" t="s">
        <v>300</v>
      </c>
      <c r="E43" s="119"/>
      <c r="F43" s="119">
        <v>0</v>
      </c>
      <c r="G43" s="104"/>
      <c r="H43" s="101"/>
      <c r="I43" s="289"/>
      <c r="J43" s="101" t="s">
        <v>295</v>
      </c>
      <c r="K43" s="19">
        <f>ServTerc[[#This Row],[VALOR]]*ServTerc[[#This Row],[QUANTIDADE]]</f>
        <v>0</v>
      </c>
      <c r="L43" s="19" t="s">
        <v>422</v>
      </c>
      <c r="M43" s="235" cm="1">
        <f t="array" ref="M43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3" s="108">
        <f>ServTerc[[#This Row],[VALOR]]/ServTerc[[#This Row],[MARK-UP]]</f>
        <v>0</v>
      </c>
      <c r="O43" s="19">
        <f>ServTerc[[#This Row],[TOTAL CUSTO]]/ServTerc[[#This Row],[MARK-UP]]</f>
        <v>0</v>
      </c>
      <c r="P43" s="236">
        <f>IF(ServTerc[[#This Row],[FATURAMENTO]]="NORMAL",ServTerc[[#This Row],[TOTAL VENDA]],0)</f>
        <v>0</v>
      </c>
    </row>
    <row r="44" spans="2:16" x14ac:dyDescent="0.25">
      <c r="B44" s="100"/>
      <c r="C44" s="288" t="s">
        <v>322</v>
      </c>
      <c r="D44" s="104" t="s">
        <v>300</v>
      </c>
      <c r="E44" s="119"/>
      <c r="F44" s="119">
        <v>0</v>
      </c>
      <c r="G44" s="104"/>
      <c r="H44" s="101"/>
      <c r="I44" s="289"/>
      <c r="J44" s="101" t="s">
        <v>295</v>
      </c>
      <c r="K44" s="19">
        <f>ServTerc[[#This Row],[VALOR]]*ServTerc[[#This Row],[QUANTIDADE]]</f>
        <v>0</v>
      </c>
      <c r="L44" s="19" t="s">
        <v>422</v>
      </c>
      <c r="M44" s="235" cm="1">
        <f t="array" ref="M44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4" s="108">
        <f>ServTerc[[#This Row],[VALOR]]/ServTerc[[#This Row],[MARK-UP]]</f>
        <v>0</v>
      </c>
      <c r="O44" s="19">
        <f>ServTerc[[#This Row],[TOTAL CUSTO]]/ServTerc[[#This Row],[MARK-UP]]</f>
        <v>0</v>
      </c>
      <c r="P44" s="236">
        <f>IF(ServTerc[[#This Row],[FATURAMENTO]]="NORMAL",ServTerc[[#This Row],[TOTAL VENDA]],0)</f>
        <v>0</v>
      </c>
    </row>
    <row r="45" spans="2:16" x14ac:dyDescent="0.25">
      <c r="B45" s="100"/>
      <c r="C45" s="100" t="s">
        <v>323</v>
      </c>
      <c r="D45" s="104" t="s">
        <v>300</v>
      </c>
      <c r="E45" s="119"/>
      <c r="F45" s="119">
        <v>0</v>
      </c>
      <c r="G45" s="104"/>
      <c r="H45" s="101"/>
      <c r="I45" s="289">
        <v>50000</v>
      </c>
      <c r="J45" s="101" t="s">
        <v>295</v>
      </c>
      <c r="K45" s="19">
        <f>ServTerc[[#This Row],[VALOR]]*ServTerc[[#This Row],[QUANTIDADE]]</f>
        <v>0</v>
      </c>
      <c r="L45" s="19" t="s">
        <v>422</v>
      </c>
      <c r="M45" s="235" cm="1">
        <f t="array" ref="M45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5" s="108">
        <f>ServTerc[[#This Row],[VALOR]]/ServTerc[[#This Row],[MARK-UP]]</f>
        <v>55735.23111041895</v>
      </c>
      <c r="O45" s="19">
        <f>ServTerc[[#This Row],[TOTAL CUSTO]]/ServTerc[[#This Row],[MARK-UP]]</f>
        <v>0</v>
      </c>
      <c r="P45" s="236">
        <f>IF(ServTerc[[#This Row],[FATURAMENTO]]="NORMAL",ServTerc[[#This Row],[TOTAL VENDA]],0)</f>
        <v>0</v>
      </c>
    </row>
    <row r="46" spans="2:16" x14ac:dyDescent="0.25">
      <c r="B46" s="100"/>
      <c r="C46" s="100"/>
      <c r="D46" s="104" t="s">
        <v>300</v>
      </c>
      <c r="E46" s="119"/>
      <c r="F46" s="119">
        <v>0</v>
      </c>
      <c r="G46" s="104"/>
      <c r="H46" s="101"/>
      <c r="I46" s="289"/>
      <c r="J46" s="101" t="s">
        <v>295</v>
      </c>
      <c r="K46" s="19">
        <f>ServTerc[[#This Row],[VALOR]]*ServTerc[[#This Row],[QUANTIDADE]]</f>
        <v>0</v>
      </c>
      <c r="L46" s="19" t="s">
        <v>422</v>
      </c>
      <c r="M46" s="235" cm="1">
        <f t="array" ref="M46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6" s="108">
        <f>ServTerc[[#This Row],[VALOR]]/ServTerc[[#This Row],[MARK-UP]]</f>
        <v>0</v>
      </c>
      <c r="O46" s="19">
        <f>ServTerc[[#This Row],[TOTAL CUSTO]]/ServTerc[[#This Row],[MARK-UP]]</f>
        <v>0</v>
      </c>
      <c r="P46" s="236">
        <f>IF(ServTerc[[#This Row],[FATURAMENTO]]="NORMAL",ServTerc[[#This Row],[TOTAL VENDA]],0)</f>
        <v>0</v>
      </c>
    </row>
    <row r="47" spans="2:16" x14ac:dyDescent="0.25">
      <c r="B47" s="100"/>
      <c r="C47" s="288" t="s">
        <v>324</v>
      </c>
      <c r="D47" s="104" t="s">
        <v>300</v>
      </c>
      <c r="E47" s="119"/>
      <c r="F47" s="119">
        <v>0</v>
      </c>
      <c r="G47" s="104"/>
      <c r="H47" s="101"/>
      <c r="I47" s="289"/>
      <c r="J47" s="101" t="s">
        <v>295</v>
      </c>
      <c r="K47" s="19">
        <f>ServTerc[[#This Row],[VALOR]]*ServTerc[[#This Row],[QUANTIDADE]]</f>
        <v>0</v>
      </c>
      <c r="L47" s="19" t="s">
        <v>422</v>
      </c>
      <c r="M47" s="235" cm="1">
        <f t="array" ref="M47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7" s="108">
        <f>ServTerc[[#This Row],[VALOR]]/ServTerc[[#This Row],[MARK-UP]]</f>
        <v>0</v>
      </c>
      <c r="O47" s="19">
        <f>ServTerc[[#This Row],[TOTAL CUSTO]]/ServTerc[[#This Row],[MARK-UP]]</f>
        <v>0</v>
      </c>
      <c r="P47" s="236">
        <f>IF(ServTerc[[#This Row],[FATURAMENTO]]="NORMAL",ServTerc[[#This Row],[TOTAL VENDA]],0)</f>
        <v>0</v>
      </c>
    </row>
    <row r="48" spans="2:16" x14ac:dyDescent="0.25">
      <c r="B48" s="100"/>
      <c r="C48" s="100" t="s">
        <v>895</v>
      </c>
      <c r="D48" s="104" t="s">
        <v>300</v>
      </c>
      <c r="E48" s="119"/>
      <c r="F48" s="119">
        <v>0</v>
      </c>
      <c r="G48" s="104"/>
      <c r="H48" s="101">
        <v>1</v>
      </c>
      <c r="I48" s="289">
        <v>25000</v>
      </c>
      <c r="J48" s="101" t="s">
        <v>295</v>
      </c>
      <c r="K48" s="19">
        <f>ServTerc[[#This Row],[VALOR]]*ServTerc[[#This Row],[QUANTIDADE]]</f>
        <v>25000</v>
      </c>
      <c r="L48" s="19" t="s">
        <v>428</v>
      </c>
      <c r="M48" s="235" cm="1">
        <f t="array" ref="M48">IF(RESUMO!$G$34="OBRA",_xlfn.XLOOKUP(ServTerc[[#This Row],[FATURAMENTO]],BASE!$U$54:$U$56,BASE!$W$54:$W$56,0%,0,1),_xlfn.XLOOKUP(ServTerc[[#This Row],[FATURAMENTO]],BASE!$U$60:'BASE'!$U$62,BASE!$W$60:'BASE'!$W$62,0%,0,1))</f>
        <v>0.98319999999999996</v>
      </c>
      <c r="N48" s="108">
        <f>ServTerc[[#This Row],[VALOR]]/ServTerc[[#This Row],[MARK-UP]]</f>
        <v>25427.176566314076</v>
      </c>
      <c r="O48" s="19">
        <f>ServTerc[[#This Row],[TOTAL CUSTO]]/ServTerc[[#This Row],[MARK-UP]]</f>
        <v>25427.176566314076</v>
      </c>
      <c r="P48" s="236">
        <f>IF(ServTerc[[#This Row],[FATURAMENTO]]="NORMAL",ServTerc[[#This Row],[TOTAL VENDA]],0)</f>
        <v>0</v>
      </c>
    </row>
    <row r="49" spans="2:16" x14ac:dyDescent="0.25">
      <c r="B49" s="100"/>
      <c r="C49" s="100" t="s">
        <v>325</v>
      </c>
      <c r="D49" s="104" t="s">
        <v>300</v>
      </c>
      <c r="E49" s="119"/>
      <c r="F49" s="119">
        <v>0</v>
      </c>
      <c r="G49" s="104"/>
      <c r="H49" s="101"/>
      <c r="I49" s="289">
        <v>750000</v>
      </c>
      <c r="J49" s="101" t="s">
        <v>295</v>
      </c>
      <c r="K49" s="19">
        <f>ServTerc[[#This Row],[VALOR]]*ServTerc[[#This Row],[QUANTIDADE]]</f>
        <v>0</v>
      </c>
      <c r="L49" s="19" t="s">
        <v>422</v>
      </c>
      <c r="M49" s="235" cm="1">
        <f t="array" ref="M49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49" s="108">
        <f>ServTerc[[#This Row],[VALOR]]/ServTerc[[#This Row],[MARK-UP]]</f>
        <v>836028.46665628429</v>
      </c>
      <c r="O49" s="19">
        <f>ServTerc[[#This Row],[TOTAL CUSTO]]/ServTerc[[#This Row],[MARK-UP]]</f>
        <v>0</v>
      </c>
      <c r="P49" s="236">
        <f>IF(ServTerc[[#This Row],[FATURAMENTO]]="NORMAL",ServTerc[[#This Row],[TOTAL VENDA]],0)</f>
        <v>0</v>
      </c>
    </row>
    <row r="50" spans="2:16" x14ac:dyDescent="0.25">
      <c r="B50" s="100"/>
      <c r="C50" s="100" t="s">
        <v>326</v>
      </c>
      <c r="D50" s="104" t="s">
        <v>300</v>
      </c>
      <c r="E50" s="119"/>
      <c r="F50" s="119">
        <v>0</v>
      </c>
      <c r="G50" s="104"/>
      <c r="H50" s="101"/>
      <c r="I50" s="289">
        <v>50000</v>
      </c>
      <c r="J50" s="101" t="s">
        <v>295</v>
      </c>
      <c r="K50" s="19">
        <f>ServTerc[[#This Row],[VALOR]]*ServTerc[[#This Row],[QUANTIDADE]]</f>
        <v>0</v>
      </c>
      <c r="L50" s="19" t="s">
        <v>422</v>
      </c>
      <c r="M50" s="235" cm="1">
        <f t="array" ref="M50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0" s="108">
        <f>ServTerc[[#This Row],[VALOR]]/ServTerc[[#This Row],[MARK-UP]]</f>
        <v>55735.23111041895</v>
      </c>
      <c r="O50" s="19">
        <f>ServTerc[[#This Row],[TOTAL CUSTO]]/ServTerc[[#This Row],[MARK-UP]]</f>
        <v>0</v>
      </c>
      <c r="P50" s="236">
        <f>IF(ServTerc[[#This Row],[FATURAMENTO]]="NORMAL",ServTerc[[#This Row],[TOTAL VENDA]],0)</f>
        <v>0</v>
      </c>
    </row>
    <row r="51" spans="2:16" x14ac:dyDescent="0.25">
      <c r="B51" s="100"/>
      <c r="C51" s="288" t="s">
        <v>327</v>
      </c>
      <c r="D51" s="104" t="s">
        <v>300</v>
      </c>
      <c r="E51" s="119"/>
      <c r="F51" s="119">
        <v>0</v>
      </c>
      <c r="G51" s="104"/>
      <c r="H51" s="101"/>
      <c r="I51" s="289"/>
      <c r="J51" s="101" t="s">
        <v>295</v>
      </c>
      <c r="K51" s="19">
        <f>ServTerc[[#This Row],[VALOR]]*ServTerc[[#This Row],[QUANTIDADE]]</f>
        <v>0</v>
      </c>
      <c r="L51" s="19" t="s">
        <v>422</v>
      </c>
      <c r="M51" s="235" cm="1">
        <f t="array" ref="M51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1" s="108">
        <f>ServTerc[[#This Row],[VALOR]]/ServTerc[[#This Row],[MARK-UP]]</f>
        <v>0</v>
      </c>
      <c r="O51" s="19">
        <f>ServTerc[[#This Row],[TOTAL CUSTO]]/ServTerc[[#This Row],[MARK-UP]]</f>
        <v>0</v>
      </c>
      <c r="P51" s="236">
        <f>IF(ServTerc[[#This Row],[FATURAMENTO]]="NORMAL",ServTerc[[#This Row],[TOTAL VENDA]],0)</f>
        <v>0</v>
      </c>
    </row>
    <row r="52" spans="2:16" x14ac:dyDescent="0.25">
      <c r="B52" s="100"/>
      <c r="C52" s="100" t="s">
        <v>327</v>
      </c>
      <c r="D52" s="104" t="s">
        <v>300</v>
      </c>
      <c r="E52" s="119"/>
      <c r="F52" s="119">
        <v>0</v>
      </c>
      <c r="G52" s="104"/>
      <c r="H52" s="101">
        <v>576</v>
      </c>
      <c r="I52" s="289">
        <v>35</v>
      </c>
      <c r="J52" s="101" t="s">
        <v>295</v>
      </c>
      <c r="K52" s="19">
        <f>ServTerc[[#This Row],[VALOR]]*ServTerc[[#This Row],[QUANTIDADE]]</f>
        <v>20160</v>
      </c>
      <c r="L52" s="19" t="s">
        <v>422</v>
      </c>
      <c r="M52" s="235" cm="1">
        <f t="array" ref="M52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2" s="108">
        <f>ServTerc[[#This Row],[VALOR]]/ServTerc[[#This Row],[MARK-UP]]</f>
        <v>39.014661777293263</v>
      </c>
      <c r="O52" s="19">
        <f>ServTerc[[#This Row],[TOTAL CUSTO]]/ServTerc[[#This Row],[MARK-UP]]</f>
        <v>22472.44518372092</v>
      </c>
      <c r="P52" s="236">
        <f>IF(ServTerc[[#This Row],[FATURAMENTO]]="NORMAL",ServTerc[[#This Row],[TOTAL VENDA]],0)</f>
        <v>0</v>
      </c>
    </row>
    <row r="53" spans="2:16" x14ac:dyDescent="0.25">
      <c r="B53" s="100"/>
      <c r="C53" s="100"/>
      <c r="D53" s="104" t="s">
        <v>300</v>
      </c>
      <c r="E53" s="119"/>
      <c r="F53" s="119">
        <v>0</v>
      </c>
      <c r="G53" s="104"/>
      <c r="H53" s="101"/>
      <c r="I53" s="289"/>
      <c r="J53" s="101" t="s">
        <v>295</v>
      </c>
      <c r="K53" s="19">
        <f>ServTerc[[#This Row],[VALOR]]*ServTerc[[#This Row],[QUANTIDADE]]</f>
        <v>0</v>
      </c>
      <c r="L53" s="19" t="s">
        <v>422</v>
      </c>
      <c r="M53" s="235" cm="1">
        <f t="array" ref="M53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3" s="108">
        <f>ServTerc[[#This Row],[VALOR]]/ServTerc[[#This Row],[MARK-UP]]</f>
        <v>0</v>
      </c>
      <c r="O53" s="19">
        <f>ServTerc[[#This Row],[TOTAL CUSTO]]/ServTerc[[#This Row],[MARK-UP]]</f>
        <v>0</v>
      </c>
      <c r="P53" s="236">
        <f>IF(ServTerc[[#This Row],[FATURAMENTO]]="NORMAL",ServTerc[[#This Row],[TOTAL VENDA]],0)</f>
        <v>0</v>
      </c>
    </row>
    <row r="54" spans="2:16" x14ac:dyDescent="0.25">
      <c r="B54" s="100"/>
      <c r="C54" s="288" t="s">
        <v>328</v>
      </c>
      <c r="D54" s="104" t="s">
        <v>300</v>
      </c>
      <c r="E54" s="119"/>
      <c r="F54" s="119">
        <v>0</v>
      </c>
      <c r="G54" s="104"/>
      <c r="H54" s="101"/>
      <c r="I54" s="289"/>
      <c r="J54" s="101" t="s">
        <v>295</v>
      </c>
      <c r="K54" s="19">
        <f>ServTerc[[#This Row],[VALOR]]*ServTerc[[#This Row],[QUANTIDADE]]</f>
        <v>0</v>
      </c>
      <c r="L54" s="19" t="s">
        <v>422</v>
      </c>
      <c r="M54" s="235" cm="1">
        <f t="array" ref="M54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4" s="108">
        <f>ServTerc[[#This Row],[VALOR]]/ServTerc[[#This Row],[MARK-UP]]</f>
        <v>0</v>
      </c>
      <c r="O54" s="19">
        <f>ServTerc[[#This Row],[TOTAL CUSTO]]/ServTerc[[#This Row],[MARK-UP]]</f>
        <v>0</v>
      </c>
      <c r="P54" s="236">
        <f>IF(ServTerc[[#This Row],[FATURAMENTO]]="NORMAL",ServTerc[[#This Row],[TOTAL VENDA]],0)</f>
        <v>0</v>
      </c>
    </row>
    <row r="55" spans="2:16" x14ac:dyDescent="0.25">
      <c r="B55" s="100"/>
      <c r="C55" s="100" t="s">
        <v>328</v>
      </c>
      <c r="D55" s="104" t="s">
        <v>300</v>
      </c>
      <c r="E55" s="119"/>
      <c r="F55" s="119">
        <v>0</v>
      </c>
      <c r="G55" s="104"/>
      <c r="H55" s="101">
        <v>0</v>
      </c>
      <c r="I55" s="289">
        <v>1000</v>
      </c>
      <c r="J55" s="101" t="s">
        <v>295</v>
      </c>
      <c r="K55" s="19">
        <f>ServTerc[[#This Row],[VALOR]]*ServTerc[[#This Row],[QUANTIDADE]]</f>
        <v>0</v>
      </c>
      <c r="L55" s="19" t="s">
        <v>422</v>
      </c>
      <c r="M55" s="235" cm="1">
        <f t="array" ref="M55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5" s="108">
        <f>ServTerc[[#This Row],[VALOR]]/ServTerc[[#This Row],[MARK-UP]]</f>
        <v>1114.7046222083791</v>
      </c>
      <c r="O55" s="19">
        <f>ServTerc[[#This Row],[TOTAL CUSTO]]/ServTerc[[#This Row],[MARK-UP]]</f>
        <v>0</v>
      </c>
      <c r="P55" s="236">
        <f>IF(ServTerc[[#This Row],[FATURAMENTO]]="NORMAL",ServTerc[[#This Row],[TOTAL VENDA]],0)</f>
        <v>0</v>
      </c>
    </row>
    <row r="56" spans="2:16" x14ac:dyDescent="0.25">
      <c r="B56" s="100"/>
      <c r="C56" s="100"/>
      <c r="D56" s="104" t="s">
        <v>300</v>
      </c>
      <c r="E56" s="119"/>
      <c r="F56" s="119">
        <v>0</v>
      </c>
      <c r="G56" s="104"/>
      <c r="H56" s="101"/>
      <c r="I56" s="289"/>
      <c r="J56" s="101" t="s">
        <v>295</v>
      </c>
      <c r="K56" s="19">
        <f>ServTerc[[#This Row],[VALOR]]*ServTerc[[#This Row],[QUANTIDADE]]</f>
        <v>0</v>
      </c>
      <c r="L56" s="19" t="s">
        <v>422</v>
      </c>
      <c r="M56" s="235" cm="1">
        <f t="array" ref="M56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6" s="108">
        <f>ServTerc[[#This Row],[VALOR]]/ServTerc[[#This Row],[MARK-UP]]</f>
        <v>0</v>
      </c>
      <c r="O56" s="19">
        <f>ServTerc[[#This Row],[TOTAL CUSTO]]/ServTerc[[#This Row],[MARK-UP]]</f>
        <v>0</v>
      </c>
      <c r="P56" s="236">
        <f>IF(ServTerc[[#This Row],[FATURAMENTO]]="NORMAL",ServTerc[[#This Row],[TOTAL VENDA]],0)</f>
        <v>0</v>
      </c>
    </row>
    <row r="57" spans="2:16" x14ac:dyDescent="0.25">
      <c r="B57" s="100"/>
      <c r="C57" s="288" t="s">
        <v>329</v>
      </c>
      <c r="D57" s="104" t="s">
        <v>300</v>
      </c>
      <c r="E57" s="119"/>
      <c r="F57" s="119">
        <v>0</v>
      </c>
      <c r="G57" s="104"/>
      <c r="H57" s="101"/>
      <c r="I57" s="289"/>
      <c r="J57" s="101" t="s">
        <v>295</v>
      </c>
      <c r="K57" s="19">
        <f>ServTerc[[#This Row],[VALOR]]*ServTerc[[#This Row],[QUANTIDADE]]</f>
        <v>0</v>
      </c>
      <c r="L57" s="19" t="s">
        <v>422</v>
      </c>
      <c r="M57" s="235" cm="1">
        <f t="array" ref="M57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7" s="108">
        <f>ServTerc[[#This Row],[VALOR]]/ServTerc[[#This Row],[MARK-UP]]</f>
        <v>0</v>
      </c>
      <c r="O57" s="19">
        <f>ServTerc[[#This Row],[TOTAL CUSTO]]/ServTerc[[#This Row],[MARK-UP]]</f>
        <v>0</v>
      </c>
      <c r="P57" s="236">
        <f>IF(ServTerc[[#This Row],[FATURAMENTO]]="NORMAL",ServTerc[[#This Row],[TOTAL VENDA]],0)</f>
        <v>0</v>
      </c>
    </row>
    <row r="58" spans="2:16" x14ac:dyDescent="0.25">
      <c r="B58" s="100"/>
      <c r="C58" s="100" t="s">
        <v>329</v>
      </c>
      <c r="D58" s="104" t="s">
        <v>300</v>
      </c>
      <c r="E58" s="119"/>
      <c r="F58" s="119">
        <v>0</v>
      </c>
      <c r="G58" s="104"/>
      <c r="H58" s="101"/>
      <c r="I58" s="289">
        <v>7000</v>
      </c>
      <c r="J58" s="101" t="s">
        <v>295</v>
      </c>
      <c r="K58" s="19">
        <f>ServTerc[[#This Row],[VALOR]]*ServTerc[[#This Row],[QUANTIDADE]]</f>
        <v>0</v>
      </c>
      <c r="L58" s="19" t="s">
        <v>422</v>
      </c>
      <c r="M58" s="235" cm="1">
        <f t="array" ref="M58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8" s="108">
        <f>ServTerc[[#This Row],[VALOR]]/ServTerc[[#This Row],[MARK-UP]]</f>
        <v>7802.9323554586535</v>
      </c>
      <c r="O58" s="19">
        <f>ServTerc[[#This Row],[TOTAL CUSTO]]/ServTerc[[#This Row],[MARK-UP]]</f>
        <v>0</v>
      </c>
      <c r="P58" s="236">
        <f>IF(ServTerc[[#This Row],[FATURAMENTO]]="NORMAL",ServTerc[[#This Row],[TOTAL VENDA]],0)</f>
        <v>0</v>
      </c>
    </row>
    <row r="59" spans="2:16" x14ac:dyDescent="0.25">
      <c r="B59" s="100"/>
      <c r="C59" s="100"/>
      <c r="D59" s="100"/>
      <c r="E59" s="119"/>
      <c r="F59" s="119">
        <v>0</v>
      </c>
      <c r="G59" s="104"/>
      <c r="H59" s="101"/>
      <c r="I59" s="289"/>
      <c r="J59" s="101" t="s">
        <v>295</v>
      </c>
      <c r="K59" s="19">
        <f>ServTerc[[#This Row],[VALOR]]*ServTerc[[#This Row],[QUANTIDADE]]</f>
        <v>0</v>
      </c>
      <c r="L59" s="19" t="s">
        <v>422</v>
      </c>
      <c r="M59" s="235" cm="1">
        <f t="array" ref="M59">IF(RESUMO!$G$34="OBRA",_xlfn.XLOOKUP(ServTerc[[#This Row],[FATURAMENTO]],BASE!$U$54:$U$56,BASE!$W$54:$W$56,0%,0,1),_xlfn.XLOOKUP(ServTerc[[#This Row],[FATURAMENTO]],BASE!$U$60:'BASE'!$U$62,BASE!$W$60:'BASE'!$W$62,0%,0,1))</f>
        <v>0.89709863947533131</v>
      </c>
      <c r="N59" s="108">
        <f>ServTerc[[#This Row],[VALOR]]/ServTerc[[#This Row],[MARK-UP]]</f>
        <v>0</v>
      </c>
      <c r="O59" s="19">
        <f>ServTerc[[#This Row],[TOTAL CUSTO]]/ServTerc[[#This Row],[MARK-UP]]</f>
        <v>0</v>
      </c>
      <c r="P59" s="236">
        <f>IF(ServTerc[[#This Row],[FATURAMENTO]]="NORMAL",ServTerc[[#This Row],[TOTAL VENDA]],0)</f>
        <v>0</v>
      </c>
    </row>
    <row r="60" spans="2:16" ht="14.5" x14ac:dyDescent="0.35">
      <c r="B60" s="17" t="s">
        <v>198</v>
      </c>
      <c r="C60" s="17"/>
      <c r="D60" s="17"/>
      <c r="E60" s="21"/>
      <c r="F60" s="119">
        <f>SUBTOTAL(101,ServTerc[PRAZO PAGAMENTO])</f>
        <v>0</v>
      </c>
      <c r="G60" s="21"/>
      <c r="H60" s="21"/>
      <c r="I60" s="21"/>
      <c r="J60" s="21"/>
      <c r="K60" s="19">
        <f>SUBTOTAL(109,ServTerc[TOTAL CUSTO])</f>
        <v>177860</v>
      </c>
      <c r="L60" s="19"/>
      <c r="M60" s="17"/>
      <c r="N60" s="17"/>
      <c r="O60" s="19">
        <f>SUBTOTAL(109,ServTerc[TOTAL VENDA])</f>
        <v>195820.92511708691</v>
      </c>
      <c r="P60" s="110">
        <f>SUBTOTAL(109,ServTerc[CUSTO FIXO])</f>
        <v>0</v>
      </c>
    </row>
  </sheetData>
  <sheetProtection selectLockedCells="1"/>
  <mergeCells count="11">
    <mergeCell ref="B7:G7"/>
    <mergeCell ref="H7:M7"/>
    <mergeCell ref="N7:O7"/>
    <mergeCell ref="G2:K4"/>
    <mergeCell ref="L2:M2"/>
    <mergeCell ref="N2:O2"/>
    <mergeCell ref="L3:M3"/>
    <mergeCell ref="N3:O3"/>
    <mergeCell ref="L4:M4"/>
    <mergeCell ref="N4:O4"/>
    <mergeCell ref="B2:D4"/>
  </mergeCells>
  <phoneticPr fontId="25" type="noConversion"/>
  <dataValidations count="2">
    <dataValidation type="list" allowBlank="1" showInputMessage="1" showErrorMessage="1" sqref="L61:L62 J61:J62" xr:uid="{E2895671-EEC5-4C0B-BC4D-1F807F24F14C}">
      <formula1>#REF!</formula1>
    </dataValidation>
    <dataValidation type="whole" allowBlank="1" showInputMessage="1" showErrorMessage="1" sqref="F9:F59" xr:uid="{8F7D5465-6EF9-43D8-A50B-7F11156C3A70}">
      <formula1>0</formula1>
      <formula2>200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216713-ACA3-4DF4-BCCE-F199D7779B6C}">
          <x14:formula1>
            <xm:f>BASE!$N$3:$N$5</xm:f>
          </x14:formula1>
          <xm:sqref>L9:L59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A858-5C38-42EB-9F29-93466C37CB51}">
  <sheetPr codeName="Planilha6">
    <tabColor rgb="FF92D050"/>
  </sheetPr>
  <dimension ref="A1:AX326"/>
  <sheetViews>
    <sheetView showGridLines="0" topLeftCell="A56" zoomScaleNormal="100" workbookViewId="0">
      <selection activeCell="I22" sqref="I22:I27"/>
    </sheetView>
  </sheetViews>
  <sheetFormatPr defaultColWidth="8.81640625" defaultRowHeight="14.5" x14ac:dyDescent="0.35"/>
  <cols>
    <col min="1" max="1" width="20.453125" style="517" bestFit="1" customWidth="1"/>
    <col min="2" max="2" width="25.54296875" style="517" bestFit="1" customWidth="1"/>
    <col min="3" max="3" width="89.26953125" style="517" bestFit="1" customWidth="1"/>
    <col min="4" max="4" width="21.453125" style="517" customWidth="1"/>
    <col min="5" max="5" width="18.1796875" style="517" bestFit="1" customWidth="1"/>
    <col min="6" max="6" width="16" style="517" bestFit="1" customWidth="1"/>
    <col min="7" max="7" width="19.26953125" style="517" customWidth="1"/>
    <col min="8" max="8" width="9.26953125" style="517" bestFit="1" customWidth="1"/>
    <col min="9" max="9" width="12.453125" style="517" bestFit="1" customWidth="1"/>
    <col min="10" max="10" width="19.81640625" style="517" bestFit="1" customWidth="1"/>
    <col min="11" max="11" width="11.453125" style="517" bestFit="1" customWidth="1"/>
    <col min="12" max="12" width="9.26953125" style="517" bestFit="1" customWidth="1"/>
    <col min="13" max="13" width="11.7265625" style="433" bestFit="1" customWidth="1"/>
    <col min="14" max="14" width="20.54296875" style="517" bestFit="1" customWidth="1"/>
    <col min="15" max="15" width="19.7265625" style="433" customWidth="1"/>
    <col min="16" max="16" width="15.1796875" style="517" customWidth="1"/>
    <col min="17" max="17" width="15.7265625" style="518" customWidth="1"/>
    <col min="18" max="18" width="18" style="518" bestFit="1" customWidth="1"/>
    <col min="19" max="20" width="15.26953125" style="517" bestFit="1" customWidth="1"/>
    <col min="21" max="21" width="27" style="517" hidden="1" customWidth="1"/>
    <col min="22" max="22" width="21.7265625" style="517" hidden="1" customWidth="1"/>
    <col min="23" max="23" width="12.453125" style="517" hidden="1" customWidth="1"/>
    <col min="24" max="24" width="17.81640625" style="517" hidden="1" customWidth="1"/>
    <col min="25" max="25" width="23" style="519" hidden="1" customWidth="1"/>
    <col min="26" max="26" width="11.7265625" style="519" hidden="1" customWidth="1"/>
    <col min="27" max="27" width="15.26953125" style="519" hidden="1" customWidth="1"/>
    <col min="28" max="28" width="14.453125" style="519" hidden="1" customWidth="1"/>
    <col min="29" max="29" width="14.54296875" style="519" hidden="1" customWidth="1"/>
    <col min="30" max="30" width="15.453125" style="519" hidden="1" customWidth="1"/>
    <col min="31" max="31" width="16" style="517" hidden="1" customWidth="1"/>
    <col min="32" max="32" width="15.1796875" style="517" hidden="1" customWidth="1"/>
    <col min="33" max="33" width="14.7265625" style="517" hidden="1" customWidth="1"/>
    <col min="34" max="34" width="16.26953125" style="517" hidden="1" customWidth="1"/>
    <col min="35" max="35" width="18" style="517" hidden="1" customWidth="1"/>
    <col min="36" max="36" width="22.7265625" style="517" customWidth="1"/>
    <col min="37" max="37" width="23.81640625" style="517" customWidth="1"/>
    <col min="38" max="38" width="31.54296875" style="511" hidden="1" customWidth="1"/>
    <col min="39" max="39" width="18.54296875" style="511" customWidth="1"/>
    <col min="40" max="41" width="8.81640625" style="511" customWidth="1"/>
    <col min="42" max="42" width="22.26953125" style="511" bestFit="1" customWidth="1"/>
    <col min="43" max="43" width="13.7265625" style="511" bestFit="1" customWidth="1"/>
    <col min="44" max="44" width="13.54296875" style="511" bestFit="1" customWidth="1"/>
    <col min="45" max="45" width="13.81640625" style="511" bestFit="1" customWidth="1"/>
    <col min="46" max="48" width="8.81640625" style="511"/>
    <col min="49" max="49" width="24" style="511" bestFit="1" customWidth="1"/>
    <col min="50" max="50" width="18.26953125" style="511" bestFit="1" customWidth="1"/>
    <col min="51" max="16384" width="8.81640625" style="511"/>
  </cols>
  <sheetData>
    <row r="1" spans="1:50" s="401" customFormat="1" ht="11.5" x14ac:dyDescent="0.25">
      <c r="O1" s="402"/>
      <c r="P1" s="402"/>
      <c r="W1" s="403"/>
      <c r="X1" s="403"/>
      <c r="Y1" s="403"/>
      <c r="Z1" s="403"/>
      <c r="AA1" s="403"/>
      <c r="AB1" s="403"/>
    </row>
    <row r="2" spans="1:50" s="411" customFormat="1" ht="20.5" customHeight="1" x14ac:dyDescent="0.35">
      <c r="A2" s="404" t="s">
        <v>330</v>
      </c>
      <c r="B2" s="404"/>
      <c r="C2" s="405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7"/>
      <c r="U2" s="407"/>
      <c r="V2" s="407"/>
      <c r="W2" s="407"/>
      <c r="X2" s="407"/>
      <c r="Y2" s="408"/>
      <c r="Z2" s="409"/>
      <c r="AA2" s="409"/>
      <c r="AB2" s="409"/>
      <c r="AC2" s="410">
        <v>0</v>
      </c>
      <c r="AD2" s="410"/>
      <c r="AM2" s="406"/>
      <c r="AN2" s="406"/>
    </row>
    <row r="3" spans="1:50" s="411" customFormat="1" ht="20.5" customHeight="1" x14ac:dyDescent="0.35">
      <c r="A3" s="404"/>
      <c r="B3" s="404"/>
      <c r="C3" s="405"/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7"/>
      <c r="U3" s="407"/>
      <c r="V3" s="407"/>
      <c r="W3" s="407"/>
      <c r="X3" s="407"/>
      <c r="Y3" s="408"/>
      <c r="Z3" s="409"/>
      <c r="AA3" s="409"/>
      <c r="AB3" s="409"/>
      <c r="AC3" s="410" t="s">
        <v>283</v>
      </c>
      <c r="AD3" s="410"/>
      <c r="AM3" s="406"/>
      <c r="AN3" s="406"/>
    </row>
    <row r="4" spans="1:50" s="411" customFormat="1" ht="20.5" customHeight="1" x14ac:dyDescent="0.35">
      <c r="A4" s="404"/>
      <c r="B4" s="404"/>
      <c r="C4" s="405"/>
      <c r="D4" s="406"/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7"/>
      <c r="U4" s="407"/>
      <c r="V4" s="407"/>
      <c r="W4" s="407"/>
      <c r="X4" s="407"/>
      <c r="Y4" s="408"/>
      <c r="Z4" s="409"/>
      <c r="AA4" s="409"/>
      <c r="AB4" s="409"/>
      <c r="AC4" s="412">
        <v>43420</v>
      </c>
      <c r="AD4" s="412"/>
      <c r="AK4" s="413"/>
      <c r="AL4" s="413"/>
      <c r="AM4" s="406"/>
      <c r="AN4" s="406"/>
    </row>
    <row r="5" spans="1:50" s="401" customFormat="1" ht="11.5" x14ac:dyDescent="0.25">
      <c r="A5" s="414"/>
      <c r="B5" s="414"/>
      <c r="C5" s="414"/>
      <c r="D5" s="414"/>
      <c r="E5" s="414"/>
      <c r="F5" s="414"/>
      <c r="G5" s="414"/>
      <c r="H5" s="414"/>
      <c r="I5" s="414"/>
      <c r="J5" s="414"/>
      <c r="K5" s="414"/>
      <c r="L5" s="414"/>
      <c r="M5" s="414"/>
      <c r="N5" s="414"/>
      <c r="O5" s="415"/>
      <c r="P5" s="415"/>
      <c r="Q5" s="414"/>
      <c r="R5" s="414"/>
      <c r="S5" s="414"/>
      <c r="T5" s="414"/>
      <c r="U5" s="414"/>
      <c r="V5" s="414"/>
      <c r="W5" s="416"/>
      <c r="X5" s="416"/>
      <c r="Y5" s="416"/>
      <c r="Z5" s="416"/>
      <c r="AA5" s="416"/>
      <c r="AB5" s="416"/>
      <c r="AC5" s="414"/>
    </row>
    <row r="6" spans="1:50" s="401" customFormat="1" ht="11.5" x14ac:dyDescent="0.25">
      <c r="A6" s="414"/>
      <c r="B6" s="414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5"/>
      <c r="P6" s="415"/>
      <c r="Q6" s="414"/>
      <c r="R6" s="414"/>
      <c r="S6" s="414"/>
      <c r="T6" s="414"/>
      <c r="U6" s="414"/>
      <c r="V6" s="414"/>
      <c r="W6" s="416"/>
      <c r="X6" s="416"/>
      <c r="Y6" s="416"/>
      <c r="Z6" s="416"/>
      <c r="AA6" s="416"/>
      <c r="AB6" s="416"/>
    </row>
    <row r="7" spans="1:50" s="421" customFormat="1" ht="15" customHeight="1" x14ac:dyDescent="0.25">
      <c r="A7" s="417" t="s">
        <v>69</v>
      </c>
      <c r="B7" s="417"/>
      <c r="C7" s="417"/>
      <c r="D7" s="417"/>
      <c r="E7" s="417"/>
      <c r="F7" s="417">
        <v>0</v>
      </c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417"/>
      <c r="S7" s="417"/>
      <c r="T7" s="417"/>
      <c r="U7" s="417"/>
      <c r="V7" s="417"/>
      <c r="W7" s="417"/>
      <c r="X7" s="417"/>
      <c r="Y7" s="417"/>
      <c r="Z7" s="417"/>
      <c r="AA7" s="417"/>
      <c r="AB7" s="417"/>
      <c r="AC7" s="417"/>
      <c r="AD7" s="417"/>
      <c r="AE7" s="418" t="s">
        <v>132</v>
      </c>
      <c r="AF7" s="418"/>
      <c r="AG7" s="418"/>
      <c r="AH7" s="418"/>
      <c r="AI7" s="419" t="s">
        <v>132</v>
      </c>
      <c r="AJ7" s="420"/>
      <c r="AK7" s="419" t="s">
        <v>132</v>
      </c>
      <c r="AL7" s="420"/>
      <c r="AM7" s="253"/>
    </row>
    <row r="8" spans="1:50" s="431" customFormat="1" ht="23.5" thickBot="1" x14ac:dyDescent="0.4">
      <c r="A8" s="422" t="s">
        <v>331</v>
      </c>
      <c r="B8" s="422" t="s">
        <v>332</v>
      </c>
      <c r="C8" s="422" t="s">
        <v>38</v>
      </c>
      <c r="D8" s="422" t="s">
        <v>333</v>
      </c>
      <c r="E8" s="422" t="s">
        <v>287</v>
      </c>
      <c r="F8" s="382" t="s">
        <v>288</v>
      </c>
      <c r="G8" s="422" t="s">
        <v>137</v>
      </c>
      <c r="H8" s="423" t="s">
        <v>334</v>
      </c>
      <c r="I8" s="423" t="s">
        <v>109</v>
      </c>
      <c r="J8" s="423" t="s">
        <v>335</v>
      </c>
      <c r="K8" s="423" t="s">
        <v>336</v>
      </c>
      <c r="L8" s="423" t="s">
        <v>337</v>
      </c>
      <c r="M8" s="424" t="s">
        <v>338</v>
      </c>
      <c r="N8" s="425" t="s">
        <v>339</v>
      </c>
      <c r="O8" s="422" t="s">
        <v>289</v>
      </c>
      <c r="P8" s="422" t="s">
        <v>291</v>
      </c>
      <c r="Q8" s="426" t="s">
        <v>100</v>
      </c>
      <c r="R8" s="426" t="s">
        <v>101</v>
      </c>
      <c r="S8" s="422" t="s">
        <v>340</v>
      </c>
      <c r="T8" s="422" t="s">
        <v>341</v>
      </c>
      <c r="U8" s="427" t="s">
        <v>342</v>
      </c>
      <c r="V8" s="427" t="s">
        <v>343</v>
      </c>
      <c r="W8" s="427" t="s">
        <v>344</v>
      </c>
      <c r="X8" s="427" t="s">
        <v>345</v>
      </c>
      <c r="Y8" s="427" t="s">
        <v>346</v>
      </c>
      <c r="Z8" s="427" t="s">
        <v>347</v>
      </c>
      <c r="AA8" s="427" t="s">
        <v>348</v>
      </c>
      <c r="AB8" s="427" t="s">
        <v>112</v>
      </c>
      <c r="AC8" s="427" t="s">
        <v>349</v>
      </c>
      <c r="AD8" s="427" t="s">
        <v>350</v>
      </c>
      <c r="AE8" s="427" t="s">
        <v>351</v>
      </c>
      <c r="AF8" s="427" t="s">
        <v>352</v>
      </c>
      <c r="AG8" s="427" t="s">
        <v>353</v>
      </c>
      <c r="AH8" s="428" t="s">
        <v>354</v>
      </c>
      <c r="AI8" s="429" t="s">
        <v>132</v>
      </c>
      <c r="AJ8" s="429" t="s">
        <v>355</v>
      </c>
      <c r="AK8" s="429" t="s">
        <v>356</v>
      </c>
      <c r="AL8" s="430" t="s">
        <v>294</v>
      </c>
      <c r="AP8" s="432" t="s">
        <v>357</v>
      </c>
      <c r="AQ8" s="433" t="s">
        <v>358</v>
      </c>
      <c r="AR8" s="433" t="s">
        <v>359</v>
      </c>
    </row>
    <row r="9" spans="1:50" s="431" customFormat="1" x14ac:dyDescent="0.35">
      <c r="A9" s="113"/>
      <c r="B9" s="113"/>
      <c r="C9" s="113"/>
      <c r="D9" s="113"/>
      <c r="E9" s="434"/>
      <c r="F9" s="434">
        <f>F$7</f>
        <v>0</v>
      </c>
      <c r="G9" s="113"/>
      <c r="H9" s="435"/>
      <c r="I9" s="436"/>
      <c r="J9" s="437"/>
      <c r="K9" s="438"/>
      <c r="L9" s="438"/>
      <c r="M9" s="439"/>
      <c r="N9" s="440">
        <f>MateriaisCampo[[#This Row],[UNIT S/IPI S/DESC]]-MateriaisCampo[[#This Row],[UNIT S/IPI S/DESC]]*MateriaisCampo[[#This Row],[% DESC]]</f>
        <v>0</v>
      </c>
      <c r="O9" s="441" t="s">
        <v>295</v>
      </c>
      <c r="P9" s="442" t="s">
        <v>155</v>
      </c>
      <c r="Q9" s="438">
        <v>1.6500000000000001E-2</v>
      </c>
      <c r="R9" s="438">
        <v>7.5999999999999998E-2</v>
      </c>
      <c r="S9" s="443">
        <f>MateriaisCampo[[#This Row],[UNIT S/ IP + DIF ICMS]]*MateriaisCampo[[#This Row],[QUANTIDADE]]</f>
        <v>0</v>
      </c>
      <c r="T9" s="444">
        <f>MateriaisCampo[[#This Row],[TOTAL S/ IPI]]+(MateriaisCampo[[#This Row],[TOTAL S/ IPI]]*MateriaisCampo[[#This Row],[IPI %]])</f>
        <v>0</v>
      </c>
      <c r="U9" s="445">
        <f>IF(AND(MateriaisCampo[[#This Row],[ICMS %]]&lt;&gt;18%,MateriaisCampo[[#This Row],[ORIGEM]]&lt;&gt;"SÃO PAULO"),((18%-MateriaisCampo[[#This Row],[ICMS %]])*MateriaisCampo[[#This Row],[UNIT S/ IPI C/DESC]]),0)</f>
        <v>0</v>
      </c>
      <c r="V9" s="437">
        <f>MateriaisCampo[[#This Row],[UNIT S/ IPI C/DESC]]*MateriaisCampo[[#This Row],[ICMS %]]</f>
        <v>0</v>
      </c>
      <c r="W9" s="437">
        <f>MateriaisCampo[[#This Row],[ICMS $]]*MateriaisCampo[[#This Row],[QUANTIDADE]]</f>
        <v>0</v>
      </c>
      <c r="X9" s="446">
        <f>MateriaisCampo[[#This Row],[UNIT S/ IPI C/DESC]]+MateriaisCampo[[#This Row],[DIFERENCIAL ICMS]]</f>
        <v>0</v>
      </c>
      <c r="Y9" s="447">
        <f>(MateriaisCampo[[#This Row],[PIS]]*MateriaisCampo[[#This Row],[UNIT S/ IPI C/DESC]])/2</f>
        <v>0</v>
      </c>
      <c r="Z9" s="447">
        <f>(MateriaisCampo[[#This Row],[COFINS]]*MateriaisCampo[[#This Row],[UNIT S/ IPI C/DESC]])/2</f>
        <v>0</v>
      </c>
      <c r="AA9" s="445">
        <f>MateriaisCampo[[#This Row],[UNIT S/ IP + DIF ICMS]]+(MateriaisCampo[[#This Row],[UNIT S/ IP + DIF ICMS]]*MateriaisCampo[[#This Row],[IPI %]])</f>
        <v>0</v>
      </c>
      <c r="AB9" s="448">
        <f>_xlfn.XLOOKUP(MateriaisCampo[[#This Row],[FATURAMENTO]],BASE!$U$48:$U$50,BASE!$W$48:$W$50,0,0,1)</f>
        <v>0.79709863947533133</v>
      </c>
      <c r="AC9" s="449" t="str">
        <f>RESUMO!$E$56</f>
        <v>SIM</v>
      </c>
      <c r="AD9" s="449" t="str">
        <f>RESUMO!$E$57</f>
        <v>SIM</v>
      </c>
      <c r="AE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9" s="450">
        <f>MateriaisCampo[[#This Row],[UNIT CRED]]*MateriaisCampo[[#This Row],[QUANTIDADE]]</f>
        <v>0</v>
      </c>
      <c r="AG9" s="451">
        <f>MateriaisCampo[[#This Row],[TOT CRED]]</f>
        <v>0</v>
      </c>
      <c r="AH9" s="452">
        <f>IF(MateriaisCampo[[#This Row],[QUANTIDADE]]&lt;&gt;0,((MateriaisCampo[[#This Row],[TOT CUSTO]]/MateriaisCampo[[#This Row],[QUANTIDADE]])/MateriaisCampo[[#This Row],[MARK-UP]]),0)</f>
        <v>0</v>
      </c>
      <c r="AI9" s="453">
        <f>MateriaisCampo[[#This Row],[UNIT VENDA]]*MateriaisCampo[[#This Row],[QUANTIDADE]]</f>
        <v>0</v>
      </c>
      <c r="AJ9" s="453">
        <f>IFERROR(MateriaisCampo[[#This Row],[VENDA]]*(RESUMO!$F$55/RESUMO!$F$45),0)</f>
        <v>0</v>
      </c>
      <c r="AK9" s="453">
        <f>IFERROR(MateriaisCampo[[#This Row],[VENDA]]*(RESUMO!$F$58/RESUMO!$F$45),0)</f>
        <v>0</v>
      </c>
      <c r="AL9" s="454">
        <f>IF(MateriaisCampo[[#This Row],[FATURAMENTO]]="NORMAL",MateriaisCampo[[#This Row],[VENDA]],0)</f>
        <v>0</v>
      </c>
      <c r="AP9" s="455" t="s">
        <v>360</v>
      </c>
      <c r="AQ9" s="456">
        <v>0</v>
      </c>
      <c r="AR9" s="457">
        <v>0</v>
      </c>
      <c r="AV9" s="433"/>
      <c r="AW9" s="433"/>
      <c r="AX9" s="433"/>
    </row>
    <row r="10" spans="1:50" s="459" customFormat="1" x14ac:dyDescent="0.35">
      <c r="A10" s="113"/>
      <c r="B10" s="113"/>
      <c r="C10" s="113"/>
      <c r="D10" s="113"/>
      <c r="E10" s="434"/>
      <c r="F10" s="434">
        <f>F$7</f>
        <v>0</v>
      </c>
      <c r="G10" s="113"/>
      <c r="H10" s="435"/>
      <c r="I10" s="436"/>
      <c r="J10" s="437"/>
      <c r="K10" s="438"/>
      <c r="L10" s="438"/>
      <c r="M10" s="458"/>
      <c r="N10" s="440">
        <f>MateriaisCampo[[#This Row],[UNIT S/IPI S/DESC]]-MateriaisCampo[[#This Row],[UNIT S/IPI S/DESC]]*MateriaisCampo[[#This Row],[% DESC]]</f>
        <v>0</v>
      </c>
      <c r="O10" s="441" t="s">
        <v>295</v>
      </c>
      <c r="P10" s="442" t="s">
        <v>155</v>
      </c>
      <c r="Q10" s="438">
        <v>1.6500000000000001E-2</v>
      </c>
      <c r="R10" s="438">
        <v>7.5999999999999998E-2</v>
      </c>
      <c r="S10" s="443">
        <f>MateriaisCampo[[#This Row],[UNIT S/ IP + DIF ICMS]]*MateriaisCampo[[#This Row],[QUANTIDADE]]</f>
        <v>0</v>
      </c>
      <c r="T10" s="444">
        <f>MateriaisCampo[[#This Row],[TOTAL S/ IPI]]+(MateriaisCampo[[#This Row],[TOTAL S/ IPI]]*MateriaisCampo[[#This Row],[IPI %]])</f>
        <v>0</v>
      </c>
      <c r="U10" s="445">
        <f>IF(AND(MateriaisCampo[[#This Row],[ICMS %]]&lt;&gt;18%,MateriaisCampo[[#This Row],[ORIGEM]]&lt;&gt;"SÃO PAULO"),((18%-MateriaisCampo[[#This Row],[ICMS %]])*MateriaisCampo[[#This Row],[UNIT S/ IPI C/DESC]]),0)</f>
        <v>0</v>
      </c>
      <c r="V10" s="437">
        <f>MateriaisCampo[[#This Row],[UNIT S/ IPI C/DESC]]*MateriaisCampo[[#This Row],[ICMS %]]</f>
        <v>0</v>
      </c>
      <c r="W10" s="437">
        <f>MateriaisCampo[[#This Row],[ICMS $]]*MateriaisCampo[[#This Row],[QUANTIDADE]]</f>
        <v>0</v>
      </c>
      <c r="X10" s="446">
        <f>MateriaisCampo[[#This Row],[UNIT S/ IPI C/DESC]]+MateriaisCampo[[#This Row],[DIFERENCIAL ICMS]]</f>
        <v>0</v>
      </c>
      <c r="Y10" s="447">
        <f>(MateriaisCampo[[#This Row],[PIS]]*MateriaisCampo[[#This Row],[UNIT S/ IPI C/DESC]])/2</f>
        <v>0</v>
      </c>
      <c r="Z10" s="447">
        <f>(MateriaisCampo[[#This Row],[COFINS]]*MateriaisCampo[[#This Row],[UNIT S/ IPI C/DESC]])/2</f>
        <v>0</v>
      </c>
      <c r="AA10" s="445">
        <f>MateriaisCampo[[#This Row],[UNIT S/ IP + DIF ICMS]]+(MateriaisCampo[[#This Row],[UNIT S/ IP + DIF ICMS]]*MateriaisCampo[[#This Row],[IPI %]])</f>
        <v>0</v>
      </c>
      <c r="AB10" s="448">
        <f>_xlfn.XLOOKUP(MateriaisCampo[[#This Row],[FATURAMENTO]],BASE!$U$48:$U$50,BASE!$W$48:$W$50,0,0,1)</f>
        <v>0.79709863947533133</v>
      </c>
      <c r="AC10" s="449" t="str">
        <f>RESUMO!$E$56</f>
        <v>SIM</v>
      </c>
      <c r="AD10" s="449" t="str">
        <f>RESUMO!$E$57</f>
        <v>SIM</v>
      </c>
      <c r="AE1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0" s="450">
        <f>MateriaisCampo[[#This Row],[UNIT CRED]]*MateriaisCampo[[#This Row],[QUANTIDADE]]</f>
        <v>0</v>
      </c>
      <c r="AG10" s="451">
        <f>MateriaisCampo[[#This Row],[TOT CRED]]</f>
        <v>0</v>
      </c>
      <c r="AH10" s="452">
        <f>IF(MateriaisCampo[[#This Row],[QUANTIDADE]]&lt;&gt;0,((MateriaisCampo[[#This Row],[TOT CUSTO]]/MateriaisCampo[[#This Row],[QUANTIDADE]])/MateriaisCampo[[#This Row],[MARK-UP]]),0)</f>
        <v>0</v>
      </c>
      <c r="AI10" s="453">
        <f>MateriaisCampo[[#This Row],[UNIT VENDA]]*MateriaisCampo[[#This Row],[QUANTIDADE]]</f>
        <v>0</v>
      </c>
      <c r="AJ10" s="453">
        <f>IFERROR(MateriaisCampo[[#This Row],[VENDA]]*(RESUMO!$F$55/RESUMO!$F$45),0)</f>
        <v>0</v>
      </c>
      <c r="AK10" s="453">
        <f>IFERROR(MateriaisCampo[[#This Row],[VENDA]]*(RESUMO!$F$58/RESUMO!$F$45),0)</f>
        <v>0</v>
      </c>
      <c r="AL10" s="454">
        <f>IF(MateriaisCampo[[#This Row],[FATURAMENTO]]="NORMAL",MateriaisCampo[[#This Row],[VENDA]],0)</f>
        <v>0</v>
      </c>
      <c r="AP10" s="455" t="s">
        <v>548</v>
      </c>
      <c r="AQ10" s="456">
        <v>0</v>
      </c>
      <c r="AR10" s="457">
        <v>0</v>
      </c>
      <c r="AV10" s="433"/>
      <c r="AW10" s="433"/>
      <c r="AX10" s="433"/>
    </row>
    <row r="11" spans="1:50" s="459" customFormat="1" x14ac:dyDescent="0.35">
      <c r="A11" s="460"/>
      <c r="B11" s="460"/>
      <c r="C11" s="460"/>
      <c r="D11" s="460"/>
      <c r="E11" s="461"/>
      <c r="F11" s="461">
        <f>F$7</f>
        <v>0</v>
      </c>
      <c r="G11" s="460"/>
      <c r="H11" s="462"/>
      <c r="I11" s="463"/>
      <c r="J11" s="464"/>
      <c r="K11" s="465"/>
      <c r="L11" s="466"/>
      <c r="M11" s="467"/>
      <c r="N11" s="468">
        <f>MateriaisCampo[[#This Row],[UNIT S/IPI S/DESC]]-MateriaisCampo[[#This Row],[UNIT S/IPI S/DESC]]*MateriaisCampo[[#This Row],[% DESC]]</f>
        <v>0</v>
      </c>
      <c r="O11" s="469" t="s">
        <v>295</v>
      </c>
      <c r="P11" s="470" t="s">
        <v>155</v>
      </c>
      <c r="Q11" s="471">
        <v>1.6500000000000001E-2</v>
      </c>
      <c r="R11" s="471">
        <v>7.5999999999999998E-2</v>
      </c>
      <c r="S11" s="472">
        <f>MateriaisCampo[[#This Row],[UNIT S/ IP + DIF ICMS]]*MateriaisCampo[[#This Row],[QUANTIDADE]]</f>
        <v>0</v>
      </c>
      <c r="T11" s="473">
        <f>MateriaisCampo[[#This Row],[TOTAL S/ IPI]]+(MateriaisCampo[[#This Row],[TOTAL S/ IPI]]*MateriaisCampo[[#This Row],[IPI %]])</f>
        <v>0</v>
      </c>
      <c r="U11" s="474">
        <f>IF(AND(MateriaisCampo[[#This Row],[ICMS %]]&lt;&gt;18%,MateriaisCampo[[#This Row],[ORIGEM]]&lt;&gt;"SÃO PAULO"),((18%-MateriaisCampo[[#This Row],[ICMS %]])*MateriaisCampo[[#This Row],[UNIT S/ IPI C/DESC]]),0)</f>
        <v>0</v>
      </c>
      <c r="V11" s="475">
        <f>MateriaisCampo[[#This Row],[UNIT S/ IPI C/DESC]]*MateriaisCampo[[#This Row],[ICMS %]]</f>
        <v>0</v>
      </c>
      <c r="W11" s="475">
        <f>MateriaisCampo[[#This Row],[ICMS $]]*MateriaisCampo[[#This Row],[QUANTIDADE]]</f>
        <v>0</v>
      </c>
      <c r="X11" s="476">
        <f>MateriaisCampo[[#This Row],[UNIT S/ IPI C/DESC]]+MateriaisCampo[[#This Row],[DIFERENCIAL ICMS]]</f>
        <v>0</v>
      </c>
      <c r="Y11" s="476">
        <f>(MateriaisCampo[[#This Row],[PIS]]*MateriaisCampo[[#This Row],[UNIT S/ IPI C/DESC]])/2</f>
        <v>0</v>
      </c>
      <c r="Z11" s="476">
        <f>(MateriaisCampo[[#This Row],[COFINS]]*MateriaisCampo[[#This Row],[UNIT S/ IPI C/DESC]])/2</f>
        <v>0</v>
      </c>
      <c r="AA11" s="474">
        <f>MateriaisCampo[[#This Row],[UNIT S/ IP + DIF ICMS]]+(MateriaisCampo[[#This Row],[UNIT S/ IP + DIF ICMS]]*MateriaisCampo[[#This Row],[IPI %]])</f>
        <v>0</v>
      </c>
      <c r="AB11" s="477">
        <f>_xlfn.XLOOKUP(MateriaisCampo[[#This Row],[FATURAMENTO]],BASE!$U$48:$U$50,BASE!$W$48:$W$50,0,0,1)</f>
        <v>0.79709863947533133</v>
      </c>
      <c r="AC11" s="478" t="str">
        <f>RESUMO!$E$56</f>
        <v>SIM</v>
      </c>
      <c r="AD11" s="479" t="str">
        <f>RESUMO!$E$57</f>
        <v>SIM</v>
      </c>
      <c r="AE11" s="48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1" s="480">
        <f>MateriaisCampo[[#This Row],[UNIT CRED]]*MateriaisCampo[[#This Row],[QUANTIDADE]]</f>
        <v>0</v>
      </c>
      <c r="AG11" s="481">
        <f>MateriaisCampo[[#This Row],[TOT CRED]]</f>
        <v>0</v>
      </c>
      <c r="AH11" s="482">
        <f>IF(MateriaisCampo[[#This Row],[QUANTIDADE]]&lt;&gt;0,((MateriaisCampo[[#This Row],[TOT CUSTO]]/MateriaisCampo[[#This Row],[QUANTIDADE]])/MateriaisCampo[[#This Row],[MARK-UP]]),0)</f>
        <v>0</v>
      </c>
      <c r="AI11" s="483">
        <f>MateriaisCampo[[#This Row],[UNIT VENDA]]*MateriaisCampo[[#This Row],[QUANTIDADE]]</f>
        <v>0</v>
      </c>
      <c r="AJ11" s="483">
        <f>IFERROR(MateriaisCampo[[#This Row],[VENDA]]*(RESUMO!$F$55/RESUMO!$F$45),0)</f>
        <v>0</v>
      </c>
      <c r="AK11" s="483">
        <f>IFERROR(MateriaisCampo[[#This Row],[VENDA]]*(RESUMO!$F$58/RESUMO!$F$45),0)</f>
        <v>0</v>
      </c>
      <c r="AL11" s="454">
        <f>IF(MateriaisCampo[[#This Row],[FATURAMENTO]]="NORMAL",MateriaisCampo[[#This Row],[VENDA]],0)</f>
        <v>0</v>
      </c>
      <c r="AP11" s="455" t="s">
        <v>554</v>
      </c>
      <c r="AQ11" s="456">
        <v>0</v>
      </c>
      <c r="AR11" s="457">
        <v>0</v>
      </c>
      <c r="AV11" s="433"/>
      <c r="AW11" s="433"/>
      <c r="AX11" s="433"/>
    </row>
    <row r="12" spans="1:50" s="508" customFormat="1" ht="29" x14ac:dyDescent="0.35">
      <c r="A12" s="484" t="s">
        <v>552</v>
      </c>
      <c r="B12" s="484" t="s">
        <v>548</v>
      </c>
      <c r="C12" s="484" t="s">
        <v>547</v>
      </c>
      <c r="D12" s="484"/>
      <c r="E12" s="485"/>
      <c r="F12" s="485">
        <f>F$7</f>
        <v>0</v>
      </c>
      <c r="G12" s="484"/>
      <c r="H12" s="486"/>
      <c r="I12" s="487"/>
      <c r="J12" s="488"/>
      <c r="K12" s="489"/>
      <c r="L12" s="489"/>
      <c r="M12" s="490"/>
      <c r="N12" s="491">
        <f>MateriaisCampo[[#This Row],[UNIT S/IPI S/DESC]]-MateriaisCampo[[#This Row],[UNIT S/IPI S/DESC]]*MateriaisCampo[[#This Row],[% DESC]]</f>
        <v>0</v>
      </c>
      <c r="O12" s="492" t="s">
        <v>295</v>
      </c>
      <c r="P12" s="493" t="s">
        <v>155</v>
      </c>
      <c r="Q12" s="494">
        <v>1.6500000000000001E-2</v>
      </c>
      <c r="R12" s="494">
        <v>7.5999999999999998E-2</v>
      </c>
      <c r="S12" s="495">
        <f>MateriaisCampo[[#This Row],[UNIT S/ IP + DIF ICMS]]*MateriaisCampo[[#This Row],[QUANTIDADE]]</f>
        <v>0</v>
      </c>
      <c r="T12" s="496">
        <f>MateriaisCampo[[#This Row],[TOTAL S/ IPI]]+(MateriaisCampo[[#This Row],[TOTAL S/ IPI]]*MateriaisCampo[[#This Row],[IPI %]])</f>
        <v>0</v>
      </c>
      <c r="U12" s="497">
        <f>IF(AND(MateriaisCampo[[#This Row],[ICMS %]]&lt;&gt;18%,MateriaisCampo[[#This Row],[ORIGEM]]&lt;&gt;"SÃO PAULO"),((18%-MateriaisCampo[[#This Row],[ICMS %]])*MateriaisCampo[[#This Row],[UNIT S/ IPI C/DESC]]),0)</f>
        <v>0</v>
      </c>
      <c r="V12" s="498">
        <f>MateriaisCampo[[#This Row],[UNIT S/ IPI C/DESC]]*MateriaisCampo[[#This Row],[ICMS %]]</f>
        <v>0</v>
      </c>
      <c r="W12" s="498">
        <f>MateriaisCampo[[#This Row],[ICMS $]]*MateriaisCampo[[#This Row],[QUANTIDADE]]</f>
        <v>0</v>
      </c>
      <c r="X12" s="499">
        <f>MateriaisCampo[[#This Row],[UNIT S/ IPI C/DESC]]+MateriaisCampo[[#This Row],[DIFERENCIAL ICMS]]</f>
        <v>0</v>
      </c>
      <c r="Y12" s="499">
        <f>(MateriaisCampo[[#This Row],[PIS]]*MateriaisCampo[[#This Row],[UNIT S/ IPI C/DESC]])/2</f>
        <v>0</v>
      </c>
      <c r="Z12" s="499">
        <f>(MateriaisCampo[[#This Row],[COFINS]]*MateriaisCampo[[#This Row],[UNIT S/ IPI C/DESC]])/2</f>
        <v>0</v>
      </c>
      <c r="AA12" s="497">
        <f>MateriaisCampo[[#This Row],[UNIT S/ IP + DIF ICMS]]+(MateriaisCampo[[#This Row],[UNIT S/ IP + DIF ICMS]]*MateriaisCampo[[#This Row],[IPI %]])</f>
        <v>0</v>
      </c>
      <c r="AB12" s="500">
        <f>_xlfn.XLOOKUP(MateriaisCampo[[#This Row],[FATURAMENTO]],BASE!$U$48:$U$50,BASE!$W$48:$W$50,0,0,1)</f>
        <v>0.79709863947533133</v>
      </c>
      <c r="AC12" s="501" t="str">
        <f>RESUMO!$E$56</f>
        <v>SIM</v>
      </c>
      <c r="AD12" s="502" t="str">
        <f>RESUMO!$E$57</f>
        <v>SIM</v>
      </c>
      <c r="AE12" s="503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2" s="503">
        <f>MateriaisCampo[[#This Row],[UNIT CRED]]*MateriaisCampo[[#This Row],[QUANTIDADE]]</f>
        <v>0</v>
      </c>
      <c r="AG12" s="504">
        <f>MateriaisCampo[[#This Row],[TOT CRED]]</f>
        <v>0</v>
      </c>
      <c r="AH12" s="505">
        <f>IF(MateriaisCampo[[#This Row],[QUANTIDADE]]&lt;&gt;0,((MateriaisCampo[[#This Row],[TOT CUSTO]]/MateriaisCampo[[#This Row],[QUANTIDADE]])/MateriaisCampo[[#This Row],[MARK-UP]]),0)</f>
        <v>0</v>
      </c>
      <c r="AI12" s="506">
        <f>MateriaisCampo[[#This Row],[UNIT VENDA]]*MateriaisCampo[[#This Row],[QUANTIDADE]]</f>
        <v>0</v>
      </c>
      <c r="AJ12" s="506">
        <f>IFERROR(MateriaisCampo[[#This Row],[VENDA]]*(RESUMO!$F$55/RESUMO!$F$45),0)</f>
        <v>0</v>
      </c>
      <c r="AK12" s="506">
        <f>IFERROR(MateriaisCampo[[#This Row],[VENDA]]*(RESUMO!$F$58/RESUMO!$F$45),0)</f>
        <v>0</v>
      </c>
      <c r="AL12" s="507">
        <f>IF(MateriaisCampo[[#This Row],[FATURAMENTO]]="NORMAL",MateriaisCampo[[#This Row],[VENDA]],0)</f>
        <v>0</v>
      </c>
      <c r="AP12" s="455" t="s">
        <v>589</v>
      </c>
      <c r="AQ12" s="456">
        <v>0</v>
      </c>
      <c r="AR12" s="457">
        <v>0</v>
      </c>
      <c r="AU12" s="509"/>
      <c r="AV12" s="509"/>
      <c r="AW12" s="509"/>
    </row>
    <row r="13" spans="1:50" ht="46" x14ac:dyDescent="0.35">
      <c r="A13" s="113" t="s">
        <v>552</v>
      </c>
      <c r="B13" s="113" t="s">
        <v>548</v>
      </c>
      <c r="C13" s="113" t="s">
        <v>549</v>
      </c>
      <c r="D13" s="113" t="s">
        <v>550</v>
      </c>
      <c r="E13" s="434" t="s">
        <v>618</v>
      </c>
      <c r="F13" s="434">
        <f t="shared" ref="F13:F297" si="0">F$7</f>
        <v>0</v>
      </c>
      <c r="G13" s="113"/>
      <c r="H13" s="435" t="s">
        <v>551</v>
      </c>
      <c r="I13" s="436">
        <v>570</v>
      </c>
      <c r="J13" s="437"/>
      <c r="K13" s="438"/>
      <c r="L13" s="438"/>
      <c r="M13" s="458"/>
      <c r="N13" s="440">
        <f>MateriaisCampo[[#This Row],[UNIT S/IPI S/DESC]]-MateriaisCampo[[#This Row],[UNIT S/IPI S/DESC]]*MateriaisCampo[[#This Row],[% DESC]]</f>
        <v>0</v>
      </c>
      <c r="O13" s="441" t="s">
        <v>295</v>
      </c>
      <c r="P13" s="442" t="s">
        <v>155</v>
      </c>
      <c r="Q13" s="438">
        <v>1.6500000000000001E-2</v>
      </c>
      <c r="R13" s="438">
        <v>7.5999999999999998E-2</v>
      </c>
      <c r="S13" s="443">
        <f>MateriaisCampo[[#This Row],[UNIT S/ IP + DIF ICMS]]*MateriaisCampo[[#This Row],[QUANTIDADE]]</f>
        <v>0</v>
      </c>
      <c r="T13" s="444">
        <f>MateriaisCampo[[#This Row],[TOTAL S/ IPI]]+(MateriaisCampo[[#This Row],[TOTAL S/ IPI]]*MateriaisCampo[[#This Row],[IPI %]])</f>
        <v>0</v>
      </c>
      <c r="U13" s="445">
        <f>IF(AND(MateriaisCampo[[#This Row],[ICMS %]]&lt;&gt;18%,MateriaisCampo[[#This Row],[ORIGEM]]&lt;&gt;"SÃO PAULO"),((18%-MateriaisCampo[[#This Row],[ICMS %]])*MateriaisCampo[[#This Row],[UNIT S/ IPI C/DESC]]),0)</f>
        <v>0</v>
      </c>
      <c r="V13" s="437">
        <f>MateriaisCampo[[#This Row],[UNIT S/ IPI C/DESC]]*MateriaisCampo[[#This Row],[ICMS %]]</f>
        <v>0</v>
      </c>
      <c r="W13" s="437">
        <f>MateriaisCampo[[#This Row],[ICMS $]]*MateriaisCampo[[#This Row],[QUANTIDADE]]</f>
        <v>0</v>
      </c>
      <c r="X13" s="446">
        <f>MateriaisCampo[[#This Row],[UNIT S/ IPI C/DESC]]+MateriaisCampo[[#This Row],[DIFERENCIAL ICMS]]</f>
        <v>0</v>
      </c>
      <c r="Y13" s="446">
        <f>(MateriaisCampo[[#This Row],[PIS]]*MateriaisCampo[[#This Row],[UNIT S/ IPI C/DESC]])/2</f>
        <v>0</v>
      </c>
      <c r="Z13" s="446">
        <f>(MateriaisCampo[[#This Row],[COFINS]]*MateriaisCampo[[#This Row],[UNIT S/ IPI C/DESC]])/2</f>
        <v>0</v>
      </c>
      <c r="AA13" s="445">
        <f>MateriaisCampo[[#This Row],[UNIT S/ IP + DIF ICMS]]+(MateriaisCampo[[#This Row],[UNIT S/ IP + DIF ICMS]]*MateriaisCampo[[#This Row],[IPI %]])</f>
        <v>0</v>
      </c>
      <c r="AB13" s="448">
        <f>_xlfn.XLOOKUP(MateriaisCampo[[#This Row],[FATURAMENTO]],BASE!$U$48:$U$50,BASE!$W$48:$W$50,0,0,1)</f>
        <v>0.79709863947533133</v>
      </c>
      <c r="AC13" s="510" t="str">
        <f>RESUMO!$E$56</f>
        <v>SIM</v>
      </c>
      <c r="AD13" s="449" t="str">
        <f>RESUMO!$E$57</f>
        <v>SIM</v>
      </c>
      <c r="AE1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3" s="450">
        <f>MateriaisCampo[[#This Row],[UNIT CRED]]*MateriaisCampo[[#This Row],[QUANTIDADE]]</f>
        <v>0</v>
      </c>
      <c r="AG13" s="451">
        <f>MateriaisCampo[[#This Row],[TOT CRED]]</f>
        <v>0</v>
      </c>
      <c r="AH13" s="452">
        <f>IF(MateriaisCampo[[#This Row],[QUANTIDADE]]&lt;&gt;0,((MateriaisCampo[[#This Row],[TOT CUSTO]]/MateriaisCampo[[#This Row],[QUANTIDADE]])/MateriaisCampo[[#This Row],[MARK-UP]]),0)</f>
        <v>0</v>
      </c>
      <c r="AI13" s="453">
        <f>MateriaisCampo[[#This Row],[UNIT VENDA]]*MateriaisCampo[[#This Row],[QUANTIDADE]]</f>
        <v>0</v>
      </c>
      <c r="AJ13" s="453">
        <f>IFERROR(MateriaisCampo[[#This Row],[VENDA]]*(RESUMO!$F$55/RESUMO!$F$45),0)</f>
        <v>0</v>
      </c>
      <c r="AK13" s="453">
        <f>IFERROR(MateriaisCampo[[#This Row],[VENDA]]*(RESUMO!$F$58/RESUMO!$F$45),0)</f>
        <v>0</v>
      </c>
      <c r="AL13" s="454">
        <f>IF(MateriaisCampo[[#This Row],[FATURAMENTO]]="NORMAL",MateriaisCampo[[#This Row],[VENDA]],0)</f>
        <v>0</v>
      </c>
      <c r="AP13" s="455" t="s">
        <v>597</v>
      </c>
      <c r="AQ13" s="456">
        <v>10979.933702201384</v>
      </c>
      <c r="AR13" s="457">
        <v>10979.933702201384</v>
      </c>
      <c r="AU13" s="433"/>
      <c r="AV13" s="433"/>
      <c r="AW13" s="433"/>
    </row>
    <row r="14" spans="1:50" ht="46" x14ac:dyDescent="0.35">
      <c r="A14" s="113" t="s">
        <v>552</v>
      </c>
      <c r="B14" s="113" t="s">
        <v>548</v>
      </c>
      <c r="C14" s="113" t="s">
        <v>549</v>
      </c>
      <c r="D14" s="113" t="s">
        <v>550</v>
      </c>
      <c r="E14" s="434" t="s">
        <v>618</v>
      </c>
      <c r="F14" s="434">
        <f t="shared" si="0"/>
        <v>0</v>
      </c>
      <c r="G14" s="113"/>
      <c r="H14" s="435" t="s">
        <v>551</v>
      </c>
      <c r="I14" s="436">
        <v>165</v>
      </c>
      <c r="J14" s="437"/>
      <c r="K14" s="438"/>
      <c r="L14" s="438"/>
      <c r="M14" s="458"/>
      <c r="N14" s="445">
        <f>MateriaisCampo[[#This Row],[UNIT S/IPI S/DESC]]-MateriaisCampo[[#This Row],[UNIT S/IPI S/DESC]]*MateriaisCampo[[#This Row],[% DESC]]</f>
        <v>0</v>
      </c>
      <c r="O14" s="441" t="s">
        <v>295</v>
      </c>
      <c r="P14" s="442" t="s">
        <v>155</v>
      </c>
      <c r="Q14" s="438">
        <v>1.6500000000000001E-2</v>
      </c>
      <c r="R14" s="438">
        <v>7.5999999999999998E-2</v>
      </c>
      <c r="S14" s="443">
        <f>MateriaisCampo[[#This Row],[UNIT S/ IP + DIF ICMS]]*MateriaisCampo[[#This Row],[QUANTIDADE]]</f>
        <v>0</v>
      </c>
      <c r="T14" s="444">
        <f>MateriaisCampo[[#This Row],[TOTAL S/ IPI]]+(MateriaisCampo[[#This Row],[TOTAL S/ IPI]]*MateriaisCampo[[#This Row],[IPI %]])</f>
        <v>0</v>
      </c>
      <c r="U14" s="445">
        <f>IF(AND(MateriaisCampo[[#This Row],[ICMS %]]&lt;&gt;18%,MateriaisCampo[[#This Row],[ORIGEM]]&lt;&gt;"SÃO PAULO"),((18%-MateriaisCampo[[#This Row],[ICMS %]])*MateriaisCampo[[#This Row],[UNIT S/ IPI C/DESC]]),0)</f>
        <v>0</v>
      </c>
      <c r="V14" s="437">
        <f>MateriaisCampo[[#This Row],[UNIT S/ IPI C/DESC]]*MateriaisCampo[[#This Row],[ICMS %]]</f>
        <v>0</v>
      </c>
      <c r="W14" s="437">
        <f>MateriaisCampo[[#This Row],[ICMS $]]*MateriaisCampo[[#This Row],[QUANTIDADE]]</f>
        <v>0</v>
      </c>
      <c r="X14" s="446">
        <f>MateriaisCampo[[#This Row],[UNIT S/ IPI C/DESC]]+MateriaisCampo[[#This Row],[DIFERENCIAL ICMS]]</f>
        <v>0</v>
      </c>
      <c r="Y14" s="446">
        <f>(MateriaisCampo[[#This Row],[PIS]]*MateriaisCampo[[#This Row],[UNIT S/ IPI C/DESC]])/2</f>
        <v>0</v>
      </c>
      <c r="Z14" s="446">
        <f>(MateriaisCampo[[#This Row],[COFINS]]*MateriaisCampo[[#This Row],[UNIT S/ IPI C/DESC]])/2</f>
        <v>0</v>
      </c>
      <c r="AA14" s="445">
        <f>MateriaisCampo[[#This Row],[UNIT S/ IP + DIF ICMS]]+(MateriaisCampo[[#This Row],[UNIT S/ IP + DIF ICMS]]*MateriaisCampo[[#This Row],[IPI %]])</f>
        <v>0</v>
      </c>
      <c r="AB14" s="448">
        <f>_xlfn.XLOOKUP(MateriaisCampo[[#This Row],[FATURAMENTO]],BASE!$U$48:$U$50,BASE!$W$48:$W$50,0,0,1)</f>
        <v>0.79709863947533133</v>
      </c>
      <c r="AC14" s="510" t="str">
        <f>RESUMO!$E$56</f>
        <v>SIM</v>
      </c>
      <c r="AD14" s="449" t="str">
        <f>RESUMO!$E$57</f>
        <v>SIM</v>
      </c>
      <c r="AE1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4" s="450">
        <f>MateriaisCampo[[#This Row],[UNIT CRED]]*MateriaisCampo[[#This Row],[QUANTIDADE]]</f>
        <v>0</v>
      </c>
      <c r="AG14" s="451">
        <f>MateriaisCampo[[#This Row],[TOT CRED]]</f>
        <v>0</v>
      </c>
      <c r="AH14" s="452">
        <f>IF(MateriaisCampo[[#This Row],[QUANTIDADE]]&lt;&gt;0,((MateriaisCampo[[#This Row],[TOT CUSTO]]/MateriaisCampo[[#This Row],[QUANTIDADE]])/MateriaisCampo[[#This Row],[MARK-UP]]),0)</f>
        <v>0</v>
      </c>
      <c r="AI14" s="453">
        <f>MateriaisCampo[[#This Row],[UNIT VENDA]]*MateriaisCampo[[#This Row],[QUANTIDADE]]</f>
        <v>0</v>
      </c>
      <c r="AJ14" s="453">
        <f>IFERROR(MateriaisCampo[[#This Row],[VENDA]]*(RESUMO!$F$55/RESUMO!$F$45),0)</f>
        <v>0</v>
      </c>
      <c r="AK14" s="453">
        <f>IFERROR(MateriaisCampo[[#This Row],[VENDA]]*(RESUMO!$F$58/RESUMO!$F$45),0)</f>
        <v>0</v>
      </c>
      <c r="AL14" s="454">
        <f>IF(MateriaisCampo[[#This Row],[FATURAMENTO]]="NORMAL",MateriaisCampo[[#This Row],[VENDA]],0)</f>
        <v>0</v>
      </c>
      <c r="AP14" s="455" t="s">
        <v>637</v>
      </c>
      <c r="AQ14" s="456">
        <v>2194.2780870204406</v>
      </c>
      <c r="AR14" s="457">
        <v>2194.2780870204406</v>
      </c>
      <c r="AU14" s="433"/>
      <c r="AV14" s="433"/>
      <c r="AW14" s="433"/>
    </row>
    <row r="15" spans="1:50" x14ac:dyDescent="0.35">
      <c r="A15" s="113"/>
      <c r="B15" s="113"/>
      <c r="C15" s="113"/>
      <c r="D15" s="113"/>
      <c r="E15" s="434"/>
      <c r="F15" s="434">
        <f t="shared" si="0"/>
        <v>0</v>
      </c>
      <c r="G15" s="113"/>
      <c r="H15" s="435"/>
      <c r="I15" s="436"/>
      <c r="J15" s="437"/>
      <c r="K15" s="438"/>
      <c r="L15" s="438"/>
      <c r="M15" s="458"/>
      <c r="N15" s="445">
        <f>MateriaisCampo[[#This Row],[UNIT S/IPI S/DESC]]-MateriaisCampo[[#This Row],[UNIT S/IPI S/DESC]]*MateriaisCampo[[#This Row],[% DESC]]</f>
        <v>0</v>
      </c>
      <c r="O15" s="441" t="s">
        <v>295</v>
      </c>
      <c r="P15" s="442" t="s">
        <v>155</v>
      </c>
      <c r="Q15" s="438">
        <v>1.6500000000000001E-2</v>
      </c>
      <c r="R15" s="438">
        <v>7.5999999999999998E-2</v>
      </c>
      <c r="S15" s="443">
        <f>MateriaisCampo[[#This Row],[UNIT S/ IP + DIF ICMS]]*MateriaisCampo[[#This Row],[QUANTIDADE]]</f>
        <v>0</v>
      </c>
      <c r="T15" s="444">
        <f>MateriaisCampo[[#This Row],[TOTAL S/ IPI]]+(MateriaisCampo[[#This Row],[TOTAL S/ IPI]]*MateriaisCampo[[#This Row],[IPI %]])</f>
        <v>0</v>
      </c>
      <c r="U15" s="445">
        <f>IF(AND(MateriaisCampo[[#This Row],[ICMS %]]&lt;&gt;18%,MateriaisCampo[[#This Row],[ORIGEM]]&lt;&gt;"SÃO PAULO"),((18%-MateriaisCampo[[#This Row],[ICMS %]])*MateriaisCampo[[#This Row],[UNIT S/ IPI C/DESC]]),0)</f>
        <v>0</v>
      </c>
      <c r="V15" s="437">
        <f>MateriaisCampo[[#This Row],[UNIT S/ IPI C/DESC]]*MateriaisCampo[[#This Row],[ICMS %]]</f>
        <v>0</v>
      </c>
      <c r="W15" s="437">
        <f>MateriaisCampo[[#This Row],[ICMS $]]*MateriaisCampo[[#This Row],[QUANTIDADE]]</f>
        <v>0</v>
      </c>
      <c r="X15" s="446">
        <f>MateriaisCampo[[#This Row],[UNIT S/ IPI C/DESC]]+MateriaisCampo[[#This Row],[DIFERENCIAL ICMS]]</f>
        <v>0</v>
      </c>
      <c r="Y15" s="446">
        <f>(MateriaisCampo[[#This Row],[PIS]]*MateriaisCampo[[#This Row],[UNIT S/ IPI C/DESC]])/2</f>
        <v>0</v>
      </c>
      <c r="Z15" s="446">
        <f>(MateriaisCampo[[#This Row],[COFINS]]*MateriaisCampo[[#This Row],[UNIT S/ IPI C/DESC]])/2</f>
        <v>0</v>
      </c>
      <c r="AA15" s="445">
        <f>MateriaisCampo[[#This Row],[UNIT S/ IP + DIF ICMS]]+(MateriaisCampo[[#This Row],[UNIT S/ IP + DIF ICMS]]*MateriaisCampo[[#This Row],[IPI %]])</f>
        <v>0</v>
      </c>
      <c r="AB15" s="448">
        <f>_xlfn.XLOOKUP(MateriaisCampo[[#This Row],[FATURAMENTO]],BASE!$U$48:$U$50,BASE!$W$48:$W$50,0,0,1)</f>
        <v>0.79709863947533133</v>
      </c>
      <c r="AC15" s="510" t="str">
        <f>RESUMO!$E$56</f>
        <v>SIM</v>
      </c>
      <c r="AD15" s="449" t="str">
        <f>RESUMO!$E$57</f>
        <v>SIM</v>
      </c>
      <c r="AE1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5" s="450">
        <f>MateriaisCampo[[#This Row],[UNIT CRED]]*MateriaisCampo[[#This Row],[QUANTIDADE]]</f>
        <v>0</v>
      </c>
      <c r="AG15" s="451">
        <f>MateriaisCampo[[#This Row],[TOT CRED]]</f>
        <v>0</v>
      </c>
      <c r="AH15" s="452">
        <f>IF(MateriaisCampo[[#This Row],[QUANTIDADE]]&lt;&gt;0,((MateriaisCampo[[#This Row],[TOT CUSTO]]/MateriaisCampo[[#This Row],[QUANTIDADE]])/MateriaisCampo[[#This Row],[MARK-UP]]),0)</f>
        <v>0</v>
      </c>
      <c r="AI15" s="453">
        <f>MateriaisCampo[[#This Row],[UNIT VENDA]]*MateriaisCampo[[#This Row],[QUANTIDADE]]</f>
        <v>0</v>
      </c>
      <c r="AJ15" s="453">
        <f>IFERROR(MateriaisCampo[[#This Row],[VENDA]]*(RESUMO!$F$55/RESUMO!$F$45),0)</f>
        <v>0</v>
      </c>
      <c r="AK15" s="453">
        <f>IFERROR(MateriaisCampo[[#This Row],[VENDA]]*(RESUMO!$F$58/RESUMO!$F$45),0)</f>
        <v>0</v>
      </c>
      <c r="AL15" s="454">
        <f>IF(MateriaisCampo[[#This Row],[FATURAMENTO]]="NORMAL",MateriaisCampo[[#This Row],[VENDA]],0)</f>
        <v>0</v>
      </c>
      <c r="AP15" s="455" t="s">
        <v>652</v>
      </c>
      <c r="AQ15" s="456">
        <v>96905.20736963964</v>
      </c>
      <c r="AR15" s="457">
        <v>96905.20736963964</v>
      </c>
      <c r="AU15" s="433"/>
      <c r="AV15" s="433"/>
      <c r="AW15" s="433"/>
    </row>
    <row r="16" spans="1:50" x14ac:dyDescent="0.35">
      <c r="A16" s="113"/>
      <c r="B16" s="113"/>
      <c r="C16" s="113"/>
      <c r="D16" s="113"/>
      <c r="E16" s="434"/>
      <c r="F16" s="434">
        <f t="shared" si="0"/>
        <v>0</v>
      </c>
      <c r="G16" s="113"/>
      <c r="H16" s="435"/>
      <c r="I16" s="436"/>
      <c r="J16" s="437"/>
      <c r="K16" s="438"/>
      <c r="L16" s="438"/>
      <c r="M16" s="458"/>
      <c r="N16" s="445">
        <f>MateriaisCampo[[#This Row],[UNIT S/IPI S/DESC]]-MateriaisCampo[[#This Row],[UNIT S/IPI S/DESC]]*MateriaisCampo[[#This Row],[% DESC]]</f>
        <v>0</v>
      </c>
      <c r="O16" s="441" t="s">
        <v>295</v>
      </c>
      <c r="P16" s="442" t="s">
        <v>155</v>
      </c>
      <c r="Q16" s="438">
        <v>1.6500000000000001E-2</v>
      </c>
      <c r="R16" s="438">
        <v>7.5999999999999998E-2</v>
      </c>
      <c r="S16" s="443">
        <f>MateriaisCampo[[#This Row],[UNIT S/ IP + DIF ICMS]]*MateriaisCampo[[#This Row],[QUANTIDADE]]</f>
        <v>0</v>
      </c>
      <c r="T16" s="444">
        <f>MateriaisCampo[[#This Row],[TOTAL S/ IPI]]+(MateriaisCampo[[#This Row],[TOTAL S/ IPI]]*MateriaisCampo[[#This Row],[IPI %]])</f>
        <v>0</v>
      </c>
      <c r="U16" s="445">
        <f>IF(AND(MateriaisCampo[[#This Row],[ICMS %]]&lt;&gt;18%,MateriaisCampo[[#This Row],[ORIGEM]]&lt;&gt;"SÃO PAULO"),((18%-MateriaisCampo[[#This Row],[ICMS %]])*MateriaisCampo[[#This Row],[UNIT S/ IPI C/DESC]]),0)</f>
        <v>0</v>
      </c>
      <c r="V16" s="437">
        <f>MateriaisCampo[[#This Row],[UNIT S/ IPI C/DESC]]*MateriaisCampo[[#This Row],[ICMS %]]</f>
        <v>0</v>
      </c>
      <c r="W16" s="437">
        <f>MateriaisCampo[[#This Row],[ICMS $]]*MateriaisCampo[[#This Row],[QUANTIDADE]]</f>
        <v>0</v>
      </c>
      <c r="X16" s="446">
        <f>MateriaisCampo[[#This Row],[UNIT S/ IPI C/DESC]]+MateriaisCampo[[#This Row],[DIFERENCIAL ICMS]]</f>
        <v>0</v>
      </c>
      <c r="Y16" s="446">
        <f>(MateriaisCampo[[#This Row],[PIS]]*MateriaisCampo[[#This Row],[UNIT S/ IPI C/DESC]])/2</f>
        <v>0</v>
      </c>
      <c r="Z16" s="446">
        <f>(MateriaisCampo[[#This Row],[COFINS]]*MateriaisCampo[[#This Row],[UNIT S/ IPI C/DESC]])/2</f>
        <v>0</v>
      </c>
      <c r="AA16" s="445">
        <f>MateriaisCampo[[#This Row],[UNIT S/ IP + DIF ICMS]]+(MateriaisCampo[[#This Row],[UNIT S/ IP + DIF ICMS]]*MateriaisCampo[[#This Row],[IPI %]])</f>
        <v>0</v>
      </c>
      <c r="AB16" s="448">
        <f>_xlfn.XLOOKUP(MateriaisCampo[[#This Row],[FATURAMENTO]],BASE!$U$48:$U$50,BASE!$W$48:$W$50,0,0,1)</f>
        <v>0.79709863947533133</v>
      </c>
      <c r="AC16" s="510" t="str">
        <f>RESUMO!$E$56</f>
        <v>SIM</v>
      </c>
      <c r="AD16" s="449" t="str">
        <f>RESUMO!$E$57</f>
        <v>SIM</v>
      </c>
      <c r="AE1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6" s="450">
        <f>MateriaisCampo[[#This Row],[UNIT CRED]]*MateriaisCampo[[#This Row],[QUANTIDADE]]</f>
        <v>0</v>
      </c>
      <c r="AG16" s="451">
        <f>MateriaisCampo[[#This Row],[TOT CRED]]</f>
        <v>0</v>
      </c>
      <c r="AH16" s="452">
        <f>IF(MateriaisCampo[[#This Row],[QUANTIDADE]]&lt;&gt;0,((MateriaisCampo[[#This Row],[TOT CUSTO]]/MateriaisCampo[[#This Row],[QUANTIDADE]])/MateriaisCampo[[#This Row],[MARK-UP]]),0)</f>
        <v>0</v>
      </c>
      <c r="AI16" s="453">
        <f>MateriaisCampo[[#This Row],[UNIT VENDA]]*MateriaisCampo[[#This Row],[QUANTIDADE]]</f>
        <v>0</v>
      </c>
      <c r="AJ16" s="453">
        <f>IFERROR(MateriaisCampo[[#This Row],[VENDA]]*(RESUMO!$F$55/RESUMO!$F$45),0)</f>
        <v>0</v>
      </c>
      <c r="AK16" s="453">
        <f>IFERROR(MateriaisCampo[[#This Row],[VENDA]]*(RESUMO!$F$58/RESUMO!$F$45),0)</f>
        <v>0</v>
      </c>
      <c r="AL16" s="454">
        <f>IF(MateriaisCampo[[#This Row],[FATURAMENTO]]="NORMAL",MateriaisCampo[[#This Row],[VENDA]],0)</f>
        <v>0</v>
      </c>
      <c r="AP16" s="455" t="s">
        <v>725</v>
      </c>
      <c r="AQ16" s="456">
        <v>3128.8984456421626</v>
      </c>
      <c r="AR16" s="457">
        <v>3128.8984456421626</v>
      </c>
      <c r="AU16" s="433"/>
      <c r="AV16" s="433"/>
      <c r="AW16" s="433"/>
    </row>
    <row r="17" spans="1:49" x14ac:dyDescent="0.35">
      <c r="A17" s="113"/>
      <c r="B17" s="113"/>
      <c r="C17" s="113"/>
      <c r="D17" s="113"/>
      <c r="E17" s="434"/>
      <c r="F17" s="434">
        <f t="shared" si="0"/>
        <v>0</v>
      </c>
      <c r="G17" s="113"/>
      <c r="H17" s="435"/>
      <c r="I17" s="436"/>
      <c r="J17" s="437"/>
      <c r="K17" s="438"/>
      <c r="L17" s="438"/>
      <c r="M17" s="458"/>
      <c r="N17" s="445">
        <f>MateriaisCampo[[#This Row],[UNIT S/IPI S/DESC]]-MateriaisCampo[[#This Row],[UNIT S/IPI S/DESC]]*MateriaisCampo[[#This Row],[% DESC]]</f>
        <v>0</v>
      </c>
      <c r="O17" s="441" t="s">
        <v>295</v>
      </c>
      <c r="P17" s="442" t="s">
        <v>155</v>
      </c>
      <c r="Q17" s="438">
        <v>1.6500000000000001E-2</v>
      </c>
      <c r="R17" s="438">
        <v>7.5999999999999998E-2</v>
      </c>
      <c r="S17" s="443">
        <f>MateriaisCampo[[#This Row],[UNIT S/ IP + DIF ICMS]]*MateriaisCampo[[#This Row],[QUANTIDADE]]</f>
        <v>0</v>
      </c>
      <c r="T17" s="444">
        <f>MateriaisCampo[[#This Row],[TOTAL S/ IPI]]+(MateriaisCampo[[#This Row],[TOTAL S/ IPI]]*MateriaisCampo[[#This Row],[IPI %]])</f>
        <v>0</v>
      </c>
      <c r="U17" s="445">
        <f>IF(AND(MateriaisCampo[[#This Row],[ICMS %]]&lt;&gt;18%,MateriaisCampo[[#This Row],[ORIGEM]]&lt;&gt;"SÃO PAULO"),((18%-MateriaisCampo[[#This Row],[ICMS %]])*MateriaisCampo[[#This Row],[UNIT S/ IPI C/DESC]]),0)</f>
        <v>0</v>
      </c>
      <c r="V17" s="437">
        <f>MateriaisCampo[[#This Row],[UNIT S/ IPI C/DESC]]*MateriaisCampo[[#This Row],[ICMS %]]</f>
        <v>0</v>
      </c>
      <c r="W17" s="437">
        <f>MateriaisCampo[[#This Row],[ICMS $]]*MateriaisCampo[[#This Row],[QUANTIDADE]]</f>
        <v>0</v>
      </c>
      <c r="X17" s="446">
        <f>MateriaisCampo[[#This Row],[UNIT S/ IPI C/DESC]]+MateriaisCampo[[#This Row],[DIFERENCIAL ICMS]]</f>
        <v>0</v>
      </c>
      <c r="Y17" s="446">
        <f>(MateriaisCampo[[#This Row],[PIS]]*MateriaisCampo[[#This Row],[UNIT S/ IPI C/DESC]])/2</f>
        <v>0</v>
      </c>
      <c r="Z17" s="446">
        <f>(MateriaisCampo[[#This Row],[COFINS]]*MateriaisCampo[[#This Row],[UNIT S/ IPI C/DESC]])/2</f>
        <v>0</v>
      </c>
      <c r="AA17" s="445">
        <f>MateriaisCampo[[#This Row],[UNIT S/ IP + DIF ICMS]]+(MateriaisCampo[[#This Row],[UNIT S/ IP + DIF ICMS]]*MateriaisCampo[[#This Row],[IPI %]])</f>
        <v>0</v>
      </c>
      <c r="AB17" s="448">
        <f>_xlfn.XLOOKUP(MateriaisCampo[[#This Row],[FATURAMENTO]],BASE!$U$48:$U$50,BASE!$W$48:$W$50,0,0,1)</f>
        <v>0.79709863947533133</v>
      </c>
      <c r="AC17" s="510" t="str">
        <f>RESUMO!$E$56</f>
        <v>SIM</v>
      </c>
      <c r="AD17" s="449" t="str">
        <f>RESUMO!$E$57</f>
        <v>SIM</v>
      </c>
      <c r="AE1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7" s="450">
        <f>MateriaisCampo[[#This Row],[UNIT CRED]]*MateriaisCampo[[#This Row],[QUANTIDADE]]</f>
        <v>0</v>
      </c>
      <c r="AG17" s="451">
        <f>MateriaisCampo[[#This Row],[TOT CRED]]</f>
        <v>0</v>
      </c>
      <c r="AH17" s="452">
        <f>IF(MateriaisCampo[[#This Row],[QUANTIDADE]]&lt;&gt;0,((MateriaisCampo[[#This Row],[TOT CUSTO]]/MateriaisCampo[[#This Row],[QUANTIDADE]])/MateriaisCampo[[#This Row],[MARK-UP]]),0)</f>
        <v>0</v>
      </c>
      <c r="AI17" s="453">
        <f>MateriaisCampo[[#This Row],[UNIT VENDA]]*MateriaisCampo[[#This Row],[QUANTIDADE]]</f>
        <v>0</v>
      </c>
      <c r="AJ17" s="453">
        <f>IFERROR(MateriaisCampo[[#This Row],[VENDA]]*(RESUMO!$F$55/RESUMO!$F$45),0)</f>
        <v>0</v>
      </c>
      <c r="AK17" s="453">
        <f>IFERROR(MateriaisCampo[[#This Row],[VENDA]]*(RESUMO!$F$58/RESUMO!$F$45),0)</f>
        <v>0</v>
      </c>
      <c r="AL17" s="454">
        <f>IF(MateriaisCampo[[#This Row],[FATURAMENTO]]="NORMAL",MateriaisCampo[[#This Row],[VENDA]],0)</f>
        <v>0</v>
      </c>
      <c r="AP17" s="455" t="s">
        <v>753</v>
      </c>
      <c r="AQ17" s="456">
        <v>7536.0894316061931</v>
      </c>
      <c r="AR17" s="457">
        <v>7536.0894316061931</v>
      </c>
      <c r="AU17" s="433"/>
      <c r="AV17" s="433"/>
      <c r="AW17" s="433"/>
    </row>
    <row r="18" spans="1:49" x14ac:dyDescent="0.35">
      <c r="A18" s="113"/>
      <c r="B18" s="113"/>
      <c r="C18" s="113"/>
      <c r="D18" s="113"/>
      <c r="E18" s="434"/>
      <c r="F18" s="434">
        <f t="shared" si="0"/>
        <v>0</v>
      </c>
      <c r="G18" s="113"/>
      <c r="H18" s="435"/>
      <c r="I18" s="436"/>
      <c r="J18" s="437"/>
      <c r="K18" s="438"/>
      <c r="L18" s="438"/>
      <c r="M18" s="458"/>
      <c r="N18" s="440">
        <f>MateriaisCampo[[#This Row],[UNIT S/IPI S/DESC]]-MateriaisCampo[[#This Row],[UNIT S/IPI S/DESC]]*MateriaisCampo[[#This Row],[% DESC]]</f>
        <v>0</v>
      </c>
      <c r="O18" s="441" t="s">
        <v>295</v>
      </c>
      <c r="P18" s="442" t="s">
        <v>155</v>
      </c>
      <c r="Q18" s="438">
        <v>1.6500000000000001E-2</v>
      </c>
      <c r="R18" s="438">
        <v>7.5999999999999998E-2</v>
      </c>
      <c r="S18" s="443">
        <f>MateriaisCampo[[#This Row],[UNIT S/ IP + DIF ICMS]]*MateriaisCampo[[#This Row],[QUANTIDADE]]</f>
        <v>0</v>
      </c>
      <c r="T18" s="444">
        <f>MateriaisCampo[[#This Row],[TOTAL S/ IPI]]+(MateriaisCampo[[#This Row],[TOTAL S/ IPI]]*MateriaisCampo[[#This Row],[IPI %]])</f>
        <v>0</v>
      </c>
      <c r="U18" s="445">
        <f>IF(AND(MateriaisCampo[[#This Row],[ICMS %]]&lt;&gt;18%,MateriaisCampo[[#This Row],[ORIGEM]]&lt;&gt;"SÃO PAULO"),((18%-MateriaisCampo[[#This Row],[ICMS %]])*MateriaisCampo[[#This Row],[UNIT S/ IPI C/DESC]]),0)</f>
        <v>0</v>
      </c>
      <c r="V18" s="437">
        <f>MateriaisCampo[[#This Row],[UNIT S/ IPI C/DESC]]*MateriaisCampo[[#This Row],[ICMS %]]</f>
        <v>0</v>
      </c>
      <c r="W18" s="437">
        <f>MateriaisCampo[[#This Row],[ICMS $]]*MateriaisCampo[[#This Row],[QUANTIDADE]]</f>
        <v>0</v>
      </c>
      <c r="X18" s="446">
        <f>MateriaisCampo[[#This Row],[UNIT S/ IPI C/DESC]]+MateriaisCampo[[#This Row],[DIFERENCIAL ICMS]]</f>
        <v>0</v>
      </c>
      <c r="Y18" s="446">
        <f>(MateriaisCampo[[#This Row],[PIS]]*MateriaisCampo[[#This Row],[UNIT S/ IPI C/DESC]])/2</f>
        <v>0</v>
      </c>
      <c r="Z18" s="446">
        <f>(MateriaisCampo[[#This Row],[COFINS]]*MateriaisCampo[[#This Row],[UNIT S/ IPI C/DESC]])/2</f>
        <v>0</v>
      </c>
      <c r="AA18" s="445">
        <f>MateriaisCampo[[#This Row],[UNIT S/ IP + DIF ICMS]]+(MateriaisCampo[[#This Row],[UNIT S/ IP + DIF ICMS]]*MateriaisCampo[[#This Row],[IPI %]])</f>
        <v>0</v>
      </c>
      <c r="AB18" s="448">
        <f>_xlfn.XLOOKUP(MateriaisCampo[[#This Row],[FATURAMENTO]],BASE!$U$48:$U$50,BASE!$W$48:$W$50,0,0,1)</f>
        <v>0.79709863947533133</v>
      </c>
      <c r="AC18" s="510" t="str">
        <f>RESUMO!$E$56</f>
        <v>SIM</v>
      </c>
      <c r="AD18" s="449" t="str">
        <f>RESUMO!$E$57</f>
        <v>SIM</v>
      </c>
      <c r="AE1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8" s="450">
        <f>MateriaisCampo[[#This Row],[UNIT CRED]]*MateriaisCampo[[#This Row],[QUANTIDADE]]</f>
        <v>0</v>
      </c>
      <c r="AG18" s="451">
        <f>MateriaisCampo[[#This Row],[TOT CRED]]</f>
        <v>0</v>
      </c>
      <c r="AH18" s="452">
        <f>IF(MateriaisCampo[[#This Row],[QUANTIDADE]]&lt;&gt;0,((MateriaisCampo[[#This Row],[TOT CUSTO]]/MateriaisCampo[[#This Row],[QUANTIDADE]])/MateriaisCampo[[#This Row],[MARK-UP]]),0)</f>
        <v>0</v>
      </c>
      <c r="AI18" s="453">
        <f>MateriaisCampo[[#This Row],[UNIT VENDA]]*MateriaisCampo[[#This Row],[QUANTIDADE]]</f>
        <v>0</v>
      </c>
      <c r="AJ18" s="453">
        <f>IFERROR(MateriaisCampo[[#This Row],[VENDA]]*(RESUMO!$F$55/RESUMO!$F$45),0)</f>
        <v>0</v>
      </c>
      <c r="AK18" s="453">
        <f>IFERROR(MateriaisCampo[[#This Row],[VENDA]]*(RESUMO!$F$58/RESUMO!$F$45),0)</f>
        <v>0</v>
      </c>
      <c r="AL18" s="454">
        <f>IF(MateriaisCampo[[#This Row],[FATURAMENTO]]="NORMAL",MateriaisCampo[[#This Row],[VENDA]],0)</f>
        <v>0</v>
      </c>
      <c r="AP18" s="455" t="s">
        <v>685</v>
      </c>
      <c r="AQ18" s="456">
        <v>1265.9708928067744</v>
      </c>
      <c r="AR18" s="457">
        <v>1265.9708928067744</v>
      </c>
      <c r="AU18" s="433"/>
      <c r="AV18" s="433"/>
      <c r="AW18" s="433"/>
    </row>
    <row r="19" spans="1:49" x14ac:dyDescent="0.35">
      <c r="A19" s="113"/>
      <c r="B19" s="113"/>
      <c r="C19" s="113"/>
      <c r="D19" s="113"/>
      <c r="E19" s="434"/>
      <c r="F19" s="434">
        <f t="shared" si="0"/>
        <v>0</v>
      </c>
      <c r="G19" s="113"/>
      <c r="H19" s="435"/>
      <c r="I19" s="436"/>
      <c r="J19" s="437"/>
      <c r="K19" s="438"/>
      <c r="L19" s="438"/>
      <c r="M19" s="458"/>
      <c r="N19" s="440">
        <f>MateriaisCampo[[#This Row],[UNIT S/IPI S/DESC]]-MateriaisCampo[[#This Row],[UNIT S/IPI S/DESC]]*MateriaisCampo[[#This Row],[% DESC]]</f>
        <v>0</v>
      </c>
      <c r="O19" s="441" t="s">
        <v>295</v>
      </c>
      <c r="P19" s="442" t="s">
        <v>155</v>
      </c>
      <c r="Q19" s="438">
        <v>1.6500000000000001E-2</v>
      </c>
      <c r="R19" s="438">
        <v>7.5999999999999998E-2</v>
      </c>
      <c r="S19" s="443">
        <f>MateriaisCampo[[#This Row],[UNIT S/ IP + DIF ICMS]]*MateriaisCampo[[#This Row],[QUANTIDADE]]</f>
        <v>0</v>
      </c>
      <c r="T19" s="444">
        <f>MateriaisCampo[[#This Row],[TOTAL S/ IPI]]+(MateriaisCampo[[#This Row],[TOTAL S/ IPI]]*MateriaisCampo[[#This Row],[IPI %]])</f>
        <v>0</v>
      </c>
      <c r="U19" s="445">
        <f>IF(AND(MateriaisCampo[[#This Row],[ICMS %]]&lt;&gt;18%,MateriaisCampo[[#This Row],[ORIGEM]]&lt;&gt;"SÃO PAULO"),((18%-MateriaisCampo[[#This Row],[ICMS %]])*MateriaisCampo[[#This Row],[UNIT S/ IPI C/DESC]]),0)</f>
        <v>0</v>
      </c>
      <c r="V19" s="437">
        <f>MateriaisCampo[[#This Row],[UNIT S/ IPI C/DESC]]*MateriaisCampo[[#This Row],[ICMS %]]</f>
        <v>0</v>
      </c>
      <c r="W19" s="437">
        <f>MateriaisCampo[[#This Row],[ICMS $]]*MateriaisCampo[[#This Row],[QUANTIDADE]]</f>
        <v>0</v>
      </c>
      <c r="X19" s="446">
        <f>MateriaisCampo[[#This Row],[UNIT S/ IPI C/DESC]]+MateriaisCampo[[#This Row],[DIFERENCIAL ICMS]]</f>
        <v>0</v>
      </c>
      <c r="Y19" s="446">
        <f>(MateriaisCampo[[#This Row],[PIS]]*MateriaisCampo[[#This Row],[UNIT S/ IPI C/DESC]])/2</f>
        <v>0</v>
      </c>
      <c r="Z19" s="446">
        <f>(MateriaisCampo[[#This Row],[COFINS]]*MateriaisCampo[[#This Row],[UNIT S/ IPI C/DESC]])/2</f>
        <v>0</v>
      </c>
      <c r="AA19" s="445">
        <f>MateriaisCampo[[#This Row],[UNIT S/ IP + DIF ICMS]]+(MateriaisCampo[[#This Row],[UNIT S/ IP + DIF ICMS]]*MateriaisCampo[[#This Row],[IPI %]])</f>
        <v>0</v>
      </c>
      <c r="AB19" s="448">
        <f>_xlfn.XLOOKUP(MateriaisCampo[[#This Row],[FATURAMENTO]],BASE!$U$48:$U$50,BASE!$W$48:$W$50,0,0,1)</f>
        <v>0.79709863947533133</v>
      </c>
      <c r="AC19" s="510" t="str">
        <f>RESUMO!$E$56</f>
        <v>SIM</v>
      </c>
      <c r="AD19" s="449" t="str">
        <f>RESUMO!$E$57</f>
        <v>SIM</v>
      </c>
      <c r="AE1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9" s="450">
        <f>MateriaisCampo[[#This Row],[UNIT CRED]]*MateriaisCampo[[#This Row],[QUANTIDADE]]</f>
        <v>0</v>
      </c>
      <c r="AG19" s="451">
        <f>MateriaisCampo[[#This Row],[TOT CRED]]</f>
        <v>0</v>
      </c>
      <c r="AH19" s="452">
        <f>IF(MateriaisCampo[[#This Row],[QUANTIDADE]]&lt;&gt;0,((MateriaisCampo[[#This Row],[TOT CUSTO]]/MateriaisCampo[[#This Row],[QUANTIDADE]])/MateriaisCampo[[#This Row],[MARK-UP]]),0)</f>
        <v>0</v>
      </c>
      <c r="AI19" s="453">
        <f>MateriaisCampo[[#This Row],[UNIT VENDA]]*MateriaisCampo[[#This Row],[QUANTIDADE]]</f>
        <v>0</v>
      </c>
      <c r="AJ19" s="453">
        <f>IFERROR(MateriaisCampo[[#This Row],[VENDA]]*(RESUMO!$F$55/RESUMO!$F$45),0)</f>
        <v>0</v>
      </c>
      <c r="AK19" s="453">
        <f>IFERROR(MateriaisCampo[[#This Row],[VENDA]]*(RESUMO!$F$58/RESUMO!$F$45),0)</f>
        <v>0</v>
      </c>
      <c r="AL19" s="454">
        <f>IF(MateriaisCampo[[#This Row],[FATURAMENTO]]="NORMAL",MateriaisCampo[[#This Row],[VENDA]],0)</f>
        <v>0</v>
      </c>
      <c r="AP19" s="455" t="s">
        <v>752</v>
      </c>
      <c r="AQ19" s="456">
        <v>2560.0742140483685</v>
      </c>
      <c r="AR19" s="457">
        <v>2560.0742140483685</v>
      </c>
      <c r="AU19" s="433"/>
      <c r="AV19" s="433"/>
      <c r="AW19" s="433"/>
    </row>
    <row r="20" spans="1:49" x14ac:dyDescent="0.35">
      <c r="A20" s="113"/>
      <c r="B20" s="113"/>
      <c r="C20" s="113"/>
      <c r="D20" s="113"/>
      <c r="E20" s="434"/>
      <c r="F20" s="434">
        <f t="shared" si="0"/>
        <v>0</v>
      </c>
      <c r="G20" s="113"/>
      <c r="H20" s="435"/>
      <c r="I20" s="436"/>
      <c r="J20" s="437"/>
      <c r="K20" s="438"/>
      <c r="L20" s="438"/>
      <c r="M20" s="458"/>
      <c r="N20" s="440">
        <f>MateriaisCampo[[#This Row],[UNIT S/IPI S/DESC]]-MateriaisCampo[[#This Row],[UNIT S/IPI S/DESC]]*MateriaisCampo[[#This Row],[% DESC]]</f>
        <v>0</v>
      </c>
      <c r="O20" s="441" t="s">
        <v>295</v>
      </c>
      <c r="P20" s="442" t="s">
        <v>155</v>
      </c>
      <c r="Q20" s="438">
        <v>1.6500000000000001E-2</v>
      </c>
      <c r="R20" s="438">
        <v>7.5999999999999998E-2</v>
      </c>
      <c r="S20" s="443">
        <f>MateriaisCampo[[#This Row],[UNIT S/ IP + DIF ICMS]]*MateriaisCampo[[#This Row],[QUANTIDADE]]</f>
        <v>0</v>
      </c>
      <c r="T20" s="444">
        <f>MateriaisCampo[[#This Row],[TOTAL S/ IPI]]+(MateriaisCampo[[#This Row],[TOTAL S/ IPI]]*MateriaisCampo[[#This Row],[IPI %]])</f>
        <v>0</v>
      </c>
      <c r="U20" s="445">
        <f>IF(AND(MateriaisCampo[[#This Row],[ICMS %]]&lt;&gt;18%,MateriaisCampo[[#This Row],[ORIGEM]]&lt;&gt;"SÃO PAULO"),((18%-MateriaisCampo[[#This Row],[ICMS %]])*MateriaisCampo[[#This Row],[UNIT S/ IPI C/DESC]]),0)</f>
        <v>0</v>
      </c>
      <c r="V20" s="437">
        <f>MateriaisCampo[[#This Row],[UNIT S/ IPI C/DESC]]*MateriaisCampo[[#This Row],[ICMS %]]</f>
        <v>0</v>
      </c>
      <c r="W20" s="437">
        <f>MateriaisCampo[[#This Row],[ICMS $]]*MateriaisCampo[[#This Row],[QUANTIDADE]]</f>
        <v>0</v>
      </c>
      <c r="X20" s="446">
        <f>MateriaisCampo[[#This Row],[UNIT S/ IPI C/DESC]]+MateriaisCampo[[#This Row],[DIFERENCIAL ICMS]]</f>
        <v>0</v>
      </c>
      <c r="Y20" s="446">
        <f>(MateriaisCampo[[#This Row],[PIS]]*MateriaisCampo[[#This Row],[UNIT S/ IPI C/DESC]])/2</f>
        <v>0</v>
      </c>
      <c r="Z20" s="446">
        <f>(MateriaisCampo[[#This Row],[COFINS]]*MateriaisCampo[[#This Row],[UNIT S/ IPI C/DESC]])/2</f>
        <v>0</v>
      </c>
      <c r="AA20" s="445">
        <f>MateriaisCampo[[#This Row],[UNIT S/ IP + DIF ICMS]]+(MateriaisCampo[[#This Row],[UNIT S/ IP + DIF ICMS]]*MateriaisCampo[[#This Row],[IPI %]])</f>
        <v>0</v>
      </c>
      <c r="AB20" s="448">
        <f>_xlfn.XLOOKUP(MateriaisCampo[[#This Row],[FATURAMENTO]],BASE!$U$48:$U$50,BASE!$W$48:$W$50,0,0,1)</f>
        <v>0.79709863947533133</v>
      </c>
      <c r="AC20" s="510" t="str">
        <f>RESUMO!$E$56</f>
        <v>SIM</v>
      </c>
      <c r="AD20" s="449" t="str">
        <f>RESUMO!$E$57</f>
        <v>SIM</v>
      </c>
      <c r="AE2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0" s="450">
        <f>MateriaisCampo[[#This Row],[UNIT CRED]]*MateriaisCampo[[#This Row],[QUANTIDADE]]</f>
        <v>0</v>
      </c>
      <c r="AG20" s="451">
        <f>MateriaisCampo[[#This Row],[TOT CRED]]</f>
        <v>0</v>
      </c>
      <c r="AH20" s="452">
        <f>IF(MateriaisCampo[[#This Row],[QUANTIDADE]]&lt;&gt;0,((MateriaisCampo[[#This Row],[TOT CUSTO]]/MateriaisCampo[[#This Row],[QUANTIDADE]])/MateriaisCampo[[#This Row],[MARK-UP]]),0)</f>
        <v>0</v>
      </c>
      <c r="AI20" s="453">
        <f>MateriaisCampo[[#This Row],[UNIT VENDA]]*MateriaisCampo[[#This Row],[QUANTIDADE]]</f>
        <v>0</v>
      </c>
      <c r="AJ20" s="453">
        <f>IFERROR(MateriaisCampo[[#This Row],[VENDA]]*(RESUMO!$F$55/RESUMO!$F$45),0)</f>
        <v>0</v>
      </c>
      <c r="AK20" s="453">
        <f>IFERROR(MateriaisCampo[[#This Row],[VENDA]]*(RESUMO!$F$58/RESUMO!$F$45),0)</f>
        <v>0</v>
      </c>
      <c r="AL20" s="454">
        <f>IF(MateriaisCampo[[#This Row],[FATURAMENTO]]="NORMAL",MateriaisCampo[[#This Row],[VENDA]],0)</f>
        <v>0</v>
      </c>
      <c r="AP20" s="455" t="s">
        <v>689</v>
      </c>
      <c r="AQ20" s="456">
        <v>50230.858268832882</v>
      </c>
      <c r="AR20" s="457">
        <v>50230.858268832882</v>
      </c>
      <c r="AU20" s="433"/>
      <c r="AV20" s="433"/>
      <c r="AW20" s="433"/>
    </row>
    <row r="21" spans="1:49" s="521" customFormat="1" x14ac:dyDescent="0.35">
      <c r="A21" s="484" t="s">
        <v>552</v>
      </c>
      <c r="B21" s="484" t="s">
        <v>554</v>
      </c>
      <c r="C21" s="484" t="s">
        <v>553</v>
      </c>
      <c r="D21" s="484"/>
      <c r="E21" s="485"/>
      <c r="F21" s="485">
        <f t="shared" si="0"/>
        <v>0</v>
      </c>
      <c r="G21" s="484"/>
      <c r="H21" s="486"/>
      <c r="I21" s="487"/>
      <c r="J21" s="488"/>
      <c r="K21" s="494"/>
      <c r="L21" s="494"/>
      <c r="M21" s="520"/>
      <c r="N21" s="491">
        <f>MateriaisCampo[[#This Row],[UNIT S/IPI S/DESC]]-MateriaisCampo[[#This Row],[UNIT S/IPI S/DESC]]*MateriaisCampo[[#This Row],[% DESC]]</f>
        <v>0</v>
      </c>
      <c r="O21" s="492" t="s">
        <v>295</v>
      </c>
      <c r="P21" s="493" t="s">
        <v>155</v>
      </c>
      <c r="Q21" s="494">
        <v>1.6500000000000001E-2</v>
      </c>
      <c r="R21" s="494">
        <v>7.5999999999999998E-2</v>
      </c>
      <c r="S21" s="495">
        <f>MateriaisCampo[[#This Row],[UNIT S/ IP + DIF ICMS]]*MateriaisCampo[[#This Row],[QUANTIDADE]]</f>
        <v>0</v>
      </c>
      <c r="T21" s="496">
        <f>MateriaisCampo[[#This Row],[TOTAL S/ IPI]]+(MateriaisCampo[[#This Row],[TOTAL S/ IPI]]*MateriaisCampo[[#This Row],[IPI %]])</f>
        <v>0</v>
      </c>
      <c r="U21" s="497">
        <f>IF(AND(MateriaisCampo[[#This Row],[ICMS %]]&lt;&gt;18%,MateriaisCampo[[#This Row],[ORIGEM]]&lt;&gt;"SÃO PAULO"),((18%-MateriaisCampo[[#This Row],[ICMS %]])*MateriaisCampo[[#This Row],[UNIT S/ IPI C/DESC]]),0)</f>
        <v>0</v>
      </c>
      <c r="V21" s="498">
        <f>MateriaisCampo[[#This Row],[UNIT S/ IPI C/DESC]]*MateriaisCampo[[#This Row],[ICMS %]]</f>
        <v>0</v>
      </c>
      <c r="W21" s="498">
        <f>MateriaisCampo[[#This Row],[ICMS $]]*MateriaisCampo[[#This Row],[QUANTIDADE]]</f>
        <v>0</v>
      </c>
      <c r="X21" s="499">
        <f>MateriaisCampo[[#This Row],[UNIT S/ IPI C/DESC]]+MateriaisCampo[[#This Row],[DIFERENCIAL ICMS]]</f>
        <v>0</v>
      </c>
      <c r="Y21" s="499">
        <f>(MateriaisCampo[[#This Row],[PIS]]*MateriaisCampo[[#This Row],[UNIT S/ IPI C/DESC]])/2</f>
        <v>0</v>
      </c>
      <c r="Z21" s="499">
        <f>(MateriaisCampo[[#This Row],[COFINS]]*MateriaisCampo[[#This Row],[UNIT S/ IPI C/DESC]])/2</f>
        <v>0</v>
      </c>
      <c r="AA21" s="497">
        <f>MateriaisCampo[[#This Row],[UNIT S/ IP + DIF ICMS]]+(MateriaisCampo[[#This Row],[UNIT S/ IP + DIF ICMS]]*MateriaisCampo[[#This Row],[IPI %]])</f>
        <v>0</v>
      </c>
      <c r="AB21" s="500">
        <f>_xlfn.XLOOKUP(MateriaisCampo[[#This Row],[FATURAMENTO]],BASE!$U$48:$U$50,BASE!$W$48:$W$50,0,0,1)</f>
        <v>0.79709863947533133</v>
      </c>
      <c r="AC21" s="501" t="str">
        <f>RESUMO!$E$56</f>
        <v>SIM</v>
      </c>
      <c r="AD21" s="502" t="str">
        <f>RESUMO!$E$57</f>
        <v>SIM</v>
      </c>
      <c r="AE21" s="503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1" s="503">
        <f>MateriaisCampo[[#This Row],[UNIT CRED]]*MateriaisCampo[[#This Row],[QUANTIDADE]]</f>
        <v>0</v>
      </c>
      <c r="AG21" s="504">
        <f>MateriaisCampo[[#This Row],[TOT CRED]]</f>
        <v>0</v>
      </c>
      <c r="AH21" s="505">
        <f>IF(MateriaisCampo[[#This Row],[QUANTIDADE]]&lt;&gt;0,((MateriaisCampo[[#This Row],[TOT CUSTO]]/MateriaisCampo[[#This Row],[QUANTIDADE]])/MateriaisCampo[[#This Row],[MARK-UP]]),0)</f>
        <v>0</v>
      </c>
      <c r="AI21" s="506">
        <f>MateriaisCampo[[#This Row],[UNIT VENDA]]*MateriaisCampo[[#This Row],[QUANTIDADE]]</f>
        <v>0</v>
      </c>
      <c r="AJ21" s="506">
        <f>IFERROR(MateriaisCampo[[#This Row],[VENDA]]*(RESUMO!$F$55/RESUMO!$F$45),0)</f>
        <v>0</v>
      </c>
      <c r="AK21" s="506">
        <f>IFERROR(MateriaisCampo[[#This Row],[VENDA]]*(RESUMO!$F$58/RESUMO!$F$45),0)</f>
        <v>0</v>
      </c>
      <c r="AL21" s="507">
        <f>IF(MateriaisCampo[[#This Row],[FATURAMENTO]]="NORMAL",MateriaisCampo[[#This Row],[VENDA]],0)</f>
        <v>0</v>
      </c>
      <c r="AP21" s="455" t="s">
        <v>736</v>
      </c>
      <c r="AQ21" s="456">
        <v>15247.151677438676</v>
      </c>
      <c r="AR21" s="457">
        <v>15247.151677438676</v>
      </c>
      <c r="AU21" s="509"/>
      <c r="AV21" s="509"/>
      <c r="AW21" s="509"/>
    </row>
    <row r="22" spans="1:49" ht="23" x14ac:dyDescent="0.35">
      <c r="A22" s="113" t="s">
        <v>552</v>
      </c>
      <c r="B22" s="113" t="s">
        <v>554</v>
      </c>
      <c r="C22" s="113" t="s">
        <v>556</v>
      </c>
      <c r="D22" s="113" t="s">
        <v>555</v>
      </c>
      <c r="E22" s="434"/>
      <c r="F22" s="434">
        <f t="shared" si="0"/>
        <v>0</v>
      </c>
      <c r="G22" s="113"/>
      <c r="H22" s="435" t="s">
        <v>551</v>
      </c>
      <c r="I22" s="436">
        <v>600</v>
      </c>
      <c r="J22" s="437"/>
      <c r="K22" s="438"/>
      <c r="L22" s="438"/>
      <c r="M22" s="458"/>
      <c r="N22" s="440">
        <f>MateriaisCampo[[#This Row],[UNIT S/IPI S/DESC]]-MateriaisCampo[[#This Row],[UNIT S/IPI S/DESC]]*MateriaisCampo[[#This Row],[% DESC]]</f>
        <v>0</v>
      </c>
      <c r="O22" s="441" t="s">
        <v>295</v>
      </c>
      <c r="P22" s="442" t="s">
        <v>155</v>
      </c>
      <c r="Q22" s="438">
        <v>1.6500000000000001E-2</v>
      </c>
      <c r="R22" s="438">
        <v>7.5999999999999998E-2</v>
      </c>
      <c r="S22" s="443">
        <f>MateriaisCampo[[#This Row],[UNIT S/ IP + DIF ICMS]]*MateriaisCampo[[#This Row],[QUANTIDADE]]</f>
        <v>0</v>
      </c>
      <c r="T22" s="444">
        <f>MateriaisCampo[[#This Row],[TOTAL S/ IPI]]+(MateriaisCampo[[#This Row],[TOTAL S/ IPI]]*MateriaisCampo[[#This Row],[IPI %]])</f>
        <v>0</v>
      </c>
      <c r="U22" s="445">
        <f>IF(AND(MateriaisCampo[[#This Row],[ICMS %]]&lt;&gt;18%,MateriaisCampo[[#This Row],[ORIGEM]]&lt;&gt;"SÃO PAULO"),((18%-MateriaisCampo[[#This Row],[ICMS %]])*MateriaisCampo[[#This Row],[UNIT S/ IPI C/DESC]]),0)</f>
        <v>0</v>
      </c>
      <c r="V22" s="437">
        <f>MateriaisCampo[[#This Row],[UNIT S/ IPI C/DESC]]*MateriaisCampo[[#This Row],[ICMS %]]</f>
        <v>0</v>
      </c>
      <c r="W22" s="437">
        <f>MateriaisCampo[[#This Row],[ICMS $]]*MateriaisCampo[[#This Row],[QUANTIDADE]]</f>
        <v>0</v>
      </c>
      <c r="X22" s="446">
        <f>MateriaisCampo[[#This Row],[UNIT S/ IPI C/DESC]]+MateriaisCampo[[#This Row],[DIFERENCIAL ICMS]]</f>
        <v>0</v>
      </c>
      <c r="Y22" s="446">
        <f>(MateriaisCampo[[#This Row],[PIS]]*MateriaisCampo[[#This Row],[UNIT S/ IPI C/DESC]])/2</f>
        <v>0</v>
      </c>
      <c r="Z22" s="446">
        <f>(MateriaisCampo[[#This Row],[COFINS]]*MateriaisCampo[[#This Row],[UNIT S/ IPI C/DESC]])/2</f>
        <v>0</v>
      </c>
      <c r="AA22" s="445">
        <f>MateriaisCampo[[#This Row],[UNIT S/ IP + DIF ICMS]]+(MateriaisCampo[[#This Row],[UNIT S/ IP + DIF ICMS]]*MateriaisCampo[[#This Row],[IPI %]])</f>
        <v>0</v>
      </c>
      <c r="AB22" s="448">
        <f>_xlfn.XLOOKUP(MateriaisCampo[[#This Row],[FATURAMENTO]],BASE!$U$48:$U$50,BASE!$W$48:$W$50,0,0,1)</f>
        <v>0.79709863947533133</v>
      </c>
      <c r="AC22" s="510" t="str">
        <f>RESUMO!$E$56</f>
        <v>SIM</v>
      </c>
      <c r="AD22" s="449" t="str">
        <f>RESUMO!$E$57</f>
        <v>SIM</v>
      </c>
      <c r="AE2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" s="450">
        <f>MateriaisCampo[[#This Row],[UNIT CRED]]*MateriaisCampo[[#This Row],[QUANTIDADE]]</f>
        <v>0</v>
      </c>
      <c r="AG22" s="451">
        <f>MateriaisCampo[[#This Row],[TOT CRED]]</f>
        <v>0</v>
      </c>
      <c r="AH22" s="452">
        <f>IF(MateriaisCampo[[#This Row],[QUANTIDADE]]&lt;&gt;0,((MateriaisCampo[[#This Row],[TOT CUSTO]]/MateriaisCampo[[#This Row],[QUANTIDADE]])/MateriaisCampo[[#This Row],[MARK-UP]]),0)</f>
        <v>0</v>
      </c>
      <c r="AI22" s="453">
        <f>MateriaisCampo[[#This Row],[UNIT VENDA]]*MateriaisCampo[[#This Row],[QUANTIDADE]]</f>
        <v>0</v>
      </c>
      <c r="AJ22" s="453">
        <f>IFERROR(MateriaisCampo[[#This Row],[VENDA]]*(RESUMO!$F$55/RESUMO!$F$45),0)</f>
        <v>0</v>
      </c>
      <c r="AK22" s="453">
        <f>IFERROR(MateriaisCampo[[#This Row],[VENDA]]*(RESUMO!$F$58/RESUMO!$F$45),0)</f>
        <v>0</v>
      </c>
      <c r="AL22" s="454">
        <f>IF(MateriaisCampo[[#This Row],[FATURAMENTO]]="NORMAL",MateriaisCampo[[#This Row],[VENDA]],0)</f>
        <v>0</v>
      </c>
      <c r="AP22" s="455" t="s">
        <v>674</v>
      </c>
      <c r="AQ22" s="456">
        <v>6674.0705470064449</v>
      </c>
      <c r="AR22" s="457">
        <v>6674.0705470064449</v>
      </c>
      <c r="AU22" s="433"/>
      <c r="AV22" s="433"/>
      <c r="AW22" s="433"/>
    </row>
    <row r="23" spans="1:49" ht="23" x14ac:dyDescent="0.35">
      <c r="A23" s="113" t="s">
        <v>552</v>
      </c>
      <c r="B23" s="113" t="s">
        <v>554</v>
      </c>
      <c r="C23" s="113" t="s">
        <v>557</v>
      </c>
      <c r="D23" s="113" t="s">
        <v>555</v>
      </c>
      <c r="E23" s="434"/>
      <c r="F23" s="434">
        <f t="shared" si="0"/>
        <v>0</v>
      </c>
      <c r="G23" s="113"/>
      <c r="H23" s="435" t="s">
        <v>551</v>
      </c>
      <c r="I23" s="436">
        <v>1360</v>
      </c>
      <c r="J23" s="437"/>
      <c r="K23" s="438"/>
      <c r="L23" s="438"/>
      <c r="M23" s="458"/>
      <c r="N23" s="440">
        <f>MateriaisCampo[[#This Row],[UNIT S/IPI S/DESC]]-MateriaisCampo[[#This Row],[UNIT S/IPI S/DESC]]*MateriaisCampo[[#This Row],[% DESC]]</f>
        <v>0</v>
      </c>
      <c r="O23" s="441" t="s">
        <v>295</v>
      </c>
      <c r="P23" s="442" t="s">
        <v>155</v>
      </c>
      <c r="Q23" s="438">
        <v>1.6500000000000001E-2</v>
      </c>
      <c r="R23" s="438">
        <v>7.5999999999999998E-2</v>
      </c>
      <c r="S23" s="443">
        <f>MateriaisCampo[[#This Row],[UNIT S/ IP + DIF ICMS]]*MateriaisCampo[[#This Row],[QUANTIDADE]]</f>
        <v>0</v>
      </c>
      <c r="T23" s="444">
        <f>MateriaisCampo[[#This Row],[TOTAL S/ IPI]]+(MateriaisCampo[[#This Row],[TOTAL S/ IPI]]*MateriaisCampo[[#This Row],[IPI %]])</f>
        <v>0</v>
      </c>
      <c r="U23" s="445">
        <f>IF(AND(MateriaisCampo[[#This Row],[ICMS %]]&lt;&gt;18%,MateriaisCampo[[#This Row],[ORIGEM]]&lt;&gt;"SÃO PAULO"),((18%-MateriaisCampo[[#This Row],[ICMS %]])*MateriaisCampo[[#This Row],[UNIT S/ IPI C/DESC]]),0)</f>
        <v>0</v>
      </c>
      <c r="V23" s="437">
        <f>MateriaisCampo[[#This Row],[UNIT S/ IPI C/DESC]]*MateriaisCampo[[#This Row],[ICMS %]]</f>
        <v>0</v>
      </c>
      <c r="W23" s="437">
        <f>MateriaisCampo[[#This Row],[ICMS $]]*MateriaisCampo[[#This Row],[QUANTIDADE]]</f>
        <v>0</v>
      </c>
      <c r="X23" s="446">
        <f>MateriaisCampo[[#This Row],[UNIT S/ IPI C/DESC]]+MateriaisCampo[[#This Row],[DIFERENCIAL ICMS]]</f>
        <v>0</v>
      </c>
      <c r="Y23" s="446">
        <f>(MateriaisCampo[[#This Row],[PIS]]*MateriaisCampo[[#This Row],[UNIT S/ IPI C/DESC]])/2</f>
        <v>0</v>
      </c>
      <c r="Z23" s="446">
        <f>(MateriaisCampo[[#This Row],[COFINS]]*MateriaisCampo[[#This Row],[UNIT S/ IPI C/DESC]])/2</f>
        <v>0</v>
      </c>
      <c r="AA23" s="445">
        <f>MateriaisCampo[[#This Row],[UNIT S/ IP + DIF ICMS]]+(MateriaisCampo[[#This Row],[UNIT S/ IP + DIF ICMS]]*MateriaisCampo[[#This Row],[IPI %]])</f>
        <v>0</v>
      </c>
      <c r="AB23" s="448">
        <f>_xlfn.XLOOKUP(MateriaisCampo[[#This Row],[FATURAMENTO]],BASE!$U$48:$U$50,BASE!$W$48:$W$50,0,0,1)</f>
        <v>0.79709863947533133</v>
      </c>
      <c r="AC23" s="510" t="str">
        <f>RESUMO!$E$56</f>
        <v>SIM</v>
      </c>
      <c r="AD23" s="449" t="str">
        <f>RESUMO!$E$57</f>
        <v>SIM</v>
      </c>
      <c r="AE2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" s="450">
        <f>MateriaisCampo[[#This Row],[UNIT CRED]]*MateriaisCampo[[#This Row],[QUANTIDADE]]</f>
        <v>0</v>
      </c>
      <c r="AG23" s="451">
        <f>MateriaisCampo[[#This Row],[TOT CRED]]</f>
        <v>0</v>
      </c>
      <c r="AH23" s="452">
        <f>IF(MateriaisCampo[[#This Row],[QUANTIDADE]]&lt;&gt;0,((MateriaisCampo[[#This Row],[TOT CUSTO]]/MateriaisCampo[[#This Row],[QUANTIDADE]])/MateriaisCampo[[#This Row],[MARK-UP]]),0)</f>
        <v>0</v>
      </c>
      <c r="AI23" s="453">
        <f>MateriaisCampo[[#This Row],[UNIT VENDA]]*MateriaisCampo[[#This Row],[QUANTIDADE]]</f>
        <v>0</v>
      </c>
      <c r="AJ23" s="453">
        <f>IFERROR(MateriaisCampo[[#This Row],[VENDA]]*(RESUMO!$F$55/RESUMO!$F$45),0)</f>
        <v>0</v>
      </c>
      <c r="AK23" s="453">
        <f>IFERROR(MateriaisCampo[[#This Row],[VENDA]]*(RESUMO!$F$58/RESUMO!$F$45),0)</f>
        <v>0</v>
      </c>
      <c r="AL23" s="454">
        <f>IF(MateriaisCampo[[#This Row],[FATURAMENTO]]="NORMAL",MateriaisCampo[[#This Row],[VENDA]],0)</f>
        <v>0</v>
      </c>
      <c r="AP23" s="455" t="s">
        <v>675</v>
      </c>
      <c r="AQ23" s="456">
        <v>6319.0218919436829</v>
      </c>
      <c r="AR23" s="457">
        <v>6319.0218919436829</v>
      </c>
      <c r="AU23" s="433"/>
      <c r="AV23" s="433"/>
      <c r="AW23" s="433"/>
    </row>
    <row r="24" spans="1:49" ht="23" x14ac:dyDescent="0.35">
      <c r="A24" s="113" t="s">
        <v>552</v>
      </c>
      <c r="B24" s="113" t="s">
        <v>554</v>
      </c>
      <c r="C24" s="113" t="s">
        <v>558</v>
      </c>
      <c r="D24" s="113" t="s">
        <v>555</v>
      </c>
      <c r="E24" s="434"/>
      <c r="F24" s="434">
        <f t="shared" si="0"/>
        <v>0</v>
      </c>
      <c r="G24" s="113"/>
      <c r="H24" s="435" t="s">
        <v>551</v>
      </c>
      <c r="I24" s="436">
        <v>70</v>
      </c>
      <c r="J24" s="437"/>
      <c r="K24" s="438"/>
      <c r="L24" s="438"/>
      <c r="M24" s="458"/>
      <c r="N24" s="440">
        <f>MateriaisCampo[[#This Row],[UNIT S/IPI S/DESC]]-MateriaisCampo[[#This Row],[UNIT S/IPI S/DESC]]*MateriaisCampo[[#This Row],[% DESC]]</f>
        <v>0</v>
      </c>
      <c r="O24" s="441" t="s">
        <v>295</v>
      </c>
      <c r="P24" s="442" t="s">
        <v>155</v>
      </c>
      <c r="Q24" s="438">
        <v>1.6500000000000001E-2</v>
      </c>
      <c r="R24" s="438">
        <v>7.5999999999999998E-2</v>
      </c>
      <c r="S24" s="443">
        <f>MateriaisCampo[[#This Row],[UNIT S/ IP + DIF ICMS]]*MateriaisCampo[[#This Row],[QUANTIDADE]]</f>
        <v>0</v>
      </c>
      <c r="T24" s="444">
        <f>MateriaisCampo[[#This Row],[TOTAL S/ IPI]]+(MateriaisCampo[[#This Row],[TOTAL S/ IPI]]*MateriaisCampo[[#This Row],[IPI %]])</f>
        <v>0</v>
      </c>
      <c r="U24" s="445">
        <f>IF(AND(MateriaisCampo[[#This Row],[ICMS %]]&lt;&gt;18%,MateriaisCampo[[#This Row],[ORIGEM]]&lt;&gt;"SÃO PAULO"),((18%-MateriaisCampo[[#This Row],[ICMS %]])*MateriaisCampo[[#This Row],[UNIT S/ IPI C/DESC]]),0)</f>
        <v>0</v>
      </c>
      <c r="V24" s="437">
        <f>MateriaisCampo[[#This Row],[UNIT S/ IPI C/DESC]]*MateriaisCampo[[#This Row],[ICMS %]]</f>
        <v>0</v>
      </c>
      <c r="W24" s="437">
        <f>MateriaisCampo[[#This Row],[ICMS $]]*MateriaisCampo[[#This Row],[QUANTIDADE]]</f>
        <v>0</v>
      </c>
      <c r="X24" s="446">
        <f>MateriaisCampo[[#This Row],[UNIT S/ IPI C/DESC]]+MateriaisCampo[[#This Row],[DIFERENCIAL ICMS]]</f>
        <v>0</v>
      </c>
      <c r="Y24" s="446">
        <f>(MateriaisCampo[[#This Row],[PIS]]*MateriaisCampo[[#This Row],[UNIT S/ IPI C/DESC]])/2</f>
        <v>0</v>
      </c>
      <c r="Z24" s="446">
        <f>(MateriaisCampo[[#This Row],[COFINS]]*MateriaisCampo[[#This Row],[UNIT S/ IPI C/DESC]])/2</f>
        <v>0</v>
      </c>
      <c r="AA24" s="445">
        <f>MateriaisCampo[[#This Row],[UNIT S/ IP + DIF ICMS]]+(MateriaisCampo[[#This Row],[UNIT S/ IP + DIF ICMS]]*MateriaisCampo[[#This Row],[IPI %]])</f>
        <v>0</v>
      </c>
      <c r="AB24" s="448">
        <f>_xlfn.XLOOKUP(MateriaisCampo[[#This Row],[FATURAMENTO]],BASE!$U$48:$U$50,BASE!$W$48:$W$50,0,0,1)</f>
        <v>0.79709863947533133</v>
      </c>
      <c r="AC24" s="510" t="str">
        <f>RESUMO!$E$56</f>
        <v>SIM</v>
      </c>
      <c r="AD24" s="449" t="str">
        <f>RESUMO!$E$57</f>
        <v>SIM</v>
      </c>
      <c r="AE2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" s="450">
        <f>MateriaisCampo[[#This Row],[UNIT CRED]]*MateriaisCampo[[#This Row],[QUANTIDADE]]</f>
        <v>0</v>
      </c>
      <c r="AG24" s="451">
        <f>MateriaisCampo[[#This Row],[TOT CRED]]</f>
        <v>0</v>
      </c>
      <c r="AH24" s="452">
        <f>IF(MateriaisCampo[[#This Row],[QUANTIDADE]]&lt;&gt;0,((MateriaisCampo[[#This Row],[TOT CUSTO]]/MateriaisCampo[[#This Row],[QUANTIDADE]])/MateriaisCampo[[#This Row],[MARK-UP]]),0)</f>
        <v>0</v>
      </c>
      <c r="AI24" s="453">
        <f>MateriaisCampo[[#This Row],[UNIT VENDA]]*MateriaisCampo[[#This Row],[QUANTIDADE]]</f>
        <v>0</v>
      </c>
      <c r="AJ24" s="453">
        <f>IFERROR(MateriaisCampo[[#This Row],[VENDA]]*(RESUMO!$F$55/RESUMO!$F$45),0)</f>
        <v>0</v>
      </c>
      <c r="AK24" s="453">
        <f>IFERROR(MateriaisCampo[[#This Row],[VENDA]]*(RESUMO!$F$58/RESUMO!$F$45),0)</f>
        <v>0</v>
      </c>
      <c r="AL24" s="454">
        <f>IF(MateriaisCampo[[#This Row],[FATURAMENTO]]="NORMAL",MateriaisCampo[[#This Row],[VENDA]],0)</f>
        <v>0</v>
      </c>
      <c r="AP24" s="455" t="s">
        <v>726</v>
      </c>
      <c r="AQ24" s="456">
        <v>3943.072000314457</v>
      </c>
      <c r="AR24" s="457">
        <v>3943.072000314457</v>
      </c>
      <c r="AU24" s="433"/>
      <c r="AV24" s="433"/>
      <c r="AW24" s="433"/>
    </row>
    <row r="25" spans="1:49" ht="23" x14ac:dyDescent="0.35">
      <c r="A25" s="113" t="s">
        <v>552</v>
      </c>
      <c r="B25" s="113" t="s">
        <v>554</v>
      </c>
      <c r="C25" s="113" t="s">
        <v>559</v>
      </c>
      <c r="D25" s="113" t="s">
        <v>555</v>
      </c>
      <c r="E25" s="434"/>
      <c r="F25" s="434">
        <f t="shared" si="0"/>
        <v>0</v>
      </c>
      <c r="G25" s="113"/>
      <c r="H25" s="435" t="s">
        <v>551</v>
      </c>
      <c r="I25" s="436">
        <v>140</v>
      </c>
      <c r="J25" s="437"/>
      <c r="K25" s="438"/>
      <c r="L25" s="438"/>
      <c r="M25" s="458"/>
      <c r="N25" s="440">
        <f>MateriaisCampo[[#This Row],[UNIT S/IPI S/DESC]]-MateriaisCampo[[#This Row],[UNIT S/IPI S/DESC]]*MateriaisCampo[[#This Row],[% DESC]]</f>
        <v>0</v>
      </c>
      <c r="O25" s="441" t="s">
        <v>295</v>
      </c>
      <c r="P25" s="442" t="s">
        <v>155</v>
      </c>
      <c r="Q25" s="438">
        <v>1.6500000000000001E-2</v>
      </c>
      <c r="R25" s="438">
        <v>7.5999999999999998E-2</v>
      </c>
      <c r="S25" s="443">
        <f>MateriaisCampo[[#This Row],[UNIT S/ IP + DIF ICMS]]*MateriaisCampo[[#This Row],[QUANTIDADE]]</f>
        <v>0</v>
      </c>
      <c r="T25" s="444">
        <f>MateriaisCampo[[#This Row],[TOTAL S/ IPI]]+(MateriaisCampo[[#This Row],[TOTAL S/ IPI]]*MateriaisCampo[[#This Row],[IPI %]])</f>
        <v>0</v>
      </c>
      <c r="U25" s="445">
        <f>IF(AND(MateriaisCampo[[#This Row],[ICMS %]]&lt;&gt;18%,MateriaisCampo[[#This Row],[ORIGEM]]&lt;&gt;"SÃO PAULO"),((18%-MateriaisCampo[[#This Row],[ICMS %]])*MateriaisCampo[[#This Row],[UNIT S/ IPI C/DESC]]),0)</f>
        <v>0</v>
      </c>
      <c r="V25" s="437">
        <f>MateriaisCampo[[#This Row],[UNIT S/ IPI C/DESC]]*MateriaisCampo[[#This Row],[ICMS %]]</f>
        <v>0</v>
      </c>
      <c r="W25" s="437">
        <f>MateriaisCampo[[#This Row],[ICMS $]]*MateriaisCampo[[#This Row],[QUANTIDADE]]</f>
        <v>0</v>
      </c>
      <c r="X25" s="446">
        <f>MateriaisCampo[[#This Row],[UNIT S/ IPI C/DESC]]+MateriaisCampo[[#This Row],[DIFERENCIAL ICMS]]</f>
        <v>0</v>
      </c>
      <c r="Y25" s="446">
        <f>(MateriaisCampo[[#This Row],[PIS]]*MateriaisCampo[[#This Row],[UNIT S/ IPI C/DESC]])/2</f>
        <v>0</v>
      </c>
      <c r="Z25" s="446">
        <f>(MateriaisCampo[[#This Row],[COFINS]]*MateriaisCampo[[#This Row],[UNIT S/ IPI C/DESC]])/2</f>
        <v>0</v>
      </c>
      <c r="AA25" s="445">
        <f>MateriaisCampo[[#This Row],[UNIT S/ IP + DIF ICMS]]+(MateriaisCampo[[#This Row],[UNIT S/ IP + DIF ICMS]]*MateriaisCampo[[#This Row],[IPI %]])</f>
        <v>0</v>
      </c>
      <c r="AB25" s="448">
        <f>_xlfn.XLOOKUP(MateriaisCampo[[#This Row],[FATURAMENTO]],BASE!$U$48:$U$50,BASE!$W$48:$W$50,0,0,1)</f>
        <v>0.79709863947533133</v>
      </c>
      <c r="AC25" s="510" t="str">
        <f>RESUMO!$E$56</f>
        <v>SIM</v>
      </c>
      <c r="AD25" s="449" t="str">
        <f>RESUMO!$E$57</f>
        <v>SIM</v>
      </c>
      <c r="AE2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" s="450">
        <f>MateriaisCampo[[#This Row],[UNIT CRED]]*MateriaisCampo[[#This Row],[QUANTIDADE]]</f>
        <v>0</v>
      </c>
      <c r="AG25" s="451">
        <f>MateriaisCampo[[#This Row],[TOT CRED]]</f>
        <v>0</v>
      </c>
      <c r="AH25" s="452">
        <f>IF(MateriaisCampo[[#This Row],[QUANTIDADE]]&lt;&gt;0,((MateriaisCampo[[#This Row],[TOT CUSTO]]/MateriaisCampo[[#This Row],[QUANTIDADE]])/MateriaisCampo[[#This Row],[MARK-UP]]),0)</f>
        <v>0</v>
      </c>
      <c r="AI25" s="453">
        <f>MateriaisCampo[[#This Row],[UNIT VENDA]]*MateriaisCampo[[#This Row],[QUANTIDADE]]</f>
        <v>0</v>
      </c>
      <c r="AJ25" s="453">
        <f>IFERROR(MateriaisCampo[[#This Row],[VENDA]]*(RESUMO!$F$55/RESUMO!$F$45),0)</f>
        <v>0</v>
      </c>
      <c r="AK25" s="453">
        <f>IFERROR(MateriaisCampo[[#This Row],[VENDA]]*(RESUMO!$F$58/RESUMO!$F$45),0)</f>
        <v>0</v>
      </c>
      <c r="AL25" s="454">
        <f>IF(MateriaisCampo[[#This Row],[FATURAMENTO]]="NORMAL",MateriaisCampo[[#This Row],[VENDA]],0)</f>
        <v>0</v>
      </c>
      <c r="AP25" s="455" t="s">
        <v>360</v>
      </c>
      <c r="AQ25" s="456">
        <v>0</v>
      </c>
      <c r="AR25" s="457">
        <v>0</v>
      </c>
      <c r="AU25" s="433"/>
      <c r="AV25" s="433"/>
      <c r="AW25" s="433"/>
    </row>
    <row r="26" spans="1:49" ht="23" x14ac:dyDescent="0.35">
      <c r="A26" s="113" t="s">
        <v>552</v>
      </c>
      <c r="B26" s="113" t="s">
        <v>554</v>
      </c>
      <c r="C26" s="113" t="s">
        <v>560</v>
      </c>
      <c r="D26" s="113" t="s">
        <v>555</v>
      </c>
      <c r="E26" s="434"/>
      <c r="F26" s="434">
        <f t="shared" si="0"/>
        <v>0</v>
      </c>
      <c r="G26" s="113"/>
      <c r="H26" s="435" t="s">
        <v>551</v>
      </c>
      <c r="I26" s="436">
        <v>0</v>
      </c>
      <c r="J26" s="437"/>
      <c r="K26" s="438"/>
      <c r="L26" s="438"/>
      <c r="M26" s="458"/>
      <c r="N26" s="440">
        <f>MateriaisCampo[[#This Row],[UNIT S/IPI S/DESC]]-MateriaisCampo[[#This Row],[UNIT S/IPI S/DESC]]*MateriaisCampo[[#This Row],[% DESC]]</f>
        <v>0</v>
      </c>
      <c r="O26" s="441" t="s">
        <v>295</v>
      </c>
      <c r="P26" s="442" t="s">
        <v>155</v>
      </c>
      <c r="Q26" s="438">
        <v>1.6500000000000001E-2</v>
      </c>
      <c r="R26" s="438">
        <v>7.5999999999999998E-2</v>
      </c>
      <c r="S26" s="443">
        <f>MateriaisCampo[[#This Row],[UNIT S/ IP + DIF ICMS]]*MateriaisCampo[[#This Row],[QUANTIDADE]]</f>
        <v>0</v>
      </c>
      <c r="T26" s="444">
        <f>MateriaisCampo[[#This Row],[TOTAL S/ IPI]]+(MateriaisCampo[[#This Row],[TOTAL S/ IPI]]*MateriaisCampo[[#This Row],[IPI %]])</f>
        <v>0</v>
      </c>
      <c r="U26" s="445">
        <f>IF(AND(MateriaisCampo[[#This Row],[ICMS %]]&lt;&gt;18%,MateriaisCampo[[#This Row],[ORIGEM]]&lt;&gt;"SÃO PAULO"),((18%-MateriaisCampo[[#This Row],[ICMS %]])*MateriaisCampo[[#This Row],[UNIT S/ IPI C/DESC]]),0)</f>
        <v>0</v>
      </c>
      <c r="V26" s="437">
        <f>MateriaisCampo[[#This Row],[UNIT S/ IPI C/DESC]]*MateriaisCampo[[#This Row],[ICMS %]]</f>
        <v>0</v>
      </c>
      <c r="W26" s="437">
        <f>MateriaisCampo[[#This Row],[ICMS $]]*MateriaisCampo[[#This Row],[QUANTIDADE]]</f>
        <v>0</v>
      </c>
      <c r="X26" s="446">
        <f>MateriaisCampo[[#This Row],[UNIT S/ IPI C/DESC]]+MateriaisCampo[[#This Row],[DIFERENCIAL ICMS]]</f>
        <v>0</v>
      </c>
      <c r="Y26" s="446">
        <f>(MateriaisCampo[[#This Row],[PIS]]*MateriaisCampo[[#This Row],[UNIT S/ IPI C/DESC]])/2</f>
        <v>0</v>
      </c>
      <c r="Z26" s="446">
        <f>(MateriaisCampo[[#This Row],[COFINS]]*MateriaisCampo[[#This Row],[UNIT S/ IPI C/DESC]])/2</f>
        <v>0</v>
      </c>
      <c r="AA26" s="445">
        <f>MateriaisCampo[[#This Row],[UNIT S/ IP + DIF ICMS]]+(MateriaisCampo[[#This Row],[UNIT S/ IP + DIF ICMS]]*MateriaisCampo[[#This Row],[IPI %]])</f>
        <v>0</v>
      </c>
      <c r="AB26" s="448">
        <f>_xlfn.XLOOKUP(MateriaisCampo[[#This Row],[FATURAMENTO]],BASE!$U$48:$U$50,BASE!$W$48:$W$50,0,0,1)</f>
        <v>0.79709863947533133</v>
      </c>
      <c r="AC26" s="510" t="str">
        <f>RESUMO!$E$56</f>
        <v>SIM</v>
      </c>
      <c r="AD26" s="449" t="str">
        <f>RESUMO!$E$57</f>
        <v>SIM</v>
      </c>
      <c r="AE2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" s="450">
        <f>MateriaisCampo[[#This Row],[UNIT CRED]]*MateriaisCampo[[#This Row],[QUANTIDADE]]</f>
        <v>0</v>
      </c>
      <c r="AG26" s="451">
        <f>MateriaisCampo[[#This Row],[TOT CRED]]</f>
        <v>0</v>
      </c>
      <c r="AH26" s="452">
        <f>IF(MateriaisCampo[[#This Row],[QUANTIDADE]]&lt;&gt;0,((MateriaisCampo[[#This Row],[TOT CUSTO]]/MateriaisCampo[[#This Row],[QUANTIDADE]])/MateriaisCampo[[#This Row],[MARK-UP]]),0)</f>
        <v>0</v>
      </c>
      <c r="AI26" s="453">
        <f>MateriaisCampo[[#This Row],[UNIT VENDA]]*MateriaisCampo[[#This Row],[QUANTIDADE]]</f>
        <v>0</v>
      </c>
      <c r="AJ26" s="453">
        <f>IFERROR(MateriaisCampo[[#This Row],[VENDA]]*(RESUMO!$F$55/RESUMO!$F$45),0)</f>
        <v>0</v>
      </c>
      <c r="AK26" s="453">
        <f>IFERROR(MateriaisCampo[[#This Row],[VENDA]]*(RESUMO!$F$58/RESUMO!$F$45),0)</f>
        <v>0</v>
      </c>
      <c r="AL26" s="454">
        <f>IF(MateriaisCampo[[#This Row],[FATURAMENTO]]="NORMAL",MateriaisCampo[[#This Row],[VENDA]],0)</f>
        <v>0</v>
      </c>
      <c r="AP26" s="455" t="s">
        <v>767</v>
      </c>
      <c r="AQ26" s="456">
        <v>40651.009065139522</v>
      </c>
      <c r="AR26" s="457">
        <v>40651.009065139522</v>
      </c>
      <c r="AU26" s="433"/>
      <c r="AV26" s="433"/>
      <c r="AW26" s="433"/>
    </row>
    <row r="27" spans="1:49" ht="23" x14ac:dyDescent="0.35">
      <c r="A27" s="113" t="s">
        <v>552</v>
      </c>
      <c r="B27" s="113" t="s">
        <v>554</v>
      </c>
      <c r="C27" s="113" t="s">
        <v>561</v>
      </c>
      <c r="D27" s="113" t="s">
        <v>555</v>
      </c>
      <c r="E27" s="434"/>
      <c r="F27" s="434">
        <f t="shared" si="0"/>
        <v>0</v>
      </c>
      <c r="G27" s="113"/>
      <c r="H27" s="435" t="s">
        <v>551</v>
      </c>
      <c r="I27" s="436">
        <v>250</v>
      </c>
      <c r="J27" s="437"/>
      <c r="K27" s="438"/>
      <c r="L27" s="438"/>
      <c r="M27" s="458"/>
      <c r="N27" s="440">
        <f>MateriaisCampo[[#This Row],[UNIT S/IPI S/DESC]]-MateriaisCampo[[#This Row],[UNIT S/IPI S/DESC]]*MateriaisCampo[[#This Row],[% DESC]]</f>
        <v>0</v>
      </c>
      <c r="O27" s="441" t="s">
        <v>295</v>
      </c>
      <c r="P27" s="442" t="s">
        <v>155</v>
      </c>
      <c r="Q27" s="438">
        <v>1.6500000000000001E-2</v>
      </c>
      <c r="R27" s="438">
        <v>7.5999999999999998E-2</v>
      </c>
      <c r="S27" s="443">
        <f>MateriaisCampo[[#This Row],[UNIT S/ IP + DIF ICMS]]*MateriaisCampo[[#This Row],[QUANTIDADE]]</f>
        <v>0</v>
      </c>
      <c r="T27" s="444">
        <f>MateriaisCampo[[#This Row],[TOTAL S/ IPI]]+(MateriaisCampo[[#This Row],[TOTAL S/ IPI]]*MateriaisCampo[[#This Row],[IPI %]])</f>
        <v>0</v>
      </c>
      <c r="U27" s="445">
        <f>IF(AND(MateriaisCampo[[#This Row],[ICMS %]]&lt;&gt;18%,MateriaisCampo[[#This Row],[ORIGEM]]&lt;&gt;"SÃO PAULO"),((18%-MateriaisCampo[[#This Row],[ICMS %]])*MateriaisCampo[[#This Row],[UNIT S/ IPI C/DESC]]),0)</f>
        <v>0</v>
      </c>
      <c r="V27" s="437">
        <f>MateriaisCampo[[#This Row],[UNIT S/ IPI C/DESC]]*MateriaisCampo[[#This Row],[ICMS %]]</f>
        <v>0</v>
      </c>
      <c r="W27" s="437">
        <f>MateriaisCampo[[#This Row],[ICMS $]]*MateriaisCampo[[#This Row],[QUANTIDADE]]</f>
        <v>0</v>
      </c>
      <c r="X27" s="446">
        <f>MateriaisCampo[[#This Row],[UNIT S/ IPI C/DESC]]+MateriaisCampo[[#This Row],[DIFERENCIAL ICMS]]</f>
        <v>0</v>
      </c>
      <c r="Y27" s="446">
        <f>(MateriaisCampo[[#This Row],[PIS]]*MateriaisCampo[[#This Row],[UNIT S/ IPI C/DESC]])/2</f>
        <v>0</v>
      </c>
      <c r="Z27" s="446">
        <f>(MateriaisCampo[[#This Row],[COFINS]]*MateriaisCampo[[#This Row],[UNIT S/ IPI C/DESC]])/2</f>
        <v>0</v>
      </c>
      <c r="AA27" s="445">
        <f>MateriaisCampo[[#This Row],[UNIT S/ IP + DIF ICMS]]+(MateriaisCampo[[#This Row],[UNIT S/ IP + DIF ICMS]]*MateriaisCampo[[#This Row],[IPI %]])</f>
        <v>0</v>
      </c>
      <c r="AB27" s="448">
        <f>_xlfn.XLOOKUP(MateriaisCampo[[#This Row],[FATURAMENTO]],BASE!$U$48:$U$50,BASE!$W$48:$W$50,0,0,1)</f>
        <v>0.79709863947533133</v>
      </c>
      <c r="AC27" s="510" t="str">
        <f>RESUMO!$E$56</f>
        <v>SIM</v>
      </c>
      <c r="AD27" s="449" t="str">
        <f>RESUMO!$E$57</f>
        <v>SIM</v>
      </c>
      <c r="AE2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" s="450">
        <f>MateriaisCampo[[#This Row],[UNIT CRED]]*MateriaisCampo[[#This Row],[QUANTIDADE]]</f>
        <v>0</v>
      </c>
      <c r="AG27" s="451">
        <f>MateriaisCampo[[#This Row],[TOT CRED]]</f>
        <v>0</v>
      </c>
      <c r="AH27" s="452">
        <f>IF(MateriaisCampo[[#This Row],[QUANTIDADE]]&lt;&gt;0,((MateriaisCampo[[#This Row],[TOT CUSTO]]/MateriaisCampo[[#This Row],[QUANTIDADE]])/MateriaisCampo[[#This Row],[MARK-UP]]),0)</f>
        <v>0</v>
      </c>
      <c r="AI27" s="453">
        <f>MateriaisCampo[[#This Row],[UNIT VENDA]]*MateriaisCampo[[#This Row],[QUANTIDADE]]</f>
        <v>0</v>
      </c>
      <c r="AJ27" s="453">
        <f>IFERROR(MateriaisCampo[[#This Row],[VENDA]]*(RESUMO!$F$55/RESUMO!$F$45),0)</f>
        <v>0</v>
      </c>
      <c r="AK27" s="453">
        <f>IFERROR(MateriaisCampo[[#This Row],[VENDA]]*(RESUMO!$F$58/RESUMO!$F$45),0)</f>
        <v>0</v>
      </c>
      <c r="AL27" s="454">
        <f>IF(MateriaisCampo[[#This Row],[FATURAMENTO]]="NORMAL",MateriaisCampo[[#This Row],[VENDA]],0)</f>
        <v>0</v>
      </c>
      <c r="AP27" s="455" t="s">
        <v>773</v>
      </c>
      <c r="AQ27" s="456">
        <v>7432.4735246565551</v>
      </c>
      <c r="AR27" s="457">
        <v>7432.4735246565551</v>
      </c>
    </row>
    <row r="28" spans="1:49" ht="23" x14ac:dyDescent="0.35">
      <c r="A28" s="113" t="s">
        <v>552</v>
      </c>
      <c r="B28" s="113" t="s">
        <v>554</v>
      </c>
      <c r="C28" s="113" t="s">
        <v>573</v>
      </c>
      <c r="D28" s="113" t="s">
        <v>587</v>
      </c>
      <c r="E28" s="434"/>
      <c r="F28" s="434">
        <f t="shared" si="0"/>
        <v>0</v>
      </c>
      <c r="G28" s="113"/>
      <c r="H28" s="435" t="s">
        <v>551</v>
      </c>
      <c r="I28" s="436"/>
      <c r="J28" s="437"/>
      <c r="K28" s="438"/>
      <c r="L28" s="438"/>
      <c r="M28" s="458"/>
      <c r="N28" s="440">
        <f>MateriaisCampo[[#This Row],[UNIT S/IPI S/DESC]]-MateriaisCampo[[#This Row],[UNIT S/IPI S/DESC]]*MateriaisCampo[[#This Row],[% DESC]]</f>
        <v>0</v>
      </c>
      <c r="O28" s="441" t="s">
        <v>295</v>
      </c>
      <c r="P28" s="442" t="s">
        <v>155</v>
      </c>
      <c r="Q28" s="438">
        <v>1.6500000000000001E-2</v>
      </c>
      <c r="R28" s="438">
        <v>7.5999999999999998E-2</v>
      </c>
      <c r="S28" s="443">
        <f>MateriaisCampo[[#This Row],[UNIT S/ IP + DIF ICMS]]*MateriaisCampo[[#This Row],[QUANTIDADE]]</f>
        <v>0</v>
      </c>
      <c r="T28" s="444">
        <f>MateriaisCampo[[#This Row],[TOTAL S/ IPI]]+(MateriaisCampo[[#This Row],[TOTAL S/ IPI]]*MateriaisCampo[[#This Row],[IPI %]])</f>
        <v>0</v>
      </c>
      <c r="U28" s="445">
        <f>IF(AND(MateriaisCampo[[#This Row],[ICMS %]]&lt;&gt;18%,MateriaisCampo[[#This Row],[ORIGEM]]&lt;&gt;"SÃO PAULO"),((18%-MateriaisCampo[[#This Row],[ICMS %]])*MateriaisCampo[[#This Row],[UNIT S/ IPI C/DESC]]),0)</f>
        <v>0</v>
      </c>
      <c r="V28" s="437">
        <f>MateriaisCampo[[#This Row],[UNIT S/ IPI C/DESC]]*MateriaisCampo[[#This Row],[ICMS %]]</f>
        <v>0</v>
      </c>
      <c r="W28" s="437">
        <f>MateriaisCampo[[#This Row],[ICMS $]]*MateriaisCampo[[#This Row],[QUANTIDADE]]</f>
        <v>0</v>
      </c>
      <c r="X28" s="446">
        <f>MateriaisCampo[[#This Row],[UNIT S/ IPI C/DESC]]+MateriaisCampo[[#This Row],[DIFERENCIAL ICMS]]</f>
        <v>0</v>
      </c>
      <c r="Y28" s="446">
        <f>(MateriaisCampo[[#This Row],[PIS]]*MateriaisCampo[[#This Row],[UNIT S/ IPI C/DESC]])/2</f>
        <v>0</v>
      </c>
      <c r="Z28" s="446">
        <f>(MateriaisCampo[[#This Row],[COFINS]]*MateriaisCampo[[#This Row],[UNIT S/ IPI C/DESC]])/2</f>
        <v>0</v>
      </c>
      <c r="AA28" s="445">
        <f>MateriaisCampo[[#This Row],[UNIT S/ IP + DIF ICMS]]+(MateriaisCampo[[#This Row],[UNIT S/ IP + DIF ICMS]]*MateriaisCampo[[#This Row],[IPI %]])</f>
        <v>0</v>
      </c>
      <c r="AB28" s="448">
        <f>_xlfn.XLOOKUP(MateriaisCampo[[#This Row],[FATURAMENTO]],BASE!$U$48:$U$50,BASE!$W$48:$W$50,0,0,1)</f>
        <v>0.79709863947533133</v>
      </c>
      <c r="AC28" s="510" t="str">
        <f>RESUMO!$E$56</f>
        <v>SIM</v>
      </c>
      <c r="AD28" s="449" t="str">
        <f>RESUMO!$E$57</f>
        <v>SIM</v>
      </c>
      <c r="AE2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" s="450">
        <f>MateriaisCampo[[#This Row],[UNIT CRED]]*MateriaisCampo[[#This Row],[QUANTIDADE]]</f>
        <v>0</v>
      </c>
      <c r="AG28" s="451">
        <f>MateriaisCampo[[#This Row],[TOT CRED]]</f>
        <v>0</v>
      </c>
      <c r="AH28" s="452">
        <f>IF(MateriaisCampo[[#This Row],[QUANTIDADE]]&lt;&gt;0,((MateriaisCampo[[#This Row],[TOT CUSTO]]/MateriaisCampo[[#This Row],[QUANTIDADE]])/MateriaisCampo[[#This Row],[MARK-UP]]),0)</f>
        <v>0</v>
      </c>
      <c r="AI28" s="453">
        <f>MateriaisCampo[[#This Row],[UNIT VENDA]]*MateriaisCampo[[#This Row],[QUANTIDADE]]</f>
        <v>0</v>
      </c>
      <c r="AJ28" s="453">
        <f>IFERROR(MateriaisCampo[[#This Row],[VENDA]]*(RESUMO!$F$55/RESUMO!$F$45),0)</f>
        <v>0</v>
      </c>
      <c r="AK28" s="453">
        <f>IFERROR(MateriaisCampo[[#This Row],[VENDA]]*(RESUMO!$F$58/RESUMO!$F$45),0)</f>
        <v>0</v>
      </c>
      <c r="AL28" s="454">
        <f>IF(MateriaisCampo[[#This Row],[FATURAMENTO]]="NORMAL",MateriaisCampo[[#This Row],[VENDA]],0)</f>
        <v>0</v>
      </c>
      <c r="AP28" s="455" t="s">
        <v>778</v>
      </c>
      <c r="AQ28" s="456">
        <v>4866.4707422676374</v>
      </c>
      <c r="AR28" s="457">
        <v>4866.4707422676374</v>
      </c>
    </row>
    <row r="29" spans="1:49" ht="23" x14ac:dyDescent="0.35">
      <c r="A29" s="113" t="s">
        <v>552</v>
      </c>
      <c r="B29" s="113" t="s">
        <v>554</v>
      </c>
      <c r="C29" s="113" t="s">
        <v>574</v>
      </c>
      <c r="D29" s="113" t="s">
        <v>587</v>
      </c>
      <c r="E29" s="434"/>
      <c r="F29" s="434">
        <f t="shared" si="0"/>
        <v>0</v>
      </c>
      <c r="G29" s="113"/>
      <c r="H29" s="435" t="s">
        <v>551</v>
      </c>
      <c r="I29" s="436"/>
      <c r="J29" s="437"/>
      <c r="K29" s="438"/>
      <c r="L29" s="438"/>
      <c r="M29" s="458"/>
      <c r="N29" s="440">
        <f>MateriaisCampo[[#This Row],[UNIT S/IPI S/DESC]]-MateriaisCampo[[#This Row],[UNIT S/IPI S/DESC]]*MateriaisCampo[[#This Row],[% DESC]]</f>
        <v>0</v>
      </c>
      <c r="O29" s="441" t="s">
        <v>295</v>
      </c>
      <c r="P29" s="442" t="s">
        <v>155</v>
      </c>
      <c r="Q29" s="438">
        <v>1.6500000000000001E-2</v>
      </c>
      <c r="R29" s="438">
        <v>7.5999999999999998E-2</v>
      </c>
      <c r="S29" s="443">
        <f>MateriaisCampo[[#This Row],[UNIT S/ IP + DIF ICMS]]*MateriaisCampo[[#This Row],[QUANTIDADE]]</f>
        <v>0</v>
      </c>
      <c r="T29" s="444">
        <f>MateriaisCampo[[#This Row],[TOTAL S/ IPI]]+(MateriaisCampo[[#This Row],[TOTAL S/ IPI]]*MateriaisCampo[[#This Row],[IPI %]])</f>
        <v>0</v>
      </c>
      <c r="U29" s="445">
        <f>IF(AND(MateriaisCampo[[#This Row],[ICMS %]]&lt;&gt;18%,MateriaisCampo[[#This Row],[ORIGEM]]&lt;&gt;"SÃO PAULO"),((18%-MateriaisCampo[[#This Row],[ICMS %]])*MateriaisCampo[[#This Row],[UNIT S/ IPI C/DESC]]),0)</f>
        <v>0</v>
      </c>
      <c r="V29" s="437">
        <f>MateriaisCampo[[#This Row],[UNIT S/ IPI C/DESC]]*MateriaisCampo[[#This Row],[ICMS %]]</f>
        <v>0</v>
      </c>
      <c r="W29" s="437">
        <f>MateriaisCampo[[#This Row],[ICMS $]]*MateriaisCampo[[#This Row],[QUANTIDADE]]</f>
        <v>0</v>
      </c>
      <c r="X29" s="446">
        <f>MateriaisCampo[[#This Row],[UNIT S/ IPI C/DESC]]+MateriaisCampo[[#This Row],[DIFERENCIAL ICMS]]</f>
        <v>0</v>
      </c>
      <c r="Y29" s="446">
        <f>(MateriaisCampo[[#This Row],[PIS]]*MateriaisCampo[[#This Row],[UNIT S/ IPI C/DESC]])/2</f>
        <v>0</v>
      </c>
      <c r="Z29" s="446">
        <f>(MateriaisCampo[[#This Row],[COFINS]]*MateriaisCampo[[#This Row],[UNIT S/ IPI C/DESC]])/2</f>
        <v>0</v>
      </c>
      <c r="AA29" s="445">
        <f>MateriaisCampo[[#This Row],[UNIT S/ IP + DIF ICMS]]+(MateriaisCampo[[#This Row],[UNIT S/ IP + DIF ICMS]]*MateriaisCampo[[#This Row],[IPI %]])</f>
        <v>0</v>
      </c>
      <c r="AB29" s="448">
        <f>_xlfn.XLOOKUP(MateriaisCampo[[#This Row],[FATURAMENTO]],BASE!$U$48:$U$50,BASE!$W$48:$W$50,0,0,1)</f>
        <v>0.79709863947533133</v>
      </c>
      <c r="AC29" s="510" t="str">
        <f>RESUMO!$E$56</f>
        <v>SIM</v>
      </c>
      <c r="AD29" s="449" t="str">
        <f>RESUMO!$E$57</f>
        <v>SIM</v>
      </c>
      <c r="AE2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" s="450">
        <f>MateriaisCampo[[#This Row],[UNIT CRED]]*MateriaisCampo[[#This Row],[QUANTIDADE]]</f>
        <v>0</v>
      </c>
      <c r="AG29" s="451">
        <f>MateriaisCampo[[#This Row],[TOT CRED]]</f>
        <v>0</v>
      </c>
      <c r="AH29" s="452">
        <f>IF(MateriaisCampo[[#This Row],[QUANTIDADE]]&lt;&gt;0,((MateriaisCampo[[#This Row],[TOT CUSTO]]/MateriaisCampo[[#This Row],[QUANTIDADE]])/MateriaisCampo[[#This Row],[MARK-UP]]),0)</f>
        <v>0</v>
      </c>
      <c r="AI29" s="453">
        <f>MateriaisCampo[[#This Row],[UNIT VENDA]]*MateriaisCampo[[#This Row],[QUANTIDADE]]</f>
        <v>0</v>
      </c>
      <c r="AJ29" s="453">
        <f>IFERROR(MateriaisCampo[[#This Row],[VENDA]]*(RESUMO!$F$55/RESUMO!$F$45),0)</f>
        <v>0</v>
      </c>
      <c r="AK29" s="453">
        <f>IFERROR(MateriaisCampo[[#This Row],[VENDA]]*(RESUMO!$F$58/RESUMO!$F$45),0)</f>
        <v>0</v>
      </c>
      <c r="AL29" s="454">
        <f>IF(MateriaisCampo[[#This Row],[FATURAMENTO]]="NORMAL",MateriaisCampo[[#This Row],[VENDA]],0)</f>
        <v>0</v>
      </c>
      <c r="AP29" s="455" t="s">
        <v>774</v>
      </c>
      <c r="AQ29" s="456">
        <v>12387.455874427589</v>
      </c>
      <c r="AR29" s="457">
        <v>12387.455874427589</v>
      </c>
    </row>
    <row r="30" spans="1:49" ht="23" x14ac:dyDescent="0.35">
      <c r="A30" s="113" t="s">
        <v>552</v>
      </c>
      <c r="B30" s="113" t="s">
        <v>554</v>
      </c>
      <c r="C30" s="113" t="s">
        <v>575</v>
      </c>
      <c r="D30" s="113" t="s">
        <v>587</v>
      </c>
      <c r="E30" s="434"/>
      <c r="F30" s="434">
        <f t="shared" si="0"/>
        <v>0</v>
      </c>
      <c r="G30" s="113"/>
      <c r="H30" s="435" t="s">
        <v>551</v>
      </c>
      <c r="I30" s="436"/>
      <c r="J30" s="437"/>
      <c r="K30" s="438"/>
      <c r="L30" s="438"/>
      <c r="M30" s="458"/>
      <c r="N30" s="440">
        <f>MateriaisCampo[[#This Row],[UNIT S/IPI S/DESC]]-MateriaisCampo[[#This Row],[UNIT S/IPI S/DESC]]*MateriaisCampo[[#This Row],[% DESC]]</f>
        <v>0</v>
      </c>
      <c r="O30" s="441" t="s">
        <v>295</v>
      </c>
      <c r="P30" s="442" t="s">
        <v>155</v>
      </c>
      <c r="Q30" s="438">
        <v>1.6500000000000001E-2</v>
      </c>
      <c r="R30" s="438">
        <v>7.5999999999999998E-2</v>
      </c>
      <c r="S30" s="443">
        <f>MateriaisCampo[[#This Row],[UNIT S/ IP + DIF ICMS]]*MateriaisCampo[[#This Row],[QUANTIDADE]]</f>
        <v>0</v>
      </c>
      <c r="T30" s="444">
        <f>MateriaisCampo[[#This Row],[TOTAL S/ IPI]]+(MateriaisCampo[[#This Row],[TOTAL S/ IPI]]*MateriaisCampo[[#This Row],[IPI %]])</f>
        <v>0</v>
      </c>
      <c r="U30" s="445">
        <f>IF(AND(MateriaisCampo[[#This Row],[ICMS %]]&lt;&gt;18%,MateriaisCampo[[#This Row],[ORIGEM]]&lt;&gt;"SÃO PAULO"),((18%-MateriaisCampo[[#This Row],[ICMS %]])*MateriaisCampo[[#This Row],[UNIT S/ IPI C/DESC]]),0)</f>
        <v>0</v>
      </c>
      <c r="V30" s="437">
        <f>MateriaisCampo[[#This Row],[UNIT S/ IPI C/DESC]]*MateriaisCampo[[#This Row],[ICMS %]]</f>
        <v>0</v>
      </c>
      <c r="W30" s="437">
        <f>MateriaisCampo[[#This Row],[ICMS $]]*MateriaisCampo[[#This Row],[QUANTIDADE]]</f>
        <v>0</v>
      </c>
      <c r="X30" s="446">
        <f>MateriaisCampo[[#This Row],[UNIT S/ IPI C/DESC]]+MateriaisCampo[[#This Row],[DIFERENCIAL ICMS]]</f>
        <v>0</v>
      </c>
      <c r="Y30" s="446">
        <f>(MateriaisCampo[[#This Row],[PIS]]*MateriaisCampo[[#This Row],[UNIT S/ IPI C/DESC]])/2</f>
        <v>0</v>
      </c>
      <c r="Z30" s="446">
        <f>(MateriaisCampo[[#This Row],[COFINS]]*MateriaisCampo[[#This Row],[UNIT S/ IPI C/DESC]])/2</f>
        <v>0</v>
      </c>
      <c r="AA30" s="445">
        <f>MateriaisCampo[[#This Row],[UNIT S/ IP + DIF ICMS]]+(MateriaisCampo[[#This Row],[UNIT S/ IP + DIF ICMS]]*MateriaisCampo[[#This Row],[IPI %]])</f>
        <v>0</v>
      </c>
      <c r="AB30" s="448">
        <f>_xlfn.XLOOKUP(MateriaisCampo[[#This Row],[FATURAMENTO]],BASE!$U$48:$U$50,BASE!$W$48:$W$50,0,0,1)</f>
        <v>0.79709863947533133</v>
      </c>
      <c r="AC30" s="510" t="str">
        <f>RESUMO!$E$56</f>
        <v>SIM</v>
      </c>
      <c r="AD30" s="449" t="str">
        <f>RESUMO!$E$57</f>
        <v>SIM</v>
      </c>
      <c r="AE3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0" s="450">
        <f>MateriaisCampo[[#This Row],[UNIT CRED]]*MateriaisCampo[[#This Row],[QUANTIDADE]]</f>
        <v>0</v>
      </c>
      <c r="AG30" s="451">
        <f>MateriaisCampo[[#This Row],[TOT CRED]]</f>
        <v>0</v>
      </c>
      <c r="AH30" s="452">
        <f>IF(MateriaisCampo[[#This Row],[QUANTIDADE]]&lt;&gt;0,((MateriaisCampo[[#This Row],[TOT CUSTO]]/MateriaisCampo[[#This Row],[QUANTIDADE]])/MateriaisCampo[[#This Row],[MARK-UP]]),0)</f>
        <v>0</v>
      </c>
      <c r="AI30" s="453">
        <f>MateriaisCampo[[#This Row],[UNIT VENDA]]*MateriaisCampo[[#This Row],[QUANTIDADE]]</f>
        <v>0</v>
      </c>
      <c r="AJ30" s="453">
        <f>IFERROR(MateriaisCampo[[#This Row],[VENDA]]*(RESUMO!$F$55/RESUMO!$F$45),0)</f>
        <v>0</v>
      </c>
      <c r="AK30" s="453">
        <f>IFERROR(MateriaisCampo[[#This Row],[VENDA]]*(RESUMO!$F$58/RESUMO!$F$45),0)</f>
        <v>0</v>
      </c>
      <c r="AL30" s="454">
        <f>IF(MateriaisCampo[[#This Row],[FATURAMENTO]]="NORMAL",MateriaisCampo[[#This Row],[VENDA]],0)</f>
        <v>0</v>
      </c>
      <c r="AP30" s="455" t="s">
        <v>770</v>
      </c>
      <c r="AQ30" s="456">
        <v>9290.5919058206928</v>
      </c>
      <c r="AR30" s="457">
        <v>9290.5919058206928</v>
      </c>
    </row>
    <row r="31" spans="1:49" ht="23" x14ac:dyDescent="0.35">
      <c r="A31" s="113" t="s">
        <v>552</v>
      </c>
      <c r="B31" s="113" t="s">
        <v>554</v>
      </c>
      <c r="C31" s="113" t="s">
        <v>576</v>
      </c>
      <c r="D31" s="113" t="s">
        <v>587</v>
      </c>
      <c r="E31" s="434"/>
      <c r="F31" s="434">
        <f t="shared" si="0"/>
        <v>0</v>
      </c>
      <c r="G31" s="113"/>
      <c r="H31" s="435" t="s">
        <v>551</v>
      </c>
      <c r="I31" s="436"/>
      <c r="J31" s="437"/>
      <c r="K31" s="438"/>
      <c r="L31" s="438"/>
      <c r="M31" s="458"/>
      <c r="N31" s="440">
        <f>MateriaisCampo[[#This Row],[UNIT S/IPI S/DESC]]-MateriaisCampo[[#This Row],[UNIT S/IPI S/DESC]]*MateriaisCampo[[#This Row],[% DESC]]</f>
        <v>0</v>
      </c>
      <c r="O31" s="441" t="s">
        <v>295</v>
      </c>
      <c r="P31" s="442" t="s">
        <v>155</v>
      </c>
      <c r="Q31" s="438">
        <v>1.6500000000000001E-2</v>
      </c>
      <c r="R31" s="438">
        <v>7.5999999999999998E-2</v>
      </c>
      <c r="S31" s="443">
        <f>MateriaisCampo[[#This Row],[UNIT S/ IP + DIF ICMS]]*MateriaisCampo[[#This Row],[QUANTIDADE]]</f>
        <v>0</v>
      </c>
      <c r="T31" s="444">
        <f>MateriaisCampo[[#This Row],[TOTAL S/ IPI]]+(MateriaisCampo[[#This Row],[TOTAL S/ IPI]]*MateriaisCampo[[#This Row],[IPI %]])</f>
        <v>0</v>
      </c>
      <c r="U31" s="445">
        <f>IF(AND(MateriaisCampo[[#This Row],[ICMS %]]&lt;&gt;18%,MateriaisCampo[[#This Row],[ORIGEM]]&lt;&gt;"SÃO PAULO"),((18%-MateriaisCampo[[#This Row],[ICMS %]])*MateriaisCampo[[#This Row],[UNIT S/ IPI C/DESC]]),0)</f>
        <v>0</v>
      </c>
      <c r="V31" s="437">
        <f>MateriaisCampo[[#This Row],[UNIT S/ IPI C/DESC]]*MateriaisCampo[[#This Row],[ICMS %]]</f>
        <v>0</v>
      </c>
      <c r="W31" s="437">
        <f>MateriaisCampo[[#This Row],[ICMS $]]*MateriaisCampo[[#This Row],[QUANTIDADE]]</f>
        <v>0</v>
      </c>
      <c r="X31" s="446">
        <f>MateriaisCampo[[#This Row],[UNIT S/ IPI C/DESC]]+MateriaisCampo[[#This Row],[DIFERENCIAL ICMS]]</f>
        <v>0</v>
      </c>
      <c r="Y31" s="446">
        <f>(MateriaisCampo[[#This Row],[PIS]]*MateriaisCampo[[#This Row],[UNIT S/ IPI C/DESC]])/2</f>
        <v>0</v>
      </c>
      <c r="Z31" s="446">
        <f>(MateriaisCampo[[#This Row],[COFINS]]*MateriaisCampo[[#This Row],[UNIT S/ IPI C/DESC]])/2</f>
        <v>0</v>
      </c>
      <c r="AA31" s="445">
        <f>MateriaisCampo[[#This Row],[UNIT S/ IP + DIF ICMS]]+(MateriaisCampo[[#This Row],[UNIT S/ IP + DIF ICMS]]*MateriaisCampo[[#This Row],[IPI %]])</f>
        <v>0</v>
      </c>
      <c r="AB31" s="448">
        <f>_xlfn.XLOOKUP(MateriaisCampo[[#This Row],[FATURAMENTO]],BASE!$U$48:$U$50,BASE!$W$48:$W$50,0,0,1)</f>
        <v>0.79709863947533133</v>
      </c>
      <c r="AC31" s="510" t="str">
        <f>RESUMO!$E$56</f>
        <v>SIM</v>
      </c>
      <c r="AD31" s="449" t="str">
        <f>RESUMO!$E$57</f>
        <v>SIM</v>
      </c>
      <c r="AE3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1" s="450">
        <f>MateriaisCampo[[#This Row],[UNIT CRED]]*MateriaisCampo[[#This Row],[QUANTIDADE]]</f>
        <v>0</v>
      </c>
      <c r="AG31" s="451">
        <f>MateriaisCampo[[#This Row],[TOT CRED]]</f>
        <v>0</v>
      </c>
      <c r="AH31" s="452">
        <f>IF(MateriaisCampo[[#This Row],[QUANTIDADE]]&lt;&gt;0,((MateriaisCampo[[#This Row],[TOT CUSTO]]/MateriaisCampo[[#This Row],[QUANTIDADE]])/MateriaisCampo[[#This Row],[MARK-UP]]),0)</f>
        <v>0</v>
      </c>
      <c r="AI31" s="453">
        <f>MateriaisCampo[[#This Row],[UNIT VENDA]]*MateriaisCampo[[#This Row],[QUANTIDADE]]</f>
        <v>0</v>
      </c>
      <c r="AJ31" s="453">
        <f>IFERROR(MateriaisCampo[[#This Row],[VENDA]]*(RESUMO!$F$55/RESUMO!$F$45),0)</f>
        <v>0</v>
      </c>
      <c r="AK31" s="453">
        <f>IFERROR(MateriaisCampo[[#This Row],[VENDA]]*(RESUMO!$F$58/RESUMO!$F$45),0)</f>
        <v>0</v>
      </c>
      <c r="AL31" s="454">
        <f>IF(MateriaisCampo[[#This Row],[FATURAMENTO]]="NORMAL",MateriaisCampo[[#This Row],[VENDA]],0)</f>
        <v>0</v>
      </c>
      <c r="AP31" s="455" t="s">
        <v>776</v>
      </c>
      <c r="AQ31" s="456">
        <v>6674.0170179670458</v>
      </c>
      <c r="AR31" s="457">
        <v>6674.0170179670458</v>
      </c>
    </row>
    <row r="32" spans="1:49" ht="23" x14ac:dyDescent="0.35">
      <c r="A32" s="113" t="s">
        <v>552</v>
      </c>
      <c r="B32" s="113" t="s">
        <v>554</v>
      </c>
      <c r="C32" s="113" t="s">
        <v>577</v>
      </c>
      <c r="D32" s="113" t="s">
        <v>587</v>
      </c>
      <c r="E32" s="434"/>
      <c r="F32" s="434">
        <f t="shared" si="0"/>
        <v>0</v>
      </c>
      <c r="G32" s="113"/>
      <c r="H32" s="435" t="s">
        <v>551</v>
      </c>
      <c r="I32" s="436"/>
      <c r="J32" s="437"/>
      <c r="K32" s="438"/>
      <c r="L32" s="438"/>
      <c r="M32" s="458"/>
      <c r="N32" s="440">
        <f>MateriaisCampo[[#This Row],[UNIT S/IPI S/DESC]]-MateriaisCampo[[#This Row],[UNIT S/IPI S/DESC]]*MateriaisCampo[[#This Row],[% DESC]]</f>
        <v>0</v>
      </c>
      <c r="O32" s="441" t="s">
        <v>295</v>
      </c>
      <c r="P32" s="442" t="s">
        <v>155</v>
      </c>
      <c r="Q32" s="438">
        <v>1.6500000000000001E-2</v>
      </c>
      <c r="R32" s="438">
        <v>7.5999999999999998E-2</v>
      </c>
      <c r="S32" s="443">
        <f>MateriaisCampo[[#This Row],[UNIT S/ IP + DIF ICMS]]*MateriaisCampo[[#This Row],[QUANTIDADE]]</f>
        <v>0</v>
      </c>
      <c r="T32" s="444">
        <f>MateriaisCampo[[#This Row],[TOTAL S/ IPI]]+(MateriaisCampo[[#This Row],[TOTAL S/ IPI]]*MateriaisCampo[[#This Row],[IPI %]])</f>
        <v>0</v>
      </c>
      <c r="U32" s="445">
        <f>IF(AND(MateriaisCampo[[#This Row],[ICMS %]]&lt;&gt;18%,MateriaisCampo[[#This Row],[ORIGEM]]&lt;&gt;"SÃO PAULO"),((18%-MateriaisCampo[[#This Row],[ICMS %]])*MateriaisCampo[[#This Row],[UNIT S/ IPI C/DESC]]),0)</f>
        <v>0</v>
      </c>
      <c r="V32" s="437">
        <f>MateriaisCampo[[#This Row],[UNIT S/ IPI C/DESC]]*MateriaisCampo[[#This Row],[ICMS %]]</f>
        <v>0</v>
      </c>
      <c r="W32" s="437">
        <f>MateriaisCampo[[#This Row],[ICMS $]]*MateriaisCampo[[#This Row],[QUANTIDADE]]</f>
        <v>0</v>
      </c>
      <c r="X32" s="446">
        <f>MateriaisCampo[[#This Row],[UNIT S/ IPI C/DESC]]+MateriaisCampo[[#This Row],[DIFERENCIAL ICMS]]</f>
        <v>0</v>
      </c>
      <c r="Y32" s="446">
        <f>(MateriaisCampo[[#This Row],[PIS]]*MateriaisCampo[[#This Row],[UNIT S/ IPI C/DESC]])/2</f>
        <v>0</v>
      </c>
      <c r="Z32" s="446">
        <f>(MateriaisCampo[[#This Row],[COFINS]]*MateriaisCampo[[#This Row],[UNIT S/ IPI C/DESC]])/2</f>
        <v>0</v>
      </c>
      <c r="AA32" s="445">
        <f>MateriaisCampo[[#This Row],[UNIT S/ IP + DIF ICMS]]+(MateriaisCampo[[#This Row],[UNIT S/ IP + DIF ICMS]]*MateriaisCampo[[#This Row],[IPI %]])</f>
        <v>0</v>
      </c>
      <c r="AB32" s="448">
        <f>_xlfn.XLOOKUP(MateriaisCampo[[#This Row],[FATURAMENTO]],BASE!$U$48:$U$50,BASE!$W$48:$W$50,0,0,1)</f>
        <v>0.79709863947533133</v>
      </c>
      <c r="AC32" s="510" t="str">
        <f>RESUMO!$E$56</f>
        <v>SIM</v>
      </c>
      <c r="AD32" s="449" t="str">
        <f>RESUMO!$E$57</f>
        <v>SIM</v>
      </c>
      <c r="AE3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2" s="450">
        <f>MateriaisCampo[[#This Row],[UNIT CRED]]*MateriaisCampo[[#This Row],[QUANTIDADE]]</f>
        <v>0</v>
      </c>
      <c r="AG32" s="451">
        <f>MateriaisCampo[[#This Row],[TOT CRED]]</f>
        <v>0</v>
      </c>
      <c r="AH32" s="452">
        <f>IF(MateriaisCampo[[#This Row],[QUANTIDADE]]&lt;&gt;0,((MateriaisCampo[[#This Row],[TOT CUSTO]]/MateriaisCampo[[#This Row],[QUANTIDADE]])/MateriaisCampo[[#This Row],[MARK-UP]]),0)</f>
        <v>0</v>
      </c>
      <c r="AI32" s="453">
        <f>MateriaisCampo[[#This Row],[UNIT VENDA]]*MateriaisCampo[[#This Row],[QUANTIDADE]]</f>
        <v>0</v>
      </c>
      <c r="AJ32" s="453">
        <f>IFERROR(MateriaisCampo[[#This Row],[VENDA]]*(RESUMO!$F$55/RESUMO!$F$45),0)</f>
        <v>0</v>
      </c>
      <c r="AK32" s="453">
        <f>IFERROR(MateriaisCampo[[#This Row],[VENDA]]*(RESUMO!$F$58/RESUMO!$F$45),0)</f>
        <v>0</v>
      </c>
      <c r="AL32" s="454">
        <f>IF(MateriaisCampo[[#This Row],[FATURAMENTO]]="NORMAL",MateriaisCampo[[#This Row],[VENDA]],0)</f>
        <v>0</v>
      </c>
      <c r="AP32" s="455" t="s">
        <v>360</v>
      </c>
      <c r="AQ32" s="456">
        <v>0</v>
      </c>
      <c r="AR32" s="457">
        <v>0</v>
      </c>
    </row>
    <row r="33" spans="1:44" ht="23" x14ac:dyDescent="0.35">
      <c r="A33" s="113" t="s">
        <v>552</v>
      </c>
      <c r="B33" s="113" t="s">
        <v>554</v>
      </c>
      <c r="C33" s="113" t="s">
        <v>578</v>
      </c>
      <c r="D33" s="113" t="s">
        <v>587</v>
      </c>
      <c r="E33" s="434"/>
      <c r="F33" s="434">
        <f t="shared" si="0"/>
        <v>0</v>
      </c>
      <c r="G33" s="113"/>
      <c r="H33" s="435" t="s">
        <v>551</v>
      </c>
      <c r="I33" s="436"/>
      <c r="J33" s="437"/>
      <c r="K33" s="438"/>
      <c r="L33" s="438"/>
      <c r="M33" s="458"/>
      <c r="N33" s="440">
        <f>MateriaisCampo[[#This Row],[UNIT S/IPI S/DESC]]-MateriaisCampo[[#This Row],[UNIT S/IPI S/DESC]]*MateriaisCampo[[#This Row],[% DESC]]</f>
        <v>0</v>
      </c>
      <c r="O33" s="441" t="s">
        <v>295</v>
      </c>
      <c r="P33" s="442" t="s">
        <v>155</v>
      </c>
      <c r="Q33" s="438">
        <v>1.6500000000000001E-2</v>
      </c>
      <c r="R33" s="438">
        <v>7.5999999999999998E-2</v>
      </c>
      <c r="S33" s="443">
        <f>MateriaisCampo[[#This Row],[UNIT S/ IP + DIF ICMS]]*MateriaisCampo[[#This Row],[QUANTIDADE]]</f>
        <v>0</v>
      </c>
      <c r="T33" s="444">
        <f>MateriaisCampo[[#This Row],[TOTAL S/ IPI]]+(MateriaisCampo[[#This Row],[TOTAL S/ IPI]]*MateriaisCampo[[#This Row],[IPI %]])</f>
        <v>0</v>
      </c>
      <c r="U33" s="445">
        <f>IF(AND(MateriaisCampo[[#This Row],[ICMS %]]&lt;&gt;18%,MateriaisCampo[[#This Row],[ORIGEM]]&lt;&gt;"SÃO PAULO"),((18%-MateriaisCampo[[#This Row],[ICMS %]])*MateriaisCampo[[#This Row],[UNIT S/ IPI C/DESC]]),0)</f>
        <v>0</v>
      </c>
      <c r="V33" s="437">
        <f>MateriaisCampo[[#This Row],[UNIT S/ IPI C/DESC]]*MateriaisCampo[[#This Row],[ICMS %]]</f>
        <v>0</v>
      </c>
      <c r="W33" s="437">
        <f>MateriaisCampo[[#This Row],[ICMS $]]*MateriaisCampo[[#This Row],[QUANTIDADE]]</f>
        <v>0</v>
      </c>
      <c r="X33" s="446">
        <f>MateriaisCampo[[#This Row],[UNIT S/ IPI C/DESC]]+MateriaisCampo[[#This Row],[DIFERENCIAL ICMS]]</f>
        <v>0</v>
      </c>
      <c r="Y33" s="446">
        <f>(MateriaisCampo[[#This Row],[PIS]]*MateriaisCampo[[#This Row],[UNIT S/ IPI C/DESC]])/2</f>
        <v>0</v>
      </c>
      <c r="Z33" s="446">
        <f>(MateriaisCampo[[#This Row],[COFINS]]*MateriaisCampo[[#This Row],[UNIT S/ IPI C/DESC]])/2</f>
        <v>0</v>
      </c>
      <c r="AA33" s="445">
        <f>MateriaisCampo[[#This Row],[UNIT S/ IP + DIF ICMS]]+(MateriaisCampo[[#This Row],[UNIT S/ IP + DIF ICMS]]*MateriaisCampo[[#This Row],[IPI %]])</f>
        <v>0</v>
      </c>
      <c r="AB33" s="448">
        <f>_xlfn.XLOOKUP(MateriaisCampo[[#This Row],[FATURAMENTO]],BASE!$U$48:$U$50,BASE!$W$48:$W$50,0,0,1)</f>
        <v>0.79709863947533133</v>
      </c>
      <c r="AC33" s="510" t="str">
        <f>RESUMO!$E$56</f>
        <v>SIM</v>
      </c>
      <c r="AD33" s="449" t="str">
        <f>RESUMO!$E$57</f>
        <v>SIM</v>
      </c>
      <c r="AE3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3" s="450">
        <f>MateriaisCampo[[#This Row],[UNIT CRED]]*MateriaisCampo[[#This Row],[QUANTIDADE]]</f>
        <v>0</v>
      </c>
      <c r="AG33" s="451">
        <f>MateriaisCampo[[#This Row],[TOT CRED]]</f>
        <v>0</v>
      </c>
      <c r="AH33" s="452">
        <f>IF(MateriaisCampo[[#This Row],[QUANTIDADE]]&lt;&gt;0,((MateriaisCampo[[#This Row],[TOT CUSTO]]/MateriaisCampo[[#This Row],[QUANTIDADE]])/MateriaisCampo[[#This Row],[MARK-UP]]),0)</f>
        <v>0</v>
      </c>
      <c r="AI33" s="453">
        <f>MateriaisCampo[[#This Row],[UNIT VENDA]]*MateriaisCampo[[#This Row],[QUANTIDADE]]</f>
        <v>0</v>
      </c>
      <c r="AJ33" s="453">
        <f>IFERROR(MateriaisCampo[[#This Row],[VENDA]]*(RESUMO!$F$55/RESUMO!$F$45),0)</f>
        <v>0</v>
      </c>
      <c r="AK33" s="453">
        <f>IFERROR(MateriaisCampo[[#This Row],[VENDA]]*(RESUMO!$F$58/RESUMO!$F$45),0)</f>
        <v>0</v>
      </c>
      <c r="AL33" s="454">
        <f>IF(MateriaisCampo[[#This Row],[FATURAMENTO]]="NORMAL",MateriaisCampo[[#This Row],[VENDA]],0)</f>
        <v>0</v>
      </c>
      <c r="AP33" s="455" t="s">
        <v>779</v>
      </c>
      <c r="AQ33" s="456">
        <v>57103.411586567279</v>
      </c>
      <c r="AR33" s="457">
        <v>57103.411586567279</v>
      </c>
    </row>
    <row r="34" spans="1:44" ht="23" x14ac:dyDescent="0.35">
      <c r="A34" s="113" t="s">
        <v>552</v>
      </c>
      <c r="B34" s="113" t="s">
        <v>554</v>
      </c>
      <c r="C34" s="113" t="s">
        <v>579</v>
      </c>
      <c r="D34" s="113" t="s">
        <v>587</v>
      </c>
      <c r="E34" s="434"/>
      <c r="F34" s="434">
        <f t="shared" si="0"/>
        <v>0</v>
      </c>
      <c r="G34" s="113"/>
      <c r="H34" s="435" t="s">
        <v>551</v>
      </c>
      <c r="I34" s="436"/>
      <c r="J34" s="437"/>
      <c r="K34" s="438"/>
      <c r="L34" s="438"/>
      <c r="M34" s="458"/>
      <c r="N34" s="440">
        <f>MateriaisCampo[[#This Row],[UNIT S/IPI S/DESC]]-MateriaisCampo[[#This Row],[UNIT S/IPI S/DESC]]*MateriaisCampo[[#This Row],[% DESC]]</f>
        <v>0</v>
      </c>
      <c r="O34" s="441" t="s">
        <v>295</v>
      </c>
      <c r="P34" s="442" t="s">
        <v>155</v>
      </c>
      <c r="Q34" s="438">
        <v>1.6500000000000001E-2</v>
      </c>
      <c r="R34" s="438">
        <v>7.5999999999999998E-2</v>
      </c>
      <c r="S34" s="443">
        <f>MateriaisCampo[[#This Row],[UNIT S/ IP + DIF ICMS]]*MateriaisCampo[[#This Row],[QUANTIDADE]]</f>
        <v>0</v>
      </c>
      <c r="T34" s="444">
        <f>MateriaisCampo[[#This Row],[TOTAL S/ IPI]]+(MateriaisCampo[[#This Row],[TOTAL S/ IPI]]*MateriaisCampo[[#This Row],[IPI %]])</f>
        <v>0</v>
      </c>
      <c r="U34" s="445">
        <f>IF(AND(MateriaisCampo[[#This Row],[ICMS %]]&lt;&gt;18%,MateriaisCampo[[#This Row],[ORIGEM]]&lt;&gt;"SÃO PAULO"),((18%-MateriaisCampo[[#This Row],[ICMS %]])*MateriaisCampo[[#This Row],[UNIT S/ IPI C/DESC]]),0)</f>
        <v>0</v>
      </c>
      <c r="V34" s="437">
        <f>MateriaisCampo[[#This Row],[UNIT S/ IPI C/DESC]]*MateriaisCampo[[#This Row],[ICMS %]]</f>
        <v>0</v>
      </c>
      <c r="W34" s="437">
        <f>MateriaisCampo[[#This Row],[ICMS $]]*MateriaisCampo[[#This Row],[QUANTIDADE]]</f>
        <v>0</v>
      </c>
      <c r="X34" s="446">
        <f>MateriaisCampo[[#This Row],[UNIT S/ IPI C/DESC]]+MateriaisCampo[[#This Row],[DIFERENCIAL ICMS]]</f>
        <v>0</v>
      </c>
      <c r="Y34" s="446">
        <f>(MateriaisCampo[[#This Row],[PIS]]*MateriaisCampo[[#This Row],[UNIT S/ IPI C/DESC]])/2</f>
        <v>0</v>
      </c>
      <c r="Z34" s="446">
        <f>(MateriaisCampo[[#This Row],[COFINS]]*MateriaisCampo[[#This Row],[UNIT S/ IPI C/DESC]])/2</f>
        <v>0</v>
      </c>
      <c r="AA34" s="445">
        <f>MateriaisCampo[[#This Row],[UNIT S/ IP + DIF ICMS]]+(MateriaisCampo[[#This Row],[UNIT S/ IP + DIF ICMS]]*MateriaisCampo[[#This Row],[IPI %]])</f>
        <v>0</v>
      </c>
      <c r="AB34" s="448">
        <f>_xlfn.XLOOKUP(MateriaisCampo[[#This Row],[FATURAMENTO]],BASE!$U$48:$U$50,BASE!$W$48:$W$50,0,0,1)</f>
        <v>0.79709863947533133</v>
      </c>
      <c r="AC34" s="510" t="str">
        <f>RESUMO!$E$56</f>
        <v>SIM</v>
      </c>
      <c r="AD34" s="449" t="str">
        <f>RESUMO!$E$57</f>
        <v>SIM</v>
      </c>
      <c r="AE3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4" s="450">
        <f>MateriaisCampo[[#This Row],[UNIT CRED]]*MateriaisCampo[[#This Row],[QUANTIDADE]]</f>
        <v>0</v>
      </c>
      <c r="AG34" s="451">
        <f>MateriaisCampo[[#This Row],[TOT CRED]]</f>
        <v>0</v>
      </c>
      <c r="AH34" s="452">
        <f>IF(MateriaisCampo[[#This Row],[QUANTIDADE]]&lt;&gt;0,((MateriaisCampo[[#This Row],[TOT CUSTO]]/MateriaisCampo[[#This Row],[QUANTIDADE]])/MateriaisCampo[[#This Row],[MARK-UP]]),0)</f>
        <v>0</v>
      </c>
      <c r="AI34" s="453">
        <f>MateriaisCampo[[#This Row],[UNIT VENDA]]*MateriaisCampo[[#This Row],[QUANTIDADE]]</f>
        <v>0</v>
      </c>
      <c r="AJ34" s="453">
        <f>IFERROR(MateriaisCampo[[#This Row],[VENDA]]*(RESUMO!$F$55/RESUMO!$F$45),0)</f>
        <v>0</v>
      </c>
      <c r="AK34" s="453">
        <f>IFERROR(MateriaisCampo[[#This Row],[VENDA]]*(RESUMO!$F$58/RESUMO!$F$45),0)</f>
        <v>0</v>
      </c>
      <c r="AL34" s="454">
        <f>IF(MateriaisCampo[[#This Row],[FATURAMENTO]]="NORMAL",MateriaisCampo[[#This Row],[VENDA]],0)</f>
        <v>0</v>
      </c>
      <c r="AP34" s="455" t="s">
        <v>792</v>
      </c>
      <c r="AQ34" s="456">
        <v>16129.499836494257</v>
      </c>
      <c r="AR34" s="457">
        <v>16129.499836494257</v>
      </c>
    </row>
    <row r="35" spans="1:44" ht="23" x14ac:dyDescent="0.35">
      <c r="A35" s="113" t="s">
        <v>552</v>
      </c>
      <c r="B35" s="113" t="s">
        <v>554</v>
      </c>
      <c r="C35" s="113" t="s">
        <v>580</v>
      </c>
      <c r="D35" s="113" t="s">
        <v>587</v>
      </c>
      <c r="E35" s="434"/>
      <c r="F35" s="434">
        <f t="shared" si="0"/>
        <v>0</v>
      </c>
      <c r="G35" s="113"/>
      <c r="H35" s="435" t="s">
        <v>551</v>
      </c>
      <c r="I35" s="436"/>
      <c r="J35" s="437"/>
      <c r="K35" s="438"/>
      <c r="L35" s="438"/>
      <c r="M35" s="458"/>
      <c r="N35" s="440">
        <f>MateriaisCampo[[#This Row],[UNIT S/IPI S/DESC]]-MateriaisCampo[[#This Row],[UNIT S/IPI S/DESC]]*MateriaisCampo[[#This Row],[% DESC]]</f>
        <v>0</v>
      </c>
      <c r="O35" s="441" t="s">
        <v>295</v>
      </c>
      <c r="P35" s="442" t="s">
        <v>155</v>
      </c>
      <c r="Q35" s="438">
        <v>1.6500000000000001E-2</v>
      </c>
      <c r="R35" s="438">
        <v>7.5999999999999998E-2</v>
      </c>
      <c r="S35" s="443">
        <f>MateriaisCampo[[#This Row],[UNIT S/ IP + DIF ICMS]]*MateriaisCampo[[#This Row],[QUANTIDADE]]</f>
        <v>0</v>
      </c>
      <c r="T35" s="444">
        <f>MateriaisCampo[[#This Row],[TOTAL S/ IPI]]+(MateriaisCampo[[#This Row],[TOTAL S/ IPI]]*MateriaisCampo[[#This Row],[IPI %]])</f>
        <v>0</v>
      </c>
      <c r="U35" s="445">
        <f>IF(AND(MateriaisCampo[[#This Row],[ICMS %]]&lt;&gt;18%,MateriaisCampo[[#This Row],[ORIGEM]]&lt;&gt;"SÃO PAULO"),((18%-MateriaisCampo[[#This Row],[ICMS %]])*MateriaisCampo[[#This Row],[UNIT S/ IPI C/DESC]]),0)</f>
        <v>0</v>
      </c>
      <c r="V35" s="437">
        <f>MateriaisCampo[[#This Row],[UNIT S/ IPI C/DESC]]*MateriaisCampo[[#This Row],[ICMS %]]</f>
        <v>0</v>
      </c>
      <c r="W35" s="437">
        <f>MateriaisCampo[[#This Row],[ICMS $]]*MateriaisCampo[[#This Row],[QUANTIDADE]]</f>
        <v>0</v>
      </c>
      <c r="X35" s="446">
        <f>MateriaisCampo[[#This Row],[UNIT S/ IPI C/DESC]]+MateriaisCampo[[#This Row],[DIFERENCIAL ICMS]]</f>
        <v>0</v>
      </c>
      <c r="Y35" s="446">
        <f>(MateriaisCampo[[#This Row],[PIS]]*MateriaisCampo[[#This Row],[UNIT S/ IPI C/DESC]])/2</f>
        <v>0</v>
      </c>
      <c r="Z35" s="446">
        <f>(MateriaisCampo[[#This Row],[COFINS]]*MateriaisCampo[[#This Row],[UNIT S/ IPI C/DESC]])/2</f>
        <v>0</v>
      </c>
      <c r="AA35" s="445">
        <f>MateriaisCampo[[#This Row],[UNIT S/ IP + DIF ICMS]]+(MateriaisCampo[[#This Row],[UNIT S/ IP + DIF ICMS]]*MateriaisCampo[[#This Row],[IPI %]])</f>
        <v>0</v>
      </c>
      <c r="AB35" s="448">
        <f>_xlfn.XLOOKUP(MateriaisCampo[[#This Row],[FATURAMENTO]],BASE!$U$48:$U$50,BASE!$W$48:$W$50,0,0,1)</f>
        <v>0.79709863947533133</v>
      </c>
      <c r="AC35" s="510" t="str">
        <f>RESUMO!$E$56</f>
        <v>SIM</v>
      </c>
      <c r="AD35" s="449" t="str">
        <f>RESUMO!$E$57</f>
        <v>SIM</v>
      </c>
      <c r="AE3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5" s="450">
        <f>MateriaisCampo[[#This Row],[UNIT CRED]]*MateriaisCampo[[#This Row],[QUANTIDADE]]</f>
        <v>0</v>
      </c>
      <c r="AG35" s="451">
        <f>MateriaisCampo[[#This Row],[TOT CRED]]</f>
        <v>0</v>
      </c>
      <c r="AH35" s="452">
        <f>IF(MateriaisCampo[[#This Row],[QUANTIDADE]]&lt;&gt;0,((MateriaisCampo[[#This Row],[TOT CUSTO]]/MateriaisCampo[[#This Row],[QUANTIDADE]])/MateriaisCampo[[#This Row],[MARK-UP]]),0)</f>
        <v>0</v>
      </c>
      <c r="AI35" s="453">
        <f>MateriaisCampo[[#This Row],[UNIT VENDA]]*MateriaisCampo[[#This Row],[QUANTIDADE]]</f>
        <v>0</v>
      </c>
      <c r="AJ35" s="453">
        <f>IFERROR(MateriaisCampo[[#This Row],[VENDA]]*(RESUMO!$F$55/RESUMO!$F$45),0)</f>
        <v>0</v>
      </c>
      <c r="AK35" s="453">
        <f>IFERROR(MateriaisCampo[[#This Row],[VENDA]]*(RESUMO!$F$58/RESUMO!$F$45),0)</f>
        <v>0</v>
      </c>
      <c r="AL35" s="454">
        <f>IF(MateriaisCampo[[#This Row],[FATURAMENTO]]="NORMAL",MateriaisCampo[[#This Row],[VENDA]],0)</f>
        <v>0</v>
      </c>
      <c r="AP35" s="455" t="s">
        <v>778</v>
      </c>
      <c r="AQ35" s="456">
        <v>3476.0505301911699</v>
      </c>
      <c r="AR35" s="457">
        <v>3476.0505301911699</v>
      </c>
    </row>
    <row r="36" spans="1:44" ht="23" x14ac:dyDescent="0.35">
      <c r="A36" s="113" t="s">
        <v>552</v>
      </c>
      <c r="B36" s="113" t="s">
        <v>554</v>
      </c>
      <c r="C36" s="113" t="s">
        <v>581</v>
      </c>
      <c r="D36" s="113" t="s">
        <v>587</v>
      </c>
      <c r="E36" s="434"/>
      <c r="F36" s="434">
        <f t="shared" si="0"/>
        <v>0</v>
      </c>
      <c r="G36" s="113"/>
      <c r="H36" s="435" t="s">
        <v>551</v>
      </c>
      <c r="I36" s="436"/>
      <c r="J36" s="437"/>
      <c r="K36" s="438"/>
      <c r="L36" s="438"/>
      <c r="M36" s="458"/>
      <c r="N36" s="440">
        <f>MateriaisCampo[[#This Row],[UNIT S/IPI S/DESC]]-MateriaisCampo[[#This Row],[UNIT S/IPI S/DESC]]*MateriaisCampo[[#This Row],[% DESC]]</f>
        <v>0</v>
      </c>
      <c r="O36" s="441" t="s">
        <v>295</v>
      </c>
      <c r="P36" s="442" t="s">
        <v>155</v>
      </c>
      <c r="Q36" s="438">
        <v>1.6500000000000001E-2</v>
      </c>
      <c r="R36" s="438">
        <v>7.5999999999999998E-2</v>
      </c>
      <c r="S36" s="443">
        <f>MateriaisCampo[[#This Row],[UNIT S/ IP + DIF ICMS]]*MateriaisCampo[[#This Row],[QUANTIDADE]]</f>
        <v>0</v>
      </c>
      <c r="T36" s="444">
        <f>MateriaisCampo[[#This Row],[TOTAL S/ IPI]]+(MateriaisCampo[[#This Row],[TOTAL S/ IPI]]*MateriaisCampo[[#This Row],[IPI %]])</f>
        <v>0</v>
      </c>
      <c r="U36" s="445">
        <f>IF(AND(MateriaisCampo[[#This Row],[ICMS %]]&lt;&gt;18%,MateriaisCampo[[#This Row],[ORIGEM]]&lt;&gt;"SÃO PAULO"),((18%-MateriaisCampo[[#This Row],[ICMS %]])*MateriaisCampo[[#This Row],[UNIT S/ IPI C/DESC]]),0)</f>
        <v>0</v>
      </c>
      <c r="V36" s="437">
        <f>MateriaisCampo[[#This Row],[UNIT S/ IPI C/DESC]]*MateriaisCampo[[#This Row],[ICMS %]]</f>
        <v>0</v>
      </c>
      <c r="W36" s="437">
        <f>MateriaisCampo[[#This Row],[ICMS $]]*MateriaisCampo[[#This Row],[QUANTIDADE]]</f>
        <v>0</v>
      </c>
      <c r="X36" s="446">
        <f>MateriaisCampo[[#This Row],[UNIT S/ IPI C/DESC]]+MateriaisCampo[[#This Row],[DIFERENCIAL ICMS]]</f>
        <v>0</v>
      </c>
      <c r="Y36" s="446">
        <f>(MateriaisCampo[[#This Row],[PIS]]*MateriaisCampo[[#This Row],[UNIT S/ IPI C/DESC]])/2</f>
        <v>0</v>
      </c>
      <c r="Z36" s="446">
        <f>(MateriaisCampo[[#This Row],[COFINS]]*MateriaisCampo[[#This Row],[UNIT S/ IPI C/DESC]])/2</f>
        <v>0</v>
      </c>
      <c r="AA36" s="445">
        <f>MateriaisCampo[[#This Row],[UNIT S/ IP + DIF ICMS]]+(MateriaisCampo[[#This Row],[UNIT S/ IP + DIF ICMS]]*MateriaisCampo[[#This Row],[IPI %]])</f>
        <v>0</v>
      </c>
      <c r="AB36" s="448">
        <f>_xlfn.XLOOKUP(MateriaisCampo[[#This Row],[FATURAMENTO]],BASE!$U$48:$U$50,BASE!$W$48:$W$50,0,0,1)</f>
        <v>0.79709863947533133</v>
      </c>
      <c r="AC36" s="510" t="str">
        <f>RESUMO!$E$56</f>
        <v>SIM</v>
      </c>
      <c r="AD36" s="449" t="str">
        <f>RESUMO!$E$57</f>
        <v>SIM</v>
      </c>
      <c r="AE3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6" s="450">
        <f>MateriaisCampo[[#This Row],[UNIT CRED]]*MateriaisCampo[[#This Row],[QUANTIDADE]]</f>
        <v>0</v>
      </c>
      <c r="AG36" s="451">
        <f>MateriaisCampo[[#This Row],[TOT CRED]]</f>
        <v>0</v>
      </c>
      <c r="AH36" s="452">
        <f>IF(MateriaisCampo[[#This Row],[QUANTIDADE]]&lt;&gt;0,((MateriaisCampo[[#This Row],[TOT CUSTO]]/MateriaisCampo[[#This Row],[QUANTIDADE]])/MateriaisCampo[[#This Row],[MARK-UP]]),0)</f>
        <v>0</v>
      </c>
      <c r="AI36" s="453">
        <f>MateriaisCampo[[#This Row],[UNIT VENDA]]*MateriaisCampo[[#This Row],[QUANTIDADE]]</f>
        <v>0</v>
      </c>
      <c r="AJ36" s="453">
        <f>IFERROR(MateriaisCampo[[#This Row],[VENDA]]*(RESUMO!$F$55/RESUMO!$F$45),0)</f>
        <v>0</v>
      </c>
      <c r="AK36" s="453">
        <f>IFERROR(MateriaisCampo[[#This Row],[VENDA]]*(RESUMO!$F$58/RESUMO!$F$45),0)</f>
        <v>0</v>
      </c>
      <c r="AL36" s="454">
        <f>IF(MateriaisCampo[[#This Row],[FATURAMENTO]]="NORMAL",MateriaisCampo[[#This Row],[VENDA]],0)</f>
        <v>0</v>
      </c>
      <c r="AP36" s="455" t="s">
        <v>789</v>
      </c>
      <c r="AQ36" s="456">
        <v>37497.861219881852</v>
      </c>
      <c r="AR36" s="457">
        <v>37497.861219881852</v>
      </c>
    </row>
    <row r="37" spans="1:44" ht="23" x14ac:dyDescent="0.35">
      <c r="A37" s="113" t="s">
        <v>552</v>
      </c>
      <c r="B37" s="113" t="s">
        <v>554</v>
      </c>
      <c r="C37" s="113" t="s">
        <v>582</v>
      </c>
      <c r="D37" s="113" t="s">
        <v>587</v>
      </c>
      <c r="E37" s="434"/>
      <c r="F37" s="434">
        <f t="shared" si="0"/>
        <v>0</v>
      </c>
      <c r="G37" s="113"/>
      <c r="H37" s="435" t="s">
        <v>551</v>
      </c>
      <c r="I37" s="436"/>
      <c r="J37" s="437"/>
      <c r="K37" s="438"/>
      <c r="L37" s="438"/>
      <c r="M37" s="458"/>
      <c r="N37" s="440">
        <f>MateriaisCampo[[#This Row],[UNIT S/IPI S/DESC]]-MateriaisCampo[[#This Row],[UNIT S/IPI S/DESC]]*MateriaisCampo[[#This Row],[% DESC]]</f>
        <v>0</v>
      </c>
      <c r="O37" s="441" t="s">
        <v>295</v>
      </c>
      <c r="P37" s="442" t="s">
        <v>155</v>
      </c>
      <c r="Q37" s="438">
        <v>1.6500000000000001E-2</v>
      </c>
      <c r="R37" s="438">
        <v>7.5999999999999998E-2</v>
      </c>
      <c r="S37" s="443">
        <f>MateriaisCampo[[#This Row],[UNIT S/ IP + DIF ICMS]]*MateriaisCampo[[#This Row],[QUANTIDADE]]</f>
        <v>0</v>
      </c>
      <c r="T37" s="444">
        <f>MateriaisCampo[[#This Row],[TOTAL S/ IPI]]+(MateriaisCampo[[#This Row],[TOTAL S/ IPI]]*MateriaisCampo[[#This Row],[IPI %]])</f>
        <v>0</v>
      </c>
      <c r="U37" s="445">
        <f>IF(AND(MateriaisCampo[[#This Row],[ICMS %]]&lt;&gt;18%,MateriaisCampo[[#This Row],[ORIGEM]]&lt;&gt;"SÃO PAULO"),((18%-MateriaisCampo[[#This Row],[ICMS %]])*MateriaisCampo[[#This Row],[UNIT S/ IPI C/DESC]]),0)</f>
        <v>0</v>
      </c>
      <c r="V37" s="437">
        <f>MateriaisCampo[[#This Row],[UNIT S/ IPI C/DESC]]*MateriaisCampo[[#This Row],[ICMS %]]</f>
        <v>0</v>
      </c>
      <c r="W37" s="437">
        <f>MateriaisCampo[[#This Row],[ICMS $]]*MateriaisCampo[[#This Row],[QUANTIDADE]]</f>
        <v>0</v>
      </c>
      <c r="X37" s="446">
        <f>MateriaisCampo[[#This Row],[UNIT S/ IPI C/DESC]]+MateriaisCampo[[#This Row],[DIFERENCIAL ICMS]]</f>
        <v>0</v>
      </c>
      <c r="Y37" s="446">
        <f>(MateriaisCampo[[#This Row],[PIS]]*MateriaisCampo[[#This Row],[UNIT S/ IPI C/DESC]])/2</f>
        <v>0</v>
      </c>
      <c r="Z37" s="446">
        <f>(MateriaisCampo[[#This Row],[COFINS]]*MateriaisCampo[[#This Row],[UNIT S/ IPI C/DESC]])/2</f>
        <v>0</v>
      </c>
      <c r="AA37" s="445">
        <f>MateriaisCampo[[#This Row],[UNIT S/ IP + DIF ICMS]]+(MateriaisCampo[[#This Row],[UNIT S/ IP + DIF ICMS]]*MateriaisCampo[[#This Row],[IPI %]])</f>
        <v>0</v>
      </c>
      <c r="AB37" s="448">
        <f>_xlfn.XLOOKUP(MateriaisCampo[[#This Row],[FATURAMENTO]],BASE!$U$48:$U$50,BASE!$W$48:$W$50,0,0,1)</f>
        <v>0.79709863947533133</v>
      </c>
      <c r="AC37" s="510" t="str">
        <f>RESUMO!$E$56</f>
        <v>SIM</v>
      </c>
      <c r="AD37" s="449" t="str">
        <f>RESUMO!$E$57</f>
        <v>SIM</v>
      </c>
      <c r="AE3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7" s="450">
        <f>MateriaisCampo[[#This Row],[UNIT CRED]]*MateriaisCampo[[#This Row],[QUANTIDADE]]</f>
        <v>0</v>
      </c>
      <c r="AG37" s="451">
        <f>MateriaisCampo[[#This Row],[TOT CRED]]</f>
        <v>0</v>
      </c>
      <c r="AH37" s="452">
        <f>IF(MateriaisCampo[[#This Row],[QUANTIDADE]]&lt;&gt;0,((MateriaisCampo[[#This Row],[TOT CUSTO]]/MateriaisCampo[[#This Row],[QUANTIDADE]])/MateriaisCampo[[#This Row],[MARK-UP]]),0)</f>
        <v>0</v>
      </c>
      <c r="AI37" s="453">
        <f>MateriaisCampo[[#This Row],[UNIT VENDA]]*MateriaisCampo[[#This Row],[QUANTIDADE]]</f>
        <v>0</v>
      </c>
      <c r="AJ37" s="453">
        <f>IFERROR(MateriaisCampo[[#This Row],[VENDA]]*(RESUMO!$F$55/RESUMO!$F$45),0)</f>
        <v>0</v>
      </c>
      <c r="AK37" s="453">
        <f>IFERROR(MateriaisCampo[[#This Row],[VENDA]]*(RESUMO!$F$58/RESUMO!$F$45),0)</f>
        <v>0</v>
      </c>
      <c r="AL37" s="454">
        <f>IF(MateriaisCampo[[#This Row],[FATURAMENTO]]="NORMAL",MateriaisCampo[[#This Row],[VENDA]],0)</f>
        <v>0</v>
      </c>
      <c r="AP37" s="455" t="s">
        <v>360</v>
      </c>
      <c r="AQ37" s="456">
        <v>0</v>
      </c>
      <c r="AR37" s="457">
        <v>0</v>
      </c>
    </row>
    <row r="38" spans="1:44" ht="23" x14ac:dyDescent="0.35">
      <c r="A38" s="113" t="s">
        <v>552</v>
      </c>
      <c r="B38" s="113" t="s">
        <v>554</v>
      </c>
      <c r="C38" s="113" t="s">
        <v>583</v>
      </c>
      <c r="D38" s="113" t="s">
        <v>587</v>
      </c>
      <c r="E38" s="434"/>
      <c r="F38" s="434">
        <f t="shared" si="0"/>
        <v>0</v>
      </c>
      <c r="G38" s="113"/>
      <c r="H38" s="435" t="s">
        <v>551</v>
      </c>
      <c r="I38" s="436"/>
      <c r="J38" s="437"/>
      <c r="K38" s="438"/>
      <c r="L38" s="438"/>
      <c r="M38" s="458"/>
      <c r="N38" s="440">
        <f>MateriaisCampo[[#This Row],[UNIT S/IPI S/DESC]]-MateriaisCampo[[#This Row],[UNIT S/IPI S/DESC]]*MateriaisCampo[[#This Row],[% DESC]]</f>
        <v>0</v>
      </c>
      <c r="O38" s="441" t="s">
        <v>295</v>
      </c>
      <c r="P38" s="442" t="s">
        <v>155</v>
      </c>
      <c r="Q38" s="438">
        <v>1.6500000000000001E-2</v>
      </c>
      <c r="R38" s="438">
        <v>7.5999999999999998E-2</v>
      </c>
      <c r="S38" s="443">
        <f>MateriaisCampo[[#This Row],[UNIT S/ IP + DIF ICMS]]*MateriaisCampo[[#This Row],[QUANTIDADE]]</f>
        <v>0</v>
      </c>
      <c r="T38" s="444">
        <f>MateriaisCampo[[#This Row],[TOTAL S/ IPI]]+(MateriaisCampo[[#This Row],[TOTAL S/ IPI]]*MateriaisCampo[[#This Row],[IPI %]])</f>
        <v>0</v>
      </c>
      <c r="U38" s="445">
        <f>IF(AND(MateriaisCampo[[#This Row],[ICMS %]]&lt;&gt;18%,MateriaisCampo[[#This Row],[ORIGEM]]&lt;&gt;"SÃO PAULO"),((18%-MateriaisCampo[[#This Row],[ICMS %]])*MateriaisCampo[[#This Row],[UNIT S/ IPI C/DESC]]),0)</f>
        <v>0</v>
      </c>
      <c r="V38" s="437">
        <f>MateriaisCampo[[#This Row],[UNIT S/ IPI C/DESC]]*MateriaisCampo[[#This Row],[ICMS %]]</f>
        <v>0</v>
      </c>
      <c r="W38" s="437">
        <f>MateriaisCampo[[#This Row],[ICMS $]]*MateriaisCampo[[#This Row],[QUANTIDADE]]</f>
        <v>0</v>
      </c>
      <c r="X38" s="446">
        <f>MateriaisCampo[[#This Row],[UNIT S/ IPI C/DESC]]+MateriaisCampo[[#This Row],[DIFERENCIAL ICMS]]</f>
        <v>0</v>
      </c>
      <c r="Y38" s="446">
        <f>(MateriaisCampo[[#This Row],[PIS]]*MateriaisCampo[[#This Row],[UNIT S/ IPI C/DESC]])/2</f>
        <v>0</v>
      </c>
      <c r="Z38" s="446">
        <f>(MateriaisCampo[[#This Row],[COFINS]]*MateriaisCampo[[#This Row],[UNIT S/ IPI C/DESC]])/2</f>
        <v>0</v>
      </c>
      <c r="AA38" s="445">
        <f>MateriaisCampo[[#This Row],[UNIT S/ IP + DIF ICMS]]+(MateriaisCampo[[#This Row],[UNIT S/ IP + DIF ICMS]]*MateriaisCampo[[#This Row],[IPI %]])</f>
        <v>0</v>
      </c>
      <c r="AB38" s="448">
        <f>_xlfn.XLOOKUP(MateriaisCampo[[#This Row],[FATURAMENTO]],BASE!$U$48:$U$50,BASE!$W$48:$W$50,0,0,1)</f>
        <v>0.79709863947533133</v>
      </c>
      <c r="AC38" s="510" t="str">
        <f>RESUMO!$E$56</f>
        <v>SIM</v>
      </c>
      <c r="AD38" s="449" t="str">
        <f>RESUMO!$E$57</f>
        <v>SIM</v>
      </c>
      <c r="AE3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8" s="450">
        <f>MateriaisCampo[[#This Row],[UNIT CRED]]*MateriaisCampo[[#This Row],[QUANTIDADE]]</f>
        <v>0</v>
      </c>
      <c r="AG38" s="451">
        <f>MateriaisCampo[[#This Row],[TOT CRED]]</f>
        <v>0</v>
      </c>
      <c r="AH38" s="452">
        <f>IF(MateriaisCampo[[#This Row],[QUANTIDADE]]&lt;&gt;0,((MateriaisCampo[[#This Row],[TOT CUSTO]]/MateriaisCampo[[#This Row],[QUANTIDADE]])/MateriaisCampo[[#This Row],[MARK-UP]]),0)</f>
        <v>0</v>
      </c>
      <c r="AI38" s="453">
        <f>MateriaisCampo[[#This Row],[UNIT VENDA]]*MateriaisCampo[[#This Row],[QUANTIDADE]]</f>
        <v>0</v>
      </c>
      <c r="AJ38" s="453">
        <f>IFERROR(MateriaisCampo[[#This Row],[VENDA]]*(RESUMO!$F$55/RESUMO!$F$45),0)</f>
        <v>0</v>
      </c>
      <c r="AK38" s="453">
        <f>IFERROR(MateriaisCampo[[#This Row],[VENDA]]*(RESUMO!$F$58/RESUMO!$F$45),0)</f>
        <v>0</v>
      </c>
      <c r="AL38" s="454">
        <f>IF(MateriaisCampo[[#This Row],[FATURAMENTO]]="NORMAL",MateriaisCampo[[#This Row],[VENDA]],0)</f>
        <v>0</v>
      </c>
      <c r="AP38" s="455" t="s">
        <v>800</v>
      </c>
      <c r="AQ38" s="456">
        <v>28103.164988137469</v>
      </c>
      <c r="AR38" s="457">
        <v>28103.164988137469</v>
      </c>
    </row>
    <row r="39" spans="1:44" ht="23" x14ac:dyDescent="0.35">
      <c r="A39" s="113" t="s">
        <v>552</v>
      </c>
      <c r="B39" s="113" t="s">
        <v>554</v>
      </c>
      <c r="C39" s="113" t="s">
        <v>584</v>
      </c>
      <c r="D39" s="113" t="s">
        <v>587</v>
      </c>
      <c r="E39" s="434"/>
      <c r="F39" s="434">
        <f t="shared" si="0"/>
        <v>0</v>
      </c>
      <c r="G39" s="113"/>
      <c r="H39" s="435" t="s">
        <v>551</v>
      </c>
      <c r="I39" s="436"/>
      <c r="J39" s="437"/>
      <c r="K39" s="438"/>
      <c r="L39" s="438"/>
      <c r="M39" s="458"/>
      <c r="N39" s="440">
        <f>MateriaisCampo[[#This Row],[UNIT S/IPI S/DESC]]-MateriaisCampo[[#This Row],[UNIT S/IPI S/DESC]]*MateriaisCampo[[#This Row],[% DESC]]</f>
        <v>0</v>
      </c>
      <c r="O39" s="441" t="s">
        <v>295</v>
      </c>
      <c r="P39" s="442" t="s">
        <v>155</v>
      </c>
      <c r="Q39" s="438">
        <v>1.6500000000000001E-2</v>
      </c>
      <c r="R39" s="438">
        <v>7.5999999999999998E-2</v>
      </c>
      <c r="S39" s="443">
        <f>MateriaisCampo[[#This Row],[UNIT S/ IP + DIF ICMS]]*MateriaisCampo[[#This Row],[QUANTIDADE]]</f>
        <v>0</v>
      </c>
      <c r="T39" s="444">
        <f>MateriaisCampo[[#This Row],[TOTAL S/ IPI]]+(MateriaisCampo[[#This Row],[TOTAL S/ IPI]]*MateriaisCampo[[#This Row],[IPI %]])</f>
        <v>0</v>
      </c>
      <c r="U39" s="445">
        <f>IF(AND(MateriaisCampo[[#This Row],[ICMS %]]&lt;&gt;18%,MateriaisCampo[[#This Row],[ORIGEM]]&lt;&gt;"SÃO PAULO"),((18%-MateriaisCampo[[#This Row],[ICMS %]])*MateriaisCampo[[#This Row],[UNIT S/ IPI C/DESC]]),0)</f>
        <v>0</v>
      </c>
      <c r="V39" s="437">
        <f>MateriaisCampo[[#This Row],[UNIT S/ IPI C/DESC]]*MateriaisCampo[[#This Row],[ICMS %]]</f>
        <v>0</v>
      </c>
      <c r="W39" s="437">
        <f>MateriaisCampo[[#This Row],[ICMS $]]*MateriaisCampo[[#This Row],[QUANTIDADE]]</f>
        <v>0</v>
      </c>
      <c r="X39" s="446">
        <f>MateriaisCampo[[#This Row],[UNIT S/ IPI C/DESC]]+MateriaisCampo[[#This Row],[DIFERENCIAL ICMS]]</f>
        <v>0</v>
      </c>
      <c r="Y39" s="446">
        <f>(MateriaisCampo[[#This Row],[PIS]]*MateriaisCampo[[#This Row],[UNIT S/ IPI C/DESC]])/2</f>
        <v>0</v>
      </c>
      <c r="Z39" s="446">
        <f>(MateriaisCampo[[#This Row],[COFINS]]*MateriaisCampo[[#This Row],[UNIT S/ IPI C/DESC]])/2</f>
        <v>0</v>
      </c>
      <c r="AA39" s="445">
        <f>MateriaisCampo[[#This Row],[UNIT S/ IP + DIF ICMS]]+(MateriaisCampo[[#This Row],[UNIT S/ IP + DIF ICMS]]*MateriaisCampo[[#This Row],[IPI %]])</f>
        <v>0</v>
      </c>
      <c r="AB39" s="448">
        <f>_xlfn.XLOOKUP(MateriaisCampo[[#This Row],[FATURAMENTO]],BASE!$U$48:$U$50,BASE!$W$48:$W$50,0,0,1)</f>
        <v>0.79709863947533133</v>
      </c>
      <c r="AC39" s="510" t="str">
        <f>RESUMO!$E$56</f>
        <v>SIM</v>
      </c>
      <c r="AD39" s="449" t="str">
        <f>RESUMO!$E$57</f>
        <v>SIM</v>
      </c>
      <c r="AE3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39" s="450">
        <f>MateriaisCampo[[#This Row],[UNIT CRED]]*MateriaisCampo[[#This Row],[QUANTIDADE]]</f>
        <v>0</v>
      </c>
      <c r="AG39" s="451">
        <f>MateriaisCampo[[#This Row],[TOT CRED]]</f>
        <v>0</v>
      </c>
      <c r="AH39" s="452">
        <f>IF(MateriaisCampo[[#This Row],[QUANTIDADE]]&lt;&gt;0,((MateriaisCampo[[#This Row],[TOT CUSTO]]/MateriaisCampo[[#This Row],[QUANTIDADE]])/MateriaisCampo[[#This Row],[MARK-UP]]),0)</f>
        <v>0</v>
      </c>
      <c r="AI39" s="453">
        <f>MateriaisCampo[[#This Row],[UNIT VENDA]]*MateriaisCampo[[#This Row],[QUANTIDADE]]</f>
        <v>0</v>
      </c>
      <c r="AJ39" s="453">
        <f>IFERROR(MateriaisCampo[[#This Row],[VENDA]]*(RESUMO!$F$55/RESUMO!$F$45),0)</f>
        <v>0</v>
      </c>
      <c r="AK39" s="453">
        <f>IFERROR(MateriaisCampo[[#This Row],[VENDA]]*(RESUMO!$F$58/RESUMO!$F$45),0)</f>
        <v>0</v>
      </c>
      <c r="AL39" s="454">
        <f>IF(MateriaisCampo[[#This Row],[FATURAMENTO]]="NORMAL",MateriaisCampo[[#This Row],[VENDA]],0)</f>
        <v>0</v>
      </c>
      <c r="AP39" s="455" t="s">
        <v>804</v>
      </c>
      <c r="AQ39" s="456">
        <v>18286.006147428448</v>
      </c>
      <c r="AR39" s="457">
        <v>18286.006147428448</v>
      </c>
    </row>
    <row r="40" spans="1:44" ht="23" x14ac:dyDescent="0.35">
      <c r="A40" s="113" t="s">
        <v>552</v>
      </c>
      <c r="B40" s="113" t="s">
        <v>554</v>
      </c>
      <c r="C40" s="113" t="s">
        <v>585</v>
      </c>
      <c r="D40" s="113" t="s">
        <v>587</v>
      </c>
      <c r="E40" s="434"/>
      <c r="F40" s="434">
        <f t="shared" si="0"/>
        <v>0</v>
      </c>
      <c r="G40" s="113"/>
      <c r="H40" s="435" t="s">
        <v>551</v>
      </c>
      <c r="I40" s="436"/>
      <c r="J40" s="437"/>
      <c r="K40" s="438"/>
      <c r="L40" s="438"/>
      <c r="M40" s="458"/>
      <c r="N40" s="440">
        <f>MateriaisCampo[[#This Row],[UNIT S/IPI S/DESC]]-MateriaisCampo[[#This Row],[UNIT S/IPI S/DESC]]*MateriaisCampo[[#This Row],[% DESC]]</f>
        <v>0</v>
      </c>
      <c r="O40" s="441" t="s">
        <v>295</v>
      </c>
      <c r="P40" s="442" t="s">
        <v>155</v>
      </c>
      <c r="Q40" s="438">
        <v>1.6500000000000001E-2</v>
      </c>
      <c r="R40" s="438">
        <v>7.5999999999999998E-2</v>
      </c>
      <c r="S40" s="443">
        <f>MateriaisCampo[[#This Row],[UNIT S/ IP + DIF ICMS]]*MateriaisCampo[[#This Row],[QUANTIDADE]]</f>
        <v>0</v>
      </c>
      <c r="T40" s="444">
        <f>MateriaisCampo[[#This Row],[TOTAL S/ IPI]]+(MateriaisCampo[[#This Row],[TOTAL S/ IPI]]*MateriaisCampo[[#This Row],[IPI %]])</f>
        <v>0</v>
      </c>
      <c r="U40" s="445">
        <f>IF(AND(MateriaisCampo[[#This Row],[ICMS %]]&lt;&gt;18%,MateriaisCampo[[#This Row],[ORIGEM]]&lt;&gt;"SÃO PAULO"),((18%-MateriaisCampo[[#This Row],[ICMS %]])*MateriaisCampo[[#This Row],[UNIT S/ IPI C/DESC]]),0)</f>
        <v>0</v>
      </c>
      <c r="V40" s="437">
        <f>MateriaisCampo[[#This Row],[UNIT S/ IPI C/DESC]]*MateriaisCampo[[#This Row],[ICMS %]]</f>
        <v>0</v>
      </c>
      <c r="W40" s="437">
        <f>MateriaisCampo[[#This Row],[ICMS $]]*MateriaisCampo[[#This Row],[QUANTIDADE]]</f>
        <v>0</v>
      </c>
      <c r="X40" s="446">
        <f>MateriaisCampo[[#This Row],[UNIT S/ IPI C/DESC]]+MateriaisCampo[[#This Row],[DIFERENCIAL ICMS]]</f>
        <v>0</v>
      </c>
      <c r="Y40" s="446">
        <f>(MateriaisCampo[[#This Row],[PIS]]*MateriaisCampo[[#This Row],[UNIT S/ IPI C/DESC]])/2</f>
        <v>0</v>
      </c>
      <c r="Z40" s="446">
        <f>(MateriaisCampo[[#This Row],[COFINS]]*MateriaisCampo[[#This Row],[UNIT S/ IPI C/DESC]])/2</f>
        <v>0</v>
      </c>
      <c r="AA40" s="445">
        <f>MateriaisCampo[[#This Row],[UNIT S/ IP + DIF ICMS]]+(MateriaisCampo[[#This Row],[UNIT S/ IP + DIF ICMS]]*MateriaisCampo[[#This Row],[IPI %]])</f>
        <v>0</v>
      </c>
      <c r="AB40" s="448">
        <f>_xlfn.XLOOKUP(MateriaisCampo[[#This Row],[FATURAMENTO]],BASE!$U$48:$U$50,BASE!$W$48:$W$50,0,0,1)</f>
        <v>0.79709863947533133</v>
      </c>
      <c r="AC40" s="510" t="str">
        <f>RESUMO!$E$56</f>
        <v>SIM</v>
      </c>
      <c r="AD40" s="449" t="str">
        <f>RESUMO!$E$57</f>
        <v>SIM</v>
      </c>
      <c r="AE4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0" s="450">
        <f>MateriaisCampo[[#This Row],[UNIT CRED]]*MateriaisCampo[[#This Row],[QUANTIDADE]]</f>
        <v>0</v>
      </c>
      <c r="AG40" s="451">
        <f>MateriaisCampo[[#This Row],[TOT CRED]]</f>
        <v>0</v>
      </c>
      <c r="AH40" s="452">
        <f>IF(MateriaisCampo[[#This Row],[QUANTIDADE]]&lt;&gt;0,((MateriaisCampo[[#This Row],[TOT CUSTO]]/MateriaisCampo[[#This Row],[QUANTIDADE]])/MateriaisCampo[[#This Row],[MARK-UP]]),0)</f>
        <v>0</v>
      </c>
      <c r="AI40" s="453">
        <f>MateriaisCampo[[#This Row],[UNIT VENDA]]*MateriaisCampo[[#This Row],[QUANTIDADE]]</f>
        <v>0</v>
      </c>
      <c r="AJ40" s="453">
        <f>IFERROR(MateriaisCampo[[#This Row],[VENDA]]*(RESUMO!$F$55/RESUMO!$F$45),0)</f>
        <v>0</v>
      </c>
      <c r="AK40" s="453">
        <f>IFERROR(MateriaisCampo[[#This Row],[VENDA]]*(RESUMO!$F$58/RESUMO!$F$45),0)</f>
        <v>0</v>
      </c>
      <c r="AL40" s="454">
        <f>IF(MateriaisCampo[[#This Row],[FATURAMENTO]]="NORMAL",MateriaisCampo[[#This Row],[VENDA]],0)</f>
        <v>0</v>
      </c>
      <c r="AP40" s="455" t="s">
        <v>800</v>
      </c>
      <c r="AQ40" s="456">
        <v>3337.0085089835229</v>
      </c>
      <c r="AR40" s="457">
        <v>3337.0085089835229</v>
      </c>
    </row>
    <row r="41" spans="1:44" ht="23" x14ac:dyDescent="0.35">
      <c r="A41" s="113" t="s">
        <v>552</v>
      </c>
      <c r="B41" s="113" t="s">
        <v>554</v>
      </c>
      <c r="C41" s="113" t="s">
        <v>586</v>
      </c>
      <c r="D41" s="113" t="s">
        <v>587</v>
      </c>
      <c r="E41" s="434"/>
      <c r="F41" s="434">
        <f t="shared" si="0"/>
        <v>0</v>
      </c>
      <c r="G41" s="113"/>
      <c r="H41" s="435" t="s">
        <v>551</v>
      </c>
      <c r="I41" s="436"/>
      <c r="J41" s="437"/>
      <c r="K41" s="438"/>
      <c r="L41" s="438"/>
      <c r="M41" s="458"/>
      <c r="N41" s="440">
        <f>MateriaisCampo[[#This Row],[UNIT S/IPI S/DESC]]-MateriaisCampo[[#This Row],[UNIT S/IPI S/DESC]]*MateriaisCampo[[#This Row],[% DESC]]</f>
        <v>0</v>
      </c>
      <c r="O41" s="441" t="s">
        <v>295</v>
      </c>
      <c r="P41" s="442" t="s">
        <v>155</v>
      </c>
      <c r="Q41" s="438">
        <v>1.6500000000000001E-2</v>
      </c>
      <c r="R41" s="438">
        <v>7.5999999999999998E-2</v>
      </c>
      <c r="S41" s="443">
        <f>MateriaisCampo[[#This Row],[UNIT S/ IP + DIF ICMS]]*MateriaisCampo[[#This Row],[QUANTIDADE]]</f>
        <v>0</v>
      </c>
      <c r="T41" s="444">
        <f>MateriaisCampo[[#This Row],[TOTAL S/ IPI]]+(MateriaisCampo[[#This Row],[TOTAL S/ IPI]]*MateriaisCampo[[#This Row],[IPI %]])</f>
        <v>0</v>
      </c>
      <c r="U41" s="445">
        <f>IF(AND(MateriaisCampo[[#This Row],[ICMS %]]&lt;&gt;18%,MateriaisCampo[[#This Row],[ORIGEM]]&lt;&gt;"SÃO PAULO"),((18%-MateriaisCampo[[#This Row],[ICMS %]])*MateriaisCampo[[#This Row],[UNIT S/ IPI C/DESC]]),0)</f>
        <v>0</v>
      </c>
      <c r="V41" s="437">
        <f>MateriaisCampo[[#This Row],[UNIT S/ IPI C/DESC]]*MateriaisCampo[[#This Row],[ICMS %]]</f>
        <v>0</v>
      </c>
      <c r="W41" s="437">
        <f>MateriaisCampo[[#This Row],[ICMS $]]*MateriaisCampo[[#This Row],[QUANTIDADE]]</f>
        <v>0</v>
      </c>
      <c r="X41" s="446">
        <f>MateriaisCampo[[#This Row],[UNIT S/ IPI C/DESC]]+MateriaisCampo[[#This Row],[DIFERENCIAL ICMS]]</f>
        <v>0</v>
      </c>
      <c r="Y41" s="446">
        <f>(MateriaisCampo[[#This Row],[PIS]]*MateriaisCampo[[#This Row],[UNIT S/ IPI C/DESC]])/2</f>
        <v>0</v>
      </c>
      <c r="Z41" s="446">
        <f>(MateriaisCampo[[#This Row],[COFINS]]*MateriaisCampo[[#This Row],[UNIT S/ IPI C/DESC]])/2</f>
        <v>0</v>
      </c>
      <c r="AA41" s="445">
        <f>MateriaisCampo[[#This Row],[UNIT S/ IP + DIF ICMS]]+(MateriaisCampo[[#This Row],[UNIT S/ IP + DIF ICMS]]*MateriaisCampo[[#This Row],[IPI %]])</f>
        <v>0</v>
      </c>
      <c r="AB41" s="448">
        <f>_xlfn.XLOOKUP(MateriaisCampo[[#This Row],[FATURAMENTO]],BASE!$U$48:$U$50,BASE!$W$48:$W$50,0,0,1)</f>
        <v>0.79709863947533133</v>
      </c>
      <c r="AC41" s="510" t="str">
        <f>RESUMO!$E$56</f>
        <v>SIM</v>
      </c>
      <c r="AD41" s="449" t="str">
        <f>RESUMO!$E$57</f>
        <v>SIM</v>
      </c>
      <c r="AE4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1" s="450">
        <f>MateriaisCampo[[#This Row],[UNIT CRED]]*MateriaisCampo[[#This Row],[QUANTIDADE]]</f>
        <v>0</v>
      </c>
      <c r="AG41" s="451">
        <f>MateriaisCampo[[#This Row],[TOT CRED]]</f>
        <v>0</v>
      </c>
      <c r="AH41" s="452">
        <f>IF(MateriaisCampo[[#This Row],[QUANTIDADE]]&lt;&gt;0,((MateriaisCampo[[#This Row],[TOT CUSTO]]/MateriaisCampo[[#This Row],[QUANTIDADE]])/MateriaisCampo[[#This Row],[MARK-UP]]),0)</f>
        <v>0</v>
      </c>
      <c r="AI41" s="453">
        <f>MateriaisCampo[[#This Row],[UNIT VENDA]]*MateriaisCampo[[#This Row],[QUANTIDADE]]</f>
        <v>0</v>
      </c>
      <c r="AJ41" s="453">
        <f>IFERROR(MateriaisCampo[[#This Row],[VENDA]]*(RESUMO!$F$55/RESUMO!$F$45),0)</f>
        <v>0</v>
      </c>
      <c r="AK41" s="453">
        <f>IFERROR(MateriaisCampo[[#This Row],[VENDA]]*(RESUMO!$F$58/RESUMO!$F$45),0)</f>
        <v>0</v>
      </c>
      <c r="AL41" s="454">
        <f>IF(MateriaisCampo[[#This Row],[FATURAMENTO]]="NORMAL",MateriaisCampo[[#This Row],[VENDA]],0)</f>
        <v>0</v>
      </c>
      <c r="AP41" s="455" t="s">
        <v>803</v>
      </c>
      <c r="AQ41" s="456">
        <v>4571.5015368571121</v>
      </c>
      <c r="AR41" s="457">
        <v>4571.5015368571121</v>
      </c>
    </row>
    <row r="42" spans="1:44" ht="23" x14ac:dyDescent="0.35">
      <c r="A42" s="113" t="s">
        <v>552</v>
      </c>
      <c r="B42" s="113" t="s">
        <v>554</v>
      </c>
      <c r="C42" s="113" t="s">
        <v>562</v>
      </c>
      <c r="D42" s="113" t="s">
        <v>572</v>
      </c>
      <c r="E42" s="434"/>
      <c r="F42" s="434">
        <f t="shared" si="0"/>
        <v>0</v>
      </c>
      <c r="G42" s="113"/>
      <c r="H42" s="435" t="s">
        <v>551</v>
      </c>
      <c r="I42" s="436"/>
      <c r="J42" s="437"/>
      <c r="K42" s="438"/>
      <c r="L42" s="438"/>
      <c r="M42" s="458"/>
      <c r="N42" s="440">
        <f>MateriaisCampo[[#This Row],[UNIT S/IPI S/DESC]]-MateriaisCampo[[#This Row],[UNIT S/IPI S/DESC]]*MateriaisCampo[[#This Row],[% DESC]]</f>
        <v>0</v>
      </c>
      <c r="O42" s="441" t="s">
        <v>295</v>
      </c>
      <c r="P42" s="442" t="s">
        <v>155</v>
      </c>
      <c r="Q42" s="438">
        <v>1.6500000000000001E-2</v>
      </c>
      <c r="R42" s="438">
        <v>7.5999999999999998E-2</v>
      </c>
      <c r="S42" s="443">
        <f>MateriaisCampo[[#This Row],[UNIT S/ IP + DIF ICMS]]*MateriaisCampo[[#This Row],[QUANTIDADE]]</f>
        <v>0</v>
      </c>
      <c r="T42" s="444">
        <f>MateriaisCampo[[#This Row],[TOTAL S/ IPI]]+(MateriaisCampo[[#This Row],[TOTAL S/ IPI]]*MateriaisCampo[[#This Row],[IPI %]])</f>
        <v>0</v>
      </c>
      <c r="U42" s="445">
        <f>IF(AND(MateriaisCampo[[#This Row],[ICMS %]]&lt;&gt;18%,MateriaisCampo[[#This Row],[ORIGEM]]&lt;&gt;"SÃO PAULO"),((18%-MateriaisCampo[[#This Row],[ICMS %]])*MateriaisCampo[[#This Row],[UNIT S/ IPI C/DESC]]),0)</f>
        <v>0</v>
      </c>
      <c r="V42" s="437">
        <f>MateriaisCampo[[#This Row],[UNIT S/ IPI C/DESC]]*MateriaisCampo[[#This Row],[ICMS %]]</f>
        <v>0</v>
      </c>
      <c r="W42" s="437">
        <f>MateriaisCampo[[#This Row],[ICMS $]]*MateriaisCampo[[#This Row],[QUANTIDADE]]</f>
        <v>0</v>
      </c>
      <c r="X42" s="446">
        <f>MateriaisCampo[[#This Row],[UNIT S/ IPI C/DESC]]+MateriaisCampo[[#This Row],[DIFERENCIAL ICMS]]</f>
        <v>0</v>
      </c>
      <c r="Y42" s="446">
        <f>(MateriaisCampo[[#This Row],[PIS]]*MateriaisCampo[[#This Row],[UNIT S/ IPI C/DESC]])/2</f>
        <v>0</v>
      </c>
      <c r="Z42" s="446">
        <f>(MateriaisCampo[[#This Row],[COFINS]]*MateriaisCampo[[#This Row],[UNIT S/ IPI C/DESC]])/2</f>
        <v>0</v>
      </c>
      <c r="AA42" s="445">
        <f>MateriaisCampo[[#This Row],[UNIT S/ IP + DIF ICMS]]+(MateriaisCampo[[#This Row],[UNIT S/ IP + DIF ICMS]]*MateriaisCampo[[#This Row],[IPI %]])</f>
        <v>0</v>
      </c>
      <c r="AB42" s="448">
        <f>_xlfn.XLOOKUP(MateriaisCampo[[#This Row],[FATURAMENTO]],BASE!$U$48:$U$50,BASE!$W$48:$W$50,0,0,1)</f>
        <v>0.79709863947533133</v>
      </c>
      <c r="AC42" s="510" t="str">
        <f>RESUMO!$E$56</f>
        <v>SIM</v>
      </c>
      <c r="AD42" s="449" t="str">
        <f>RESUMO!$E$57</f>
        <v>SIM</v>
      </c>
      <c r="AE4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2" s="450">
        <f>MateriaisCampo[[#This Row],[UNIT CRED]]*MateriaisCampo[[#This Row],[QUANTIDADE]]</f>
        <v>0</v>
      </c>
      <c r="AG42" s="451">
        <f>MateriaisCampo[[#This Row],[TOT CRED]]</f>
        <v>0</v>
      </c>
      <c r="AH42" s="452">
        <f>IF(MateriaisCampo[[#This Row],[QUANTIDADE]]&lt;&gt;0,((MateriaisCampo[[#This Row],[TOT CUSTO]]/MateriaisCampo[[#This Row],[QUANTIDADE]])/MateriaisCampo[[#This Row],[MARK-UP]]),0)</f>
        <v>0</v>
      </c>
      <c r="AI42" s="453">
        <f>MateriaisCampo[[#This Row],[UNIT VENDA]]*MateriaisCampo[[#This Row],[QUANTIDADE]]</f>
        <v>0</v>
      </c>
      <c r="AJ42" s="453">
        <f>IFERROR(MateriaisCampo[[#This Row],[VENDA]]*(RESUMO!$F$55/RESUMO!$F$45),0)</f>
        <v>0</v>
      </c>
      <c r="AK42" s="453">
        <f>IFERROR(MateriaisCampo[[#This Row],[VENDA]]*(RESUMO!$F$58/RESUMO!$F$45),0)</f>
        <v>0</v>
      </c>
      <c r="AL42" s="454">
        <f>IF(MateriaisCampo[[#This Row],[FATURAMENTO]]="NORMAL",MateriaisCampo[[#This Row],[VENDA]],0)</f>
        <v>0</v>
      </c>
      <c r="AP42" s="455" t="s">
        <v>778</v>
      </c>
      <c r="AQ42" s="456">
        <v>1908.6487948683866</v>
      </c>
      <c r="AR42" s="457">
        <v>1908.6487948683866</v>
      </c>
    </row>
    <row r="43" spans="1:44" ht="23" x14ac:dyDescent="0.35">
      <c r="A43" s="113" t="s">
        <v>552</v>
      </c>
      <c r="B43" s="113" t="s">
        <v>554</v>
      </c>
      <c r="C43" s="113" t="s">
        <v>563</v>
      </c>
      <c r="D43" s="113" t="s">
        <v>572</v>
      </c>
      <c r="E43" s="434"/>
      <c r="F43" s="434">
        <f t="shared" si="0"/>
        <v>0</v>
      </c>
      <c r="G43" s="113"/>
      <c r="H43" s="435" t="s">
        <v>551</v>
      </c>
      <c r="I43" s="436">
        <v>255</v>
      </c>
      <c r="J43" s="437"/>
      <c r="K43" s="438"/>
      <c r="L43" s="438"/>
      <c r="M43" s="458"/>
      <c r="N43" s="440">
        <f>MateriaisCampo[[#This Row],[UNIT S/IPI S/DESC]]-MateriaisCampo[[#This Row],[UNIT S/IPI S/DESC]]*MateriaisCampo[[#This Row],[% DESC]]</f>
        <v>0</v>
      </c>
      <c r="O43" s="441" t="s">
        <v>295</v>
      </c>
      <c r="P43" s="442" t="s">
        <v>155</v>
      </c>
      <c r="Q43" s="438">
        <v>1.6500000000000001E-2</v>
      </c>
      <c r="R43" s="438">
        <v>7.5999999999999998E-2</v>
      </c>
      <c r="S43" s="443">
        <f>MateriaisCampo[[#This Row],[UNIT S/ IP + DIF ICMS]]*MateriaisCampo[[#This Row],[QUANTIDADE]]</f>
        <v>0</v>
      </c>
      <c r="T43" s="444">
        <f>MateriaisCampo[[#This Row],[TOTAL S/ IPI]]+(MateriaisCampo[[#This Row],[TOTAL S/ IPI]]*MateriaisCampo[[#This Row],[IPI %]])</f>
        <v>0</v>
      </c>
      <c r="U43" s="445">
        <f>IF(AND(MateriaisCampo[[#This Row],[ICMS %]]&lt;&gt;18%,MateriaisCampo[[#This Row],[ORIGEM]]&lt;&gt;"SÃO PAULO"),((18%-MateriaisCampo[[#This Row],[ICMS %]])*MateriaisCampo[[#This Row],[UNIT S/ IPI C/DESC]]),0)</f>
        <v>0</v>
      </c>
      <c r="V43" s="437">
        <f>MateriaisCampo[[#This Row],[UNIT S/ IPI C/DESC]]*MateriaisCampo[[#This Row],[ICMS %]]</f>
        <v>0</v>
      </c>
      <c r="W43" s="437">
        <f>MateriaisCampo[[#This Row],[ICMS $]]*MateriaisCampo[[#This Row],[QUANTIDADE]]</f>
        <v>0</v>
      </c>
      <c r="X43" s="446">
        <f>MateriaisCampo[[#This Row],[UNIT S/ IPI C/DESC]]+MateriaisCampo[[#This Row],[DIFERENCIAL ICMS]]</f>
        <v>0</v>
      </c>
      <c r="Y43" s="446">
        <f>(MateriaisCampo[[#This Row],[PIS]]*MateriaisCampo[[#This Row],[UNIT S/ IPI C/DESC]])/2</f>
        <v>0</v>
      </c>
      <c r="Z43" s="446">
        <f>(MateriaisCampo[[#This Row],[COFINS]]*MateriaisCampo[[#This Row],[UNIT S/ IPI C/DESC]])/2</f>
        <v>0</v>
      </c>
      <c r="AA43" s="445">
        <f>MateriaisCampo[[#This Row],[UNIT S/ IP + DIF ICMS]]+(MateriaisCampo[[#This Row],[UNIT S/ IP + DIF ICMS]]*MateriaisCampo[[#This Row],[IPI %]])</f>
        <v>0</v>
      </c>
      <c r="AB43" s="448">
        <f>_xlfn.XLOOKUP(MateriaisCampo[[#This Row],[FATURAMENTO]],BASE!$U$48:$U$50,BASE!$W$48:$W$50,0,0,1)</f>
        <v>0.79709863947533133</v>
      </c>
      <c r="AC43" s="510" t="str">
        <f>RESUMO!$E$56</f>
        <v>SIM</v>
      </c>
      <c r="AD43" s="449" t="str">
        <f>RESUMO!$E$57</f>
        <v>SIM</v>
      </c>
      <c r="AE4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3" s="450">
        <f>MateriaisCampo[[#This Row],[UNIT CRED]]*MateriaisCampo[[#This Row],[QUANTIDADE]]</f>
        <v>0</v>
      </c>
      <c r="AG43" s="451">
        <f>MateriaisCampo[[#This Row],[TOT CRED]]</f>
        <v>0</v>
      </c>
      <c r="AH43" s="452">
        <f>IF(MateriaisCampo[[#This Row],[QUANTIDADE]]&lt;&gt;0,((MateriaisCampo[[#This Row],[TOT CUSTO]]/MateriaisCampo[[#This Row],[QUANTIDADE]])/MateriaisCampo[[#This Row],[MARK-UP]]),0)</f>
        <v>0</v>
      </c>
      <c r="AI43" s="453">
        <f>MateriaisCampo[[#This Row],[UNIT VENDA]]*MateriaisCampo[[#This Row],[QUANTIDADE]]</f>
        <v>0</v>
      </c>
      <c r="AJ43" s="453">
        <f>IFERROR(MateriaisCampo[[#This Row],[VENDA]]*(RESUMO!$F$55/RESUMO!$F$45),0)</f>
        <v>0</v>
      </c>
      <c r="AK43" s="453">
        <f>IFERROR(MateriaisCampo[[#This Row],[VENDA]]*(RESUMO!$F$58/RESUMO!$F$45),0)</f>
        <v>0</v>
      </c>
      <c r="AL43" s="454">
        <f>IF(MateriaisCampo[[#This Row],[FATURAMENTO]]="NORMAL",MateriaisCampo[[#This Row],[VENDA]],0)</f>
        <v>0</v>
      </c>
      <c r="AP43" s="455" t="s">
        <v>360</v>
      </c>
      <c r="AQ43" s="456">
        <v>0</v>
      </c>
      <c r="AR43" s="457">
        <v>0</v>
      </c>
    </row>
    <row r="44" spans="1:44" ht="23" x14ac:dyDescent="0.35">
      <c r="A44" s="113" t="s">
        <v>552</v>
      </c>
      <c r="B44" s="113" t="s">
        <v>554</v>
      </c>
      <c r="C44" s="113" t="s">
        <v>564</v>
      </c>
      <c r="D44" s="113" t="s">
        <v>572</v>
      </c>
      <c r="E44" s="434"/>
      <c r="F44" s="434">
        <f t="shared" si="0"/>
        <v>0</v>
      </c>
      <c r="G44" s="113"/>
      <c r="H44" s="435" t="s">
        <v>551</v>
      </c>
      <c r="I44" s="436"/>
      <c r="J44" s="437"/>
      <c r="K44" s="438"/>
      <c r="L44" s="438"/>
      <c r="M44" s="458"/>
      <c r="N44" s="440">
        <f>MateriaisCampo[[#This Row],[UNIT S/IPI S/DESC]]-MateriaisCampo[[#This Row],[UNIT S/IPI S/DESC]]*MateriaisCampo[[#This Row],[% DESC]]</f>
        <v>0</v>
      </c>
      <c r="O44" s="441" t="s">
        <v>295</v>
      </c>
      <c r="P44" s="442" t="s">
        <v>155</v>
      </c>
      <c r="Q44" s="438">
        <v>1.6500000000000001E-2</v>
      </c>
      <c r="R44" s="438">
        <v>7.5999999999999998E-2</v>
      </c>
      <c r="S44" s="443">
        <f>MateriaisCampo[[#This Row],[UNIT S/ IP + DIF ICMS]]*MateriaisCampo[[#This Row],[QUANTIDADE]]</f>
        <v>0</v>
      </c>
      <c r="T44" s="444">
        <f>MateriaisCampo[[#This Row],[TOTAL S/ IPI]]+(MateriaisCampo[[#This Row],[TOTAL S/ IPI]]*MateriaisCampo[[#This Row],[IPI %]])</f>
        <v>0</v>
      </c>
      <c r="U44" s="445">
        <f>IF(AND(MateriaisCampo[[#This Row],[ICMS %]]&lt;&gt;18%,MateriaisCampo[[#This Row],[ORIGEM]]&lt;&gt;"SÃO PAULO"),((18%-MateriaisCampo[[#This Row],[ICMS %]])*MateriaisCampo[[#This Row],[UNIT S/ IPI C/DESC]]),0)</f>
        <v>0</v>
      </c>
      <c r="V44" s="437">
        <f>MateriaisCampo[[#This Row],[UNIT S/ IPI C/DESC]]*MateriaisCampo[[#This Row],[ICMS %]]</f>
        <v>0</v>
      </c>
      <c r="W44" s="437">
        <f>MateriaisCampo[[#This Row],[ICMS $]]*MateriaisCampo[[#This Row],[QUANTIDADE]]</f>
        <v>0</v>
      </c>
      <c r="X44" s="446">
        <f>MateriaisCampo[[#This Row],[UNIT S/ IPI C/DESC]]+MateriaisCampo[[#This Row],[DIFERENCIAL ICMS]]</f>
        <v>0</v>
      </c>
      <c r="Y44" s="446">
        <f>(MateriaisCampo[[#This Row],[PIS]]*MateriaisCampo[[#This Row],[UNIT S/ IPI C/DESC]])/2</f>
        <v>0</v>
      </c>
      <c r="Z44" s="446">
        <f>(MateriaisCampo[[#This Row],[COFINS]]*MateriaisCampo[[#This Row],[UNIT S/ IPI C/DESC]])/2</f>
        <v>0</v>
      </c>
      <c r="AA44" s="445">
        <f>MateriaisCampo[[#This Row],[UNIT S/ IP + DIF ICMS]]+(MateriaisCampo[[#This Row],[UNIT S/ IP + DIF ICMS]]*MateriaisCampo[[#This Row],[IPI %]])</f>
        <v>0</v>
      </c>
      <c r="AB44" s="448">
        <f>_xlfn.XLOOKUP(MateriaisCampo[[#This Row],[FATURAMENTO]],BASE!$U$48:$U$50,BASE!$W$48:$W$50,0,0,1)</f>
        <v>0.79709863947533133</v>
      </c>
      <c r="AC44" s="510" t="str">
        <f>RESUMO!$E$56</f>
        <v>SIM</v>
      </c>
      <c r="AD44" s="449" t="str">
        <f>RESUMO!$E$57</f>
        <v>SIM</v>
      </c>
      <c r="AE4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4" s="450">
        <f>MateriaisCampo[[#This Row],[UNIT CRED]]*MateriaisCampo[[#This Row],[QUANTIDADE]]</f>
        <v>0</v>
      </c>
      <c r="AG44" s="451">
        <f>MateriaisCampo[[#This Row],[TOT CRED]]</f>
        <v>0</v>
      </c>
      <c r="AH44" s="452">
        <f>IF(MateriaisCampo[[#This Row],[QUANTIDADE]]&lt;&gt;0,((MateriaisCampo[[#This Row],[TOT CUSTO]]/MateriaisCampo[[#This Row],[QUANTIDADE]])/MateriaisCampo[[#This Row],[MARK-UP]]),0)</f>
        <v>0</v>
      </c>
      <c r="AI44" s="453">
        <f>MateriaisCampo[[#This Row],[UNIT VENDA]]*MateriaisCampo[[#This Row],[QUANTIDADE]]</f>
        <v>0</v>
      </c>
      <c r="AJ44" s="453">
        <f>IFERROR(MateriaisCampo[[#This Row],[VENDA]]*(RESUMO!$F$55/RESUMO!$F$45),0)</f>
        <v>0</v>
      </c>
      <c r="AK44" s="453">
        <f>IFERROR(MateriaisCampo[[#This Row],[VENDA]]*(RESUMO!$F$58/RESUMO!$F$45),0)</f>
        <v>0</v>
      </c>
      <c r="AL44" s="454">
        <f>IF(MateriaisCampo[[#This Row],[FATURAMENTO]]="NORMAL",MateriaisCampo[[#This Row],[VENDA]],0)</f>
        <v>0</v>
      </c>
      <c r="AP44" s="455" t="s">
        <v>812</v>
      </c>
      <c r="AQ44" s="456">
        <v>16685.042544917618</v>
      </c>
      <c r="AR44" s="457">
        <v>16685.042544917618</v>
      </c>
    </row>
    <row r="45" spans="1:44" ht="23" x14ac:dyDescent="0.35">
      <c r="A45" s="113" t="s">
        <v>552</v>
      </c>
      <c r="B45" s="113" t="s">
        <v>554</v>
      </c>
      <c r="C45" s="113" t="s">
        <v>565</v>
      </c>
      <c r="D45" s="113" t="s">
        <v>572</v>
      </c>
      <c r="E45" s="434"/>
      <c r="F45" s="434">
        <f t="shared" si="0"/>
        <v>0</v>
      </c>
      <c r="G45" s="113"/>
      <c r="H45" s="435" t="s">
        <v>551</v>
      </c>
      <c r="I45" s="436"/>
      <c r="J45" s="437"/>
      <c r="K45" s="438"/>
      <c r="L45" s="438"/>
      <c r="M45" s="458"/>
      <c r="N45" s="440">
        <f>MateriaisCampo[[#This Row],[UNIT S/IPI S/DESC]]-MateriaisCampo[[#This Row],[UNIT S/IPI S/DESC]]*MateriaisCampo[[#This Row],[% DESC]]</f>
        <v>0</v>
      </c>
      <c r="O45" s="441" t="s">
        <v>295</v>
      </c>
      <c r="P45" s="442" t="s">
        <v>155</v>
      </c>
      <c r="Q45" s="438">
        <v>1.6500000000000001E-2</v>
      </c>
      <c r="R45" s="438">
        <v>7.5999999999999998E-2</v>
      </c>
      <c r="S45" s="443">
        <f>MateriaisCampo[[#This Row],[UNIT S/ IP + DIF ICMS]]*MateriaisCampo[[#This Row],[QUANTIDADE]]</f>
        <v>0</v>
      </c>
      <c r="T45" s="444">
        <f>MateriaisCampo[[#This Row],[TOTAL S/ IPI]]+(MateriaisCampo[[#This Row],[TOTAL S/ IPI]]*MateriaisCampo[[#This Row],[IPI %]])</f>
        <v>0</v>
      </c>
      <c r="U45" s="445">
        <f>IF(AND(MateriaisCampo[[#This Row],[ICMS %]]&lt;&gt;18%,MateriaisCampo[[#This Row],[ORIGEM]]&lt;&gt;"SÃO PAULO"),((18%-MateriaisCampo[[#This Row],[ICMS %]])*MateriaisCampo[[#This Row],[UNIT S/ IPI C/DESC]]),0)</f>
        <v>0</v>
      </c>
      <c r="V45" s="437">
        <f>MateriaisCampo[[#This Row],[UNIT S/ IPI C/DESC]]*MateriaisCampo[[#This Row],[ICMS %]]</f>
        <v>0</v>
      </c>
      <c r="W45" s="437">
        <f>MateriaisCampo[[#This Row],[ICMS $]]*MateriaisCampo[[#This Row],[QUANTIDADE]]</f>
        <v>0</v>
      </c>
      <c r="X45" s="446">
        <f>MateriaisCampo[[#This Row],[UNIT S/ IPI C/DESC]]+MateriaisCampo[[#This Row],[DIFERENCIAL ICMS]]</f>
        <v>0</v>
      </c>
      <c r="Y45" s="446">
        <f>(MateriaisCampo[[#This Row],[PIS]]*MateriaisCampo[[#This Row],[UNIT S/ IPI C/DESC]])/2</f>
        <v>0</v>
      </c>
      <c r="Z45" s="446">
        <f>(MateriaisCampo[[#This Row],[COFINS]]*MateriaisCampo[[#This Row],[UNIT S/ IPI C/DESC]])/2</f>
        <v>0</v>
      </c>
      <c r="AA45" s="445">
        <f>MateriaisCampo[[#This Row],[UNIT S/ IP + DIF ICMS]]+(MateriaisCampo[[#This Row],[UNIT S/ IP + DIF ICMS]]*MateriaisCampo[[#This Row],[IPI %]])</f>
        <v>0</v>
      </c>
      <c r="AB45" s="448">
        <f>_xlfn.XLOOKUP(MateriaisCampo[[#This Row],[FATURAMENTO]],BASE!$U$48:$U$50,BASE!$W$48:$W$50,0,0,1)</f>
        <v>0.79709863947533133</v>
      </c>
      <c r="AC45" s="510" t="str">
        <f>RESUMO!$E$56</f>
        <v>SIM</v>
      </c>
      <c r="AD45" s="449" t="str">
        <f>RESUMO!$E$57</f>
        <v>SIM</v>
      </c>
      <c r="AE4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5" s="450">
        <f>MateriaisCampo[[#This Row],[UNIT CRED]]*MateriaisCampo[[#This Row],[QUANTIDADE]]</f>
        <v>0</v>
      </c>
      <c r="AG45" s="451">
        <f>MateriaisCampo[[#This Row],[TOT CRED]]</f>
        <v>0</v>
      </c>
      <c r="AH45" s="452">
        <f>IF(MateriaisCampo[[#This Row],[QUANTIDADE]]&lt;&gt;0,((MateriaisCampo[[#This Row],[TOT CUSTO]]/MateriaisCampo[[#This Row],[QUANTIDADE]])/MateriaisCampo[[#This Row],[MARK-UP]]),0)</f>
        <v>0</v>
      </c>
      <c r="AI45" s="453">
        <f>MateriaisCampo[[#This Row],[UNIT VENDA]]*MateriaisCampo[[#This Row],[QUANTIDADE]]</f>
        <v>0</v>
      </c>
      <c r="AJ45" s="453">
        <f>IFERROR(MateriaisCampo[[#This Row],[VENDA]]*(RESUMO!$F$55/RESUMO!$F$45),0)</f>
        <v>0</v>
      </c>
      <c r="AK45" s="453">
        <f>IFERROR(MateriaisCampo[[#This Row],[VENDA]]*(RESUMO!$F$58/RESUMO!$F$45),0)</f>
        <v>0</v>
      </c>
      <c r="AL45" s="454">
        <f>IF(MateriaisCampo[[#This Row],[FATURAMENTO]]="NORMAL",MateriaisCampo[[#This Row],[VENDA]],0)</f>
        <v>0</v>
      </c>
      <c r="AP45" s="455" t="s">
        <v>815</v>
      </c>
      <c r="AQ45" s="456">
        <v>6256.8909543441059</v>
      </c>
      <c r="AR45" s="457">
        <v>6256.8909543441059</v>
      </c>
    </row>
    <row r="46" spans="1:44" ht="23" x14ac:dyDescent="0.35">
      <c r="A46" s="113" t="s">
        <v>552</v>
      </c>
      <c r="B46" s="113" t="s">
        <v>554</v>
      </c>
      <c r="C46" s="113" t="s">
        <v>566</v>
      </c>
      <c r="D46" s="113" t="s">
        <v>572</v>
      </c>
      <c r="E46" s="434"/>
      <c r="F46" s="434">
        <f t="shared" si="0"/>
        <v>0</v>
      </c>
      <c r="G46" s="113"/>
      <c r="H46" s="435" t="s">
        <v>551</v>
      </c>
      <c r="I46" s="436"/>
      <c r="J46" s="437"/>
      <c r="K46" s="438"/>
      <c r="L46" s="438"/>
      <c r="M46" s="458"/>
      <c r="N46" s="440">
        <f>MateriaisCampo[[#This Row],[UNIT S/IPI S/DESC]]-MateriaisCampo[[#This Row],[UNIT S/IPI S/DESC]]*MateriaisCampo[[#This Row],[% DESC]]</f>
        <v>0</v>
      </c>
      <c r="O46" s="441" t="s">
        <v>295</v>
      </c>
      <c r="P46" s="442" t="s">
        <v>155</v>
      </c>
      <c r="Q46" s="438">
        <v>1.6500000000000001E-2</v>
      </c>
      <c r="R46" s="438">
        <v>7.5999999999999998E-2</v>
      </c>
      <c r="S46" s="443">
        <f>MateriaisCampo[[#This Row],[UNIT S/ IP + DIF ICMS]]*MateriaisCampo[[#This Row],[QUANTIDADE]]</f>
        <v>0</v>
      </c>
      <c r="T46" s="444">
        <f>MateriaisCampo[[#This Row],[TOTAL S/ IPI]]+(MateriaisCampo[[#This Row],[TOTAL S/ IPI]]*MateriaisCampo[[#This Row],[IPI %]])</f>
        <v>0</v>
      </c>
      <c r="U46" s="445">
        <f>IF(AND(MateriaisCampo[[#This Row],[ICMS %]]&lt;&gt;18%,MateriaisCampo[[#This Row],[ORIGEM]]&lt;&gt;"SÃO PAULO"),((18%-MateriaisCampo[[#This Row],[ICMS %]])*MateriaisCampo[[#This Row],[UNIT S/ IPI C/DESC]]),0)</f>
        <v>0</v>
      </c>
      <c r="V46" s="437">
        <f>MateriaisCampo[[#This Row],[UNIT S/ IPI C/DESC]]*MateriaisCampo[[#This Row],[ICMS %]]</f>
        <v>0</v>
      </c>
      <c r="W46" s="437">
        <f>MateriaisCampo[[#This Row],[ICMS $]]*MateriaisCampo[[#This Row],[QUANTIDADE]]</f>
        <v>0</v>
      </c>
      <c r="X46" s="446">
        <f>MateriaisCampo[[#This Row],[UNIT S/ IPI C/DESC]]+MateriaisCampo[[#This Row],[DIFERENCIAL ICMS]]</f>
        <v>0</v>
      </c>
      <c r="Y46" s="446">
        <f>(MateriaisCampo[[#This Row],[PIS]]*MateriaisCampo[[#This Row],[UNIT S/ IPI C/DESC]])/2</f>
        <v>0</v>
      </c>
      <c r="Z46" s="446">
        <f>(MateriaisCampo[[#This Row],[COFINS]]*MateriaisCampo[[#This Row],[UNIT S/ IPI C/DESC]])/2</f>
        <v>0</v>
      </c>
      <c r="AA46" s="445">
        <f>MateriaisCampo[[#This Row],[UNIT S/ IP + DIF ICMS]]+(MateriaisCampo[[#This Row],[UNIT S/ IP + DIF ICMS]]*MateriaisCampo[[#This Row],[IPI %]])</f>
        <v>0</v>
      </c>
      <c r="AB46" s="448">
        <f>_xlfn.XLOOKUP(MateriaisCampo[[#This Row],[FATURAMENTO]],BASE!$U$48:$U$50,BASE!$W$48:$W$50,0,0,1)</f>
        <v>0.79709863947533133</v>
      </c>
      <c r="AC46" s="510" t="str">
        <f>RESUMO!$E$56</f>
        <v>SIM</v>
      </c>
      <c r="AD46" s="449" t="str">
        <f>RESUMO!$E$57</f>
        <v>SIM</v>
      </c>
      <c r="AE4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6" s="450">
        <f>MateriaisCampo[[#This Row],[UNIT CRED]]*MateriaisCampo[[#This Row],[QUANTIDADE]]</f>
        <v>0</v>
      </c>
      <c r="AG46" s="451">
        <f>MateriaisCampo[[#This Row],[TOT CRED]]</f>
        <v>0</v>
      </c>
      <c r="AH46" s="452">
        <f>IF(MateriaisCampo[[#This Row],[QUANTIDADE]]&lt;&gt;0,((MateriaisCampo[[#This Row],[TOT CUSTO]]/MateriaisCampo[[#This Row],[QUANTIDADE]])/MateriaisCampo[[#This Row],[MARK-UP]]),0)</f>
        <v>0</v>
      </c>
      <c r="AI46" s="453">
        <f>MateriaisCampo[[#This Row],[UNIT VENDA]]*MateriaisCampo[[#This Row],[QUANTIDADE]]</f>
        <v>0</v>
      </c>
      <c r="AJ46" s="453">
        <f>IFERROR(MateriaisCampo[[#This Row],[VENDA]]*(RESUMO!$F$55/RESUMO!$F$45),0)</f>
        <v>0</v>
      </c>
      <c r="AK46" s="453">
        <f>IFERROR(MateriaisCampo[[#This Row],[VENDA]]*(RESUMO!$F$58/RESUMO!$F$45),0)</f>
        <v>0</v>
      </c>
      <c r="AL46" s="454">
        <f>IF(MateriaisCampo[[#This Row],[FATURAMENTO]]="NORMAL",MateriaisCampo[[#This Row],[VENDA]],0)</f>
        <v>0</v>
      </c>
      <c r="AP46" s="455" t="s">
        <v>778</v>
      </c>
      <c r="AQ46" s="456">
        <v>10428.15159057351</v>
      </c>
      <c r="AR46" s="457">
        <v>10428.15159057351</v>
      </c>
    </row>
    <row r="47" spans="1:44" ht="23" x14ac:dyDescent="0.35">
      <c r="A47" s="113" t="s">
        <v>552</v>
      </c>
      <c r="B47" s="113" t="s">
        <v>554</v>
      </c>
      <c r="C47" s="113" t="s">
        <v>567</v>
      </c>
      <c r="D47" s="113" t="s">
        <v>572</v>
      </c>
      <c r="E47" s="434"/>
      <c r="F47" s="434">
        <f t="shared" si="0"/>
        <v>0</v>
      </c>
      <c r="G47" s="113"/>
      <c r="H47" s="435" t="s">
        <v>551</v>
      </c>
      <c r="I47" s="436"/>
      <c r="J47" s="437"/>
      <c r="K47" s="438"/>
      <c r="L47" s="438"/>
      <c r="M47" s="458"/>
      <c r="N47" s="440">
        <f>MateriaisCampo[[#This Row],[UNIT S/IPI S/DESC]]-MateriaisCampo[[#This Row],[UNIT S/IPI S/DESC]]*MateriaisCampo[[#This Row],[% DESC]]</f>
        <v>0</v>
      </c>
      <c r="O47" s="441" t="s">
        <v>295</v>
      </c>
      <c r="P47" s="442" t="s">
        <v>155</v>
      </c>
      <c r="Q47" s="438">
        <v>1.6500000000000001E-2</v>
      </c>
      <c r="R47" s="438">
        <v>7.5999999999999998E-2</v>
      </c>
      <c r="S47" s="443">
        <f>MateriaisCampo[[#This Row],[UNIT S/ IP + DIF ICMS]]*MateriaisCampo[[#This Row],[QUANTIDADE]]</f>
        <v>0</v>
      </c>
      <c r="T47" s="444">
        <f>MateriaisCampo[[#This Row],[TOTAL S/ IPI]]+(MateriaisCampo[[#This Row],[TOTAL S/ IPI]]*MateriaisCampo[[#This Row],[IPI %]])</f>
        <v>0</v>
      </c>
      <c r="U47" s="445">
        <f>IF(AND(MateriaisCampo[[#This Row],[ICMS %]]&lt;&gt;18%,MateriaisCampo[[#This Row],[ORIGEM]]&lt;&gt;"SÃO PAULO"),((18%-MateriaisCampo[[#This Row],[ICMS %]])*MateriaisCampo[[#This Row],[UNIT S/ IPI C/DESC]]),0)</f>
        <v>0</v>
      </c>
      <c r="V47" s="437">
        <f>MateriaisCampo[[#This Row],[UNIT S/ IPI C/DESC]]*MateriaisCampo[[#This Row],[ICMS %]]</f>
        <v>0</v>
      </c>
      <c r="W47" s="437">
        <f>MateriaisCampo[[#This Row],[ICMS $]]*MateriaisCampo[[#This Row],[QUANTIDADE]]</f>
        <v>0</v>
      </c>
      <c r="X47" s="446">
        <f>MateriaisCampo[[#This Row],[UNIT S/ IPI C/DESC]]+MateriaisCampo[[#This Row],[DIFERENCIAL ICMS]]</f>
        <v>0</v>
      </c>
      <c r="Y47" s="446">
        <f>(MateriaisCampo[[#This Row],[PIS]]*MateriaisCampo[[#This Row],[UNIT S/ IPI C/DESC]])/2</f>
        <v>0</v>
      </c>
      <c r="Z47" s="446">
        <f>(MateriaisCampo[[#This Row],[COFINS]]*MateriaisCampo[[#This Row],[UNIT S/ IPI C/DESC]])/2</f>
        <v>0</v>
      </c>
      <c r="AA47" s="445">
        <f>MateriaisCampo[[#This Row],[UNIT S/ IP + DIF ICMS]]+(MateriaisCampo[[#This Row],[UNIT S/ IP + DIF ICMS]]*MateriaisCampo[[#This Row],[IPI %]])</f>
        <v>0</v>
      </c>
      <c r="AB47" s="448">
        <f>_xlfn.XLOOKUP(MateriaisCampo[[#This Row],[FATURAMENTO]],BASE!$U$48:$U$50,BASE!$W$48:$W$50,0,0,1)</f>
        <v>0.79709863947533133</v>
      </c>
      <c r="AC47" s="510" t="str">
        <f>RESUMO!$E$56</f>
        <v>SIM</v>
      </c>
      <c r="AD47" s="449" t="str">
        <f>RESUMO!$E$57</f>
        <v>SIM</v>
      </c>
      <c r="AE4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7" s="450">
        <f>MateriaisCampo[[#This Row],[UNIT CRED]]*MateriaisCampo[[#This Row],[QUANTIDADE]]</f>
        <v>0</v>
      </c>
      <c r="AG47" s="451">
        <f>MateriaisCampo[[#This Row],[TOT CRED]]</f>
        <v>0</v>
      </c>
      <c r="AH47" s="452">
        <f>IF(MateriaisCampo[[#This Row],[QUANTIDADE]]&lt;&gt;0,((MateriaisCampo[[#This Row],[TOT CUSTO]]/MateriaisCampo[[#This Row],[QUANTIDADE]])/MateriaisCampo[[#This Row],[MARK-UP]]),0)</f>
        <v>0</v>
      </c>
      <c r="AI47" s="453">
        <f>MateriaisCampo[[#This Row],[UNIT VENDA]]*MateriaisCampo[[#This Row],[QUANTIDADE]]</f>
        <v>0</v>
      </c>
      <c r="AJ47" s="453">
        <f>IFERROR(MateriaisCampo[[#This Row],[VENDA]]*(RESUMO!$F$55/RESUMO!$F$45),0)</f>
        <v>0</v>
      </c>
      <c r="AK47" s="453">
        <f>IFERROR(MateriaisCampo[[#This Row],[VENDA]]*(RESUMO!$F$58/RESUMO!$F$45),0)</f>
        <v>0</v>
      </c>
      <c r="AL47" s="454">
        <f>IF(MateriaisCampo[[#This Row],[FATURAMENTO]]="NORMAL",MateriaisCampo[[#This Row],[VENDA]],0)</f>
        <v>0</v>
      </c>
      <c r="AP47" s="455" t="s">
        <v>360</v>
      </c>
      <c r="AQ47" s="456">
        <v>0</v>
      </c>
      <c r="AR47" s="457">
        <v>0</v>
      </c>
    </row>
    <row r="48" spans="1:44" ht="23" x14ac:dyDescent="0.35">
      <c r="A48" s="113" t="s">
        <v>552</v>
      </c>
      <c r="B48" s="113" t="s">
        <v>554</v>
      </c>
      <c r="C48" s="113" t="s">
        <v>568</v>
      </c>
      <c r="D48" s="113" t="s">
        <v>572</v>
      </c>
      <c r="E48" s="434"/>
      <c r="F48" s="434">
        <f t="shared" si="0"/>
        <v>0</v>
      </c>
      <c r="G48" s="113"/>
      <c r="H48" s="435" t="s">
        <v>551</v>
      </c>
      <c r="I48" s="436"/>
      <c r="J48" s="437"/>
      <c r="K48" s="438"/>
      <c r="L48" s="438"/>
      <c r="M48" s="458"/>
      <c r="N48" s="440">
        <f>MateriaisCampo[[#This Row],[UNIT S/IPI S/DESC]]-MateriaisCampo[[#This Row],[UNIT S/IPI S/DESC]]*MateriaisCampo[[#This Row],[% DESC]]</f>
        <v>0</v>
      </c>
      <c r="O48" s="441" t="s">
        <v>295</v>
      </c>
      <c r="P48" s="442" t="s">
        <v>155</v>
      </c>
      <c r="Q48" s="438">
        <v>1.6500000000000001E-2</v>
      </c>
      <c r="R48" s="438">
        <v>7.5999999999999998E-2</v>
      </c>
      <c r="S48" s="443">
        <f>MateriaisCampo[[#This Row],[UNIT S/ IP + DIF ICMS]]*MateriaisCampo[[#This Row],[QUANTIDADE]]</f>
        <v>0</v>
      </c>
      <c r="T48" s="444">
        <f>MateriaisCampo[[#This Row],[TOTAL S/ IPI]]+(MateriaisCampo[[#This Row],[TOTAL S/ IPI]]*MateriaisCampo[[#This Row],[IPI %]])</f>
        <v>0</v>
      </c>
      <c r="U48" s="445">
        <f>IF(AND(MateriaisCampo[[#This Row],[ICMS %]]&lt;&gt;18%,MateriaisCampo[[#This Row],[ORIGEM]]&lt;&gt;"SÃO PAULO"),((18%-MateriaisCampo[[#This Row],[ICMS %]])*MateriaisCampo[[#This Row],[UNIT S/ IPI C/DESC]]),0)</f>
        <v>0</v>
      </c>
      <c r="V48" s="437">
        <f>MateriaisCampo[[#This Row],[UNIT S/ IPI C/DESC]]*MateriaisCampo[[#This Row],[ICMS %]]</f>
        <v>0</v>
      </c>
      <c r="W48" s="437">
        <f>MateriaisCampo[[#This Row],[ICMS $]]*MateriaisCampo[[#This Row],[QUANTIDADE]]</f>
        <v>0</v>
      </c>
      <c r="X48" s="446">
        <f>MateriaisCampo[[#This Row],[UNIT S/ IPI C/DESC]]+MateriaisCampo[[#This Row],[DIFERENCIAL ICMS]]</f>
        <v>0</v>
      </c>
      <c r="Y48" s="446">
        <f>(MateriaisCampo[[#This Row],[PIS]]*MateriaisCampo[[#This Row],[UNIT S/ IPI C/DESC]])/2</f>
        <v>0</v>
      </c>
      <c r="Z48" s="446">
        <f>(MateriaisCampo[[#This Row],[COFINS]]*MateriaisCampo[[#This Row],[UNIT S/ IPI C/DESC]])/2</f>
        <v>0</v>
      </c>
      <c r="AA48" s="445">
        <f>MateriaisCampo[[#This Row],[UNIT S/ IP + DIF ICMS]]+(MateriaisCampo[[#This Row],[UNIT S/ IP + DIF ICMS]]*MateriaisCampo[[#This Row],[IPI %]])</f>
        <v>0</v>
      </c>
      <c r="AB48" s="448">
        <f>_xlfn.XLOOKUP(MateriaisCampo[[#This Row],[FATURAMENTO]],BASE!$U$48:$U$50,BASE!$W$48:$W$50,0,0,1)</f>
        <v>0.79709863947533133</v>
      </c>
      <c r="AC48" s="510" t="str">
        <f>RESUMO!$E$56</f>
        <v>SIM</v>
      </c>
      <c r="AD48" s="449" t="str">
        <f>RESUMO!$E$57</f>
        <v>SIM</v>
      </c>
      <c r="AE4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8" s="450">
        <f>MateriaisCampo[[#This Row],[UNIT CRED]]*MateriaisCampo[[#This Row],[QUANTIDADE]]</f>
        <v>0</v>
      </c>
      <c r="AG48" s="451">
        <f>MateriaisCampo[[#This Row],[TOT CRED]]</f>
        <v>0</v>
      </c>
      <c r="AH48" s="452">
        <f>IF(MateriaisCampo[[#This Row],[QUANTIDADE]]&lt;&gt;0,((MateriaisCampo[[#This Row],[TOT CUSTO]]/MateriaisCampo[[#This Row],[QUANTIDADE]])/MateriaisCampo[[#This Row],[MARK-UP]]),0)</f>
        <v>0</v>
      </c>
      <c r="AI48" s="453">
        <f>MateriaisCampo[[#This Row],[UNIT VENDA]]*MateriaisCampo[[#This Row],[QUANTIDADE]]</f>
        <v>0</v>
      </c>
      <c r="AJ48" s="453">
        <f>IFERROR(MateriaisCampo[[#This Row],[VENDA]]*(RESUMO!$F$55/RESUMO!$F$45),0)</f>
        <v>0</v>
      </c>
      <c r="AK48" s="453">
        <f>IFERROR(MateriaisCampo[[#This Row],[VENDA]]*(RESUMO!$F$58/RESUMO!$F$45),0)</f>
        <v>0</v>
      </c>
      <c r="AL48" s="454">
        <f>IF(MateriaisCampo[[#This Row],[FATURAMENTO]]="NORMAL",MateriaisCampo[[#This Row],[VENDA]],0)</f>
        <v>0</v>
      </c>
      <c r="AP48" s="455" t="s">
        <v>361</v>
      </c>
      <c r="AQ48" s="456">
        <v>252622.04734362333</v>
      </c>
      <c r="AR48" s="457">
        <v>252622.04734362333</v>
      </c>
    </row>
    <row r="49" spans="1:44" ht="23" x14ac:dyDescent="0.35">
      <c r="A49" s="113" t="s">
        <v>552</v>
      </c>
      <c r="B49" s="113" t="s">
        <v>554</v>
      </c>
      <c r="C49" s="113" t="s">
        <v>569</v>
      </c>
      <c r="D49" s="113" t="s">
        <v>572</v>
      </c>
      <c r="E49" s="434"/>
      <c r="F49" s="434">
        <f t="shared" si="0"/>
        <v>0</v>
      </c>
      <c r="G49" s="113"/>
      <c r="H49" s="435" t="s">
        <v>551</v>
      </c>
      <c r="I49" s="436"/>
      <c r="J49" s="437"/>
      <c r="K49" s="438"/>
      <c r="L49" s="438"/>
      <c r="M49" s="458"/>
      <c r="N49" s="440">
        <f>MateriaisCampo[[#This Row],[UNIT S/IPI S/DESC]]-MateriaisCampo[[#This Row],[UNIT S/IPI S/DESC]]*MateriaisCampo[[#This Row],[% DESC]]</f>
        <v>0</v>
      </c>
      <c r="O49" s="441" t="s">
        <v>295</v>
      </c>
      <c r="P49" s="442" t="s">
        <v>155</v>
      </c>
      <c r="Q49" s="438">
        <v>1.6500000000000001E-2</v>
      </c>
      <c r="R49" s="438">
        <v>7.5999999999999998E-2</v>
      </c>
      <c r="S49" s="443">
        <f>MateriaisCampo[[#This Row],[UNIT S/ IP + DIF ICMS]]*MateriaisCampo[[#This Row],[QUANTIDADE]]</f>
        <v>0</v>
      </c>
      <c r="T49" s="444">
        <f>MateriaisCampo[[#This Row],[TOTAL S/ IPI]]+(MateriaisCampo[[#This Row],[TOTAL S/ IPI]]*MateriaisCampo[[#This Row],[IPI %]])</f>
        <v>0</v>
      </c>
      <c r="U49" s="445">
        <f>IF(AND(MateriaisCampo[[#This Row],[ICMS %]]&lt;&gt;18%,MateriaisCampo[[#This Row],[ORIGEM]]&lt;&gt;"SÃO PAULO"),((18%-MateriaisCampo[[#This Row],[ICMS %]])*MateriaisCampo[[#This Row],[UNIT S/ IPI C/DESC]]),0)</f>
        <v>0</v>
      </c>
      <c r="V49" s="437">
        <f>MateriaisCampo[[#This Row],[UNIT S/ IPI C/DESC]]*MateriaisCampo[[#This Row],[ICMS %]]</f>
        <v>0</v>
      </c>
      <c r="W49" s="437">
        <f>MateriaisCampo[[#This Row],[ICMS $]]*MateriaisCampo[[#This Row],[QUANTIDADE]]</f>
        <v>0</v>
      </c>
      <c r="X49" s="446">
        <f>MateriaisCampo[[#This Row],[UNIT S/ IPI C/DESC]]+MateriaisCampo[[#This Row],[DIFERENCIAL ICMS]]</f>
        <v>0</v>
      </c>
      <c r="Y49" s="446">
        <f>(MateriaisCampo[[#This Row],[PIS]]*MateriaisCampo[[#This Row],[UNIT S/ IPI C/DESC]])/2</f>
        <v>0</v>
      </c>
      <c r="Z49" s="446">
        <f>(MateriaisCampo[[#This Row],[COFINS]]*MateriaisCampo[[#This Row],[UNIT S/ IPI C/DESC]])/2</f>
        <v>0</v>
      </c>
      <c r="AA49" s="445">
        <f>MateriaisCampo[[#This Row],[UNIT S/ IP + DIF ICMS]]+(MateriaisCampo[[#This Row],[UNIT S/ IP + DIF ICMS]]*MateriaisCampo[[#This Row],[IPI %]])</f>
        <v>0</v>
      </c>
      <c r="AB49" s="448">
        <f>_xlfn.XLOOKUP(MateriaisCampo[[#This Row],[FATURAMENTO]],BASE!$U$48:$U$50,BASE!$W$48:$W$50,0,0,1)</f>
        <v>0.79709863947533133</v>
      </c>
      <c r="AC49" s="510" t="str">
        <f>RESUMO!$E$56</f>
        <v>SIM</v>
      </c>
      <c r="AD49" s="449" t="str">
        <f>RESUMO!$E$57</f>
        <v>SIM</v>
      </c>
      <c r="AE4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49" s="450">
        <f>MateriaisCampo[[#This Row],[UNIT CRED]]*MateriaisCampo[[#This Row],[QUANTIDADE]]</f>
        <v>0</v>
      </c>
      <c r="AG49" s="451">
        <f>MateriaisCampo[[#This Row],[TOT CRED]]</f>
        <v>0</v>
      </c>
      <c r="AH49" s="452">
        <f>IF(MateriaisCampo[[#This Row],[QUANTIDADE]]&lt;&gt;0,((MateriaisCampo[[#This Row],[TOT CUSTO]]/MateriaisCampo[[#This Row],[QUANTIDADE]])/MateriaisCampo[[#This Row],[MARK-UP]]),0)</f>
        <v>0</v>
      </c>
      <c r="AI49" s="453">
        <f>MateriaisCampo[[#This Row],[UNIT VENDA]]*MateriaisCampo[[#This Row],[QUANTIDADE]]</f>
        <v>0</v>
      </c>
      <c r="AJ49" s="453">
        <f>IFERROR(MateriaisCampo[[#This Row],[VENDA]]*(RESUMO!$F$55/RESUMO!$F$45),0)</f>
        <v>0</v>
      </c>
      <c r="AK49" s="453">
        <f>IFERROR(MateriaisCampo[[#This Row],[VENDA]]*(RESUMO!$F$58/RESUMO!$F$45),0)</f>
        <v>0</v>
      </c>
      <c r="AL49" s="454">
        <f>IF(MateriaisCampo[[#This Row],[FATURAMENTO]]="NORMAL",MateriaisCampo[[#This Row],[VENDA]],0)</f>
        <v>0</v>
      </c>
      <c r="AP49"/>
      <c r="AQ49"/>
      <c r="AR49"/>
    </row>
    <row r="50" spans="1:44" ht="23" x14ac:dyDescent="0.35">
      <c r="A50" s="113" t="s">
        <v>552</v>
      </c>
      <c r="B50" s="113" t="s">
        <v>554</v>
      </c>
      <c r="C50" s="113" t="s">
        <v>570</v>
      </c>
      <c r="D50" s="113" t="s">
        <v>572</v>
      </c>
      <c r="E50" s="434"/>
      <c r="F50" s="434">
        <f t="shared" si="0"/>
        <v>0</v>
      </c>
      <c r="G50" s="113"/>
      <c r="H50" s="435" t="s">
        <v>551</v>
      </c>
      <c r="I50" s="436"/>
      <c r="J50" s="437"/>
      <c r="K50" s="438"/>
      <c r="L50" s="438"/>
      <c r="M50" s="458"/>
      <c r="N50" s="440">
        <f>MateriaisCampo[[#This Row],[UNIT S/IPI S/DESC]]-MateriaisCampo[[#This Row],[UNIT S/IPI S/DESC]]*MateriaisCampo[[#This Row],[% DESC]]</f>
        <v>0</v>
      </c>
      <c r="O50" s="441" t="s">
        <v>295</v>
      </c>
      <c r="P50" s="442" t="s">
        <v>155</v>
      </c>
      <c r="Q50" s="438">
        <v>1.6500000000000001E-2</v>
      </c>
      <c r="R50" s="438">
        <v>7.5999999999999998E-2</v>
      </c>
      <c r="S50" s="443">
        <f>MateriaisCampo[[#This Row],[UNIT S/ IP + DIF ICMS]]*MateriaisCampo[[#This Row],[QUANTIDADE]]</f>
        <v>0</v>
      </c>
      <c r="T50" s="444">
        <f>MateriaisCampo[[#This Row],[TOTAL S/ IPI]]+(MateriaisCampo[[#This Row],[TOTAL S/ IPI]]*MateriaisCampo[[#This Row],[IPI %]])</f>
        <v>0</v>
      </c>
      <c r="U50" s="445">
        <f>IF(AND(MateriaisCampo[[#This Row],[ICMS %]]&lt;&gt;18%,MateriaisCampo[[#This Row],[ORIGEM]]&lt;&gt;"SÃO PAULO"),((18%-MateriaisCampo[[#This Row],[ICMS %]])*MateriaisCampo[[#This Row],[UNIT S/ IPI C/DESC]]),0)</f>
        <v>0</v>
      </c>
      <c r="V50" s="437">
        <f>MateriaisCampo[[#This Row],[UNIT S/ IPI C/DESC]]*MateriaisCampo[[#This Row],[ICMS %]]</f>
        <v>0</v>
      </c>
      <c r="W50" s="437">
        <f>MateriaisCampo[[#This Row],[ICMS $]]*MateriaisCampo[[#This Row],[QUANTIDADE]]</f>
        <v>0</v>
      </c>
      <c r="X50" s="446">
        <f>MateriaisCampo[[#This Row],[UNIT S/ IPI C/DESC]]+MateriaisCampo[[#This Row],[DIFERENCIAL ICMS]]</f>
        <v>0</v>
      </c>
      <c r="Y50" s="446">
        <f>(MateriaisCampo[[#This Row],[PIS]]*MateriaisCampo[[#This Row],[UNIT S/ IPI C/DESC]])/2</f>
        <v>0</v>
      </c>
      <c r="Z50" s="446">
        <f>(MateriaisCampo[[#This Row],[COFINS]]*MateriaisCampo[[#This Row],[UNIT S/ IPI C/DESC]])/2</f>
        <v>0</v>
      </c>
      <c r="AA50" s="445">
        <f>MateriaisCampo[[#This Row],[UNIT S/ IP + DIF ICMS]]+(MateriaisCampo[[#This Row],[UNIT S/ IP + DIF ICMS]]*MateriaisCampo[[#This Row],[IPI %]])</f>
        <v>0</v>
      </c>
      <c r="AB50" s="448">
        <f>_xlfn.XLOOKUP(MateriaisCampo[[#This Row],[FATURAMENTO]],BASE!$U$48:$U$50,BASE!$W$48:$W$50,0,0,1)</f>
        <v>0.79709863947533133</v>
      </c>
      <c r="AC50" s="510" t="str">
        <f>RESUMO!$E$56</f>
        <v>SIM</v>
      </c>
      <c r="AD50" s="449" t="str">
        <f>RESUMO!$E$57</f>
        <v>SIM</v>
      </c>
      <c r="AE5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0" s="450">
        <f>MateriaisCampo[[#This Row],[UNIT CRED]]*MateriaisCampo[[#This Row],[QUANTIDADE]]</f>
        <v>0</v>
      </c>
      <c r="AG50" s="451">
        <f>MateriaisCampo[[#This Row],[TOT CRED]]</f>
        <v>0</v>
      </c>
      <c r="AH50" s="452">
        <f>IF(MateriaisCampo[[#This Row],[QUANTIDADE]]&lt;&gt;0,((MateriaisCampo[[#This Row],[TOT CUSTO]]/MateriaisCampo[[#This Row],[QUANTIDADE]])/MateriaisCampo[[#This Row],[MARK-UP]]),0)</f>
        <v>0</v>
      </c>
      <c r="AI50" s="453">
        <f>MateriaisCampo[[#This Row],[UNIT VENDA]]*MateriaisCampo[[#This Row],[QUANTIDADE]]</f>
        <v>0</v>
      </c>
      <c r="AJ50" s="453">
        <f>IFERROR(MateriaisCampo[[#This Row],[VENDA]]*(RESUMO!$F$55/RESUMO!$F$45),0)</f>
        <v>0</v>
      </c>
      <c r="AK50" s="453">
        <f>IFERROR(MateriaisCampo[[#This Row],[VENDA]]*(RESUMO!$F$58/RESUMO!$F$45),0)</f>
        <v>0</v>
      </c>
      <c r="AL50" s="454">
        <f>IF(MateriaisCampo[[#This Row],[FATURAMENTO]]="NORMAL",MateriaisCampo[[#This Row],[VENDA]],0)</f>
        <v>0</v>
      </c>
      <c r="AP50"/>
      <c r="AQ50"/>
      <c r="AR50"/>
    </row>
    <row r="51" spans="1:44" ht="23" x14ac:dyDescent="0.35">
      <c r="A51" s="113" t="s">
        <v>552</v>
      </c>
      <c r="B51" s="113" t="s">
        <v>554</v>
      </c>
      <c r="C51" s="113" t="s">
        <v>571</v>
      </c>
      <c r="D51" s="113" t="s">
        <v>572</v>
      </c>
      <c r="E51" s="434"/>
      <c r="F51" s="434">
        <f t="shared" si="0"/>
        <v>0</v>
      </c>
      <c r="G51" s="113"/>
      <c r="H51" s="435" t="s">
        <v>551</v>
      </c>
      <c r="I51" s="436"/>
      <c r="J51" s="437"/>
      <c r="K51" s="438"/>
      <c r="L51" s="438"/>
      <c r="M51" s="458"/>
      <c r="N51" s="440">
        <f>MateriaisCampo[[#This Row],[UNIT S/IPI S/DESC]]-MateriaisCampo[[#This Row],[UNIT S/IPI S/DESC]]*MateriaisCampo[[#This Row],[% DESC]]</f>
        <v>0</v>
      </c>
      <c r="O51" s="441" t="s">
        <v>295</v>
      </c>
      <c r="P51" s="442" t="s">
        <v>155</v>
      </c>
      <c r="Q51" s="438">
        <v>1.6500000000000001E-2</v>
      </c>
      <c r="R51" s="438">
        <v>7.5999999999999998E-2</v>
      </c>
      <c r="S51" s="443">
        <f>MateriaisCampo[[#This Row],[UNIT S/ IP + DIF ICMS]]*MateriaisCampo[[#This Row],[QUANTIDADE]]</f>
        <v>0</v>
      </c>
      <c r="T51" s="444">
        <f>MateriaisCampo[[#This Row],[TOTAL S/ IPI]]+(MateriaisCampo[[#This Row],[TOTAL S/ IPI]]*MateriaisCampo[[#This Row],[IPI %]])</f>
        <v>0</v>
      </c>
      <c r="U51" s="445">
        <f>IF(AND(MateriaisCampo[[#This Row],[ICMS %]]&lt;&gt;18%,MateriaisCampo[[#This Row],[ORIGEM]]&lt;&gt;"SÃO PAULO"),((18%-MateriaisCampo[[#This Row],[ICMS %]])*MateriaisCampo[[#This Row],[UNIT S/ IPI C/DESC]]),0)</f>
        <v>0</v>
      </c>
      <c r="V51" s="437">
        <f>MateriaisCampo[[#This Row],[UNIT S/ IPI C/DESC]]*MateriaisCampo[[#This Row],[ICMS %]]</f>
        <v>0</v>
      </c>
      <c r="W51" s="437">
        <f>MateriaisCampo[[#This Row],[ICMS $]]*MateriaisCampo[[#This Row],[QUANTIDADE]]</f>
        <v>0</v>
      </c>
      <c r="X51" s="446">
        <f>MateriaisCampo[[#This Row],[UNIT S/ IPI C/DESC]]+MateriaisCampo[[#This Row],[DIFERENCIAL ICMS]]</f>
        <v>0</v>
      </c>
      <c r="Y51" s="446">
        <f>(MateriaisCampo[[#This Row],[PIS]]*MateriaisCampo[[#This Row],[UNIT S/ IPI C/DESC]])/2</f>
        <v>0</v>
      </c>
      <c r="Z51" s="446">
        <f>(MateriaisCampo[[#This Row],[COFINS]]*MateriaisCampo[[#This Row],[UNIT S/ IPI C/DESC]])/2</f>
        <v>0</v>
      </c>
      <c r="AA51" s="445">
        <f>MateriaisCampo[[#This Row],[UNIT S/ IP + DIF ICMS]]+(MateriaisCampo[[#This Row],[UNIT S/ IP + DIF ICMS]]*MateriaisCampo[[#This Row],[IPI %]])</f>
        <v>0</v>
      </c>
      <c r="AB51" s="448">
        <f>_xlfn.XLOOKUP(MateriaisCampo[[#This Row],[FATURAMENTO]],BASE!$U$48:$U$50,BASE!$W$48:$W$50,0,0,1)</f>
        <v>0.79709863947533133</v>
      </c>
      <c r="AC51" s="510" t="str">
        <f>RESUMO!$E$56</f>
        <v>SIM</v>
      </c>
      <c r="AD51" s="449" t="str">
        <f>RESUMO!$E$57</f>
        <v>SIM</v>
      </c>
      <c r="AE5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1" s="450">
        <f>MateriaisCampo[[#This Row],[UNIT CRED]]*MateriaisCampo[[#This Row],[QUANTIDADE]]</f>
        <v>0</v>
      </c>
      <c r="AG51" s="451">
        <f>MateriaisCampo[[#This Row],[TOT CRED]]</f>
        <v>0</v>
      </c>
      <c r="AH51" s="452">
        <f>IF(MateriaisCampo[[#This Row],[QUANTIDADE]]&lt;&gt;0,((MateriaisCampo[[#This Row],[TOT CUSTO]]/MateriaisCampo[[#This Row],[QUANTIDADE]])/MateriaisCampo[[#This Row],[MARK-UP]]),0)</f>
        <v>0</v>
      </c>
      <c r="AI51" s="453">
        <f>MateriaisCampo[[#This Row],[UNIT VENDA]]*MateriaisCampo[[#This Row],[QUANTIDADE]]</f>
        <v>0</v>
      </c>
      <c r="AJ51" s="453">
        <f>IFERROR(MateriaisCampo[[#This Row],[VENDA]]*(RESUMO!$F$55/RESUMO!$F$45),0)</f>
        <v>0</v>
      </c>
      <c r="AK51" s="453">
        <f>IFERROR(MateriaisCampo[[#This Row],[VENDA]]*(RESUMO!$F$58/RESUMO!$F$45),0)</f>
        <v>0</v>
      </c>
      <c r="AL51" s="454">
        <f>IF(MateriaisCampo[[#This Row],[FATURAMENTO]]="NORMAL",MateriaisCampo[[#This Row],[VENDA]],0)</f>
        <v>0</v>
      </c>
      <c r="AP51"/>
      <c r="AQ51"/>
      <c r="AR51"/>
    </row>
    <row r="52" spans="1:44" x14ac:dyDescent="0.35">
      <c r="A52" s="113"/>
      <c r="B52" s="113"/>
      <c r="C52" s="113"/>
      <c r="D52" s="113"/>
      <c r="E52" s="434"/>
      <c r="F52" s="434">
        <f t="shared" si="0"/>
        <v>0</v>
      </c>
      <c r="G52" s="113"/>
      <c r="H52" s="435"/>
      <c r="I52" s="436"/>
      <c r="J52" s="437"/>
      <c r="K52" s="438"/>
      <c r="L52" s="438"/>
      <c r="M52" s="458"/>
      <c r="N52" s="445">
        <f>MateriaisCampo[[#This Row],[UNIT S/IPI S/DESC]]-MateriaisCampo[[#This Row],[UNIT S/IPI S/DESC]]*MateriaisCampo[[#This Row],[% DESC]]</f>
        <v>0</v>
      </c>
      <c r="O52" s="441" t="s">
        <v>295</v>
      </c>
      <c r="P52" s="442" t="s">
        <v>155</v>
      </c>
      <c r="Q52" s="438">
        <v>1.6500000000000001E-2</v>
      </c>
      <c r="R52" s="438">
        <v>7.5999999999999998E-2</v>
      </c>
      <c r="S52" s="443">
        <f>MateriaisCampo[[#This Row],[UNIT S/ IP + DIF ICMS]]*MateriaisCampo[[#This Row],[QUANTIDADE]]</f>
        <v>0</v>
      </c>
      <c r="T52" s="444">
        <f>MateriaisCampo[[#This Row],[TOTAL S/ IPI]]+(MateriaisCampo[[#This Row],[TOTAL S/ IPI]]*MateriaisCampo[[#This Row],[IPI %]])</f>
        <v>0</v>
      </c>
      <c r="U52" s="445">
        <f>IF(AND(MateriaisCampo[[#This Row],[ICMS %]]&lt;&gt;18%,MateriaisCampo[[#This Row],[ORIGEM]]&lt;&gt;"SÃO PAULO"),((18%-MateriaisCampo[[#This Row],[ICMS %]])*MateriaisCampo[[#This Row],[UNIT S/ IPI C/DESC]]),0)</f>
        <v>0</v>
      </c>
      <c r="V52" s="437">
        <f>MateriaisCampo[[#This Row],[UNIT S/ IPI C/DESC]]*MateriaisCampo[[#This Row],[ICMS %]]</f>
        <v>0</v>
      </c>
      <c r="W52" s="437">
        <f>MateriaisCampo[[#This Row],[ICMS $]]*MateriaisCampo[[#This Row],[QUANTIDADE]]</f>
        <v>0</v>
      </c>
      <c r="X52" s="446">
        <f>MateriaisCampo[[#This Row],[UNIT S/ IPI C/DESC]]+MateriaisCampo[[#This Row],[DIFERENCIAL ICMS]]</f>
        <v>0</v>
      </c>
      <c r="Y52" s="446">
        <f>(MateriaisCampo[[#This Row],[PIS]]*MateriaisCampo[[#This Row],[UNIT S/ IPI C/DESC]])/2</f>
        <v>0</v>
      </c>
      <c r="Z52" s="446">
        <f>(MateriaisCampo[[#This Row],[COFINS]]*MateriaisCampo[[#This Row],[UNIT S/ IPI C/DESC]])/2</f>
        <v>0</v>
      </c>
      <c r="AA52" s="445">
        <f>MateriaisCampo[[#This Row],[UNIT S/ IP + DIF ICMS]]+(MateriaisCampo[[#This Row],[UNIT S/ IP + DIF ICMS]]*MateriaisCampo[[#This Row],[IPI %]])</f>
        <v>0</v>
      </c>
      <c r="AB52" s="448">
        <f>_xlfn.XLOOKUP(MateriaisCampo[[#This Row],[FATURAMENTO]],BASE!$U$48:$U$50,BASE!$W$48:$W$50,0,0,1)</f>
        <v>0.79709863947533133</v>
      </c>
      <c r="AC52" s="510" t="str">
        <f>RESUMO!$E$56</f>
        <v>SIM</v>
      </c>
      <c r="AD52" s="449" t="str">
        <f>RESUMO!$E$57</f>
        <v>SIM</v>
      </c>
      <c r="AE5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2" s="450">
        <f>MateriaisCampo[[#This Row],[UNIT CRED]]*MateriaisCampo[[#This Row],[QUANTIDADE]]</f>
        <v>0</v>
      </c>
      <c r="AG52" s="451">
        <f>MateriaisCampo[[#This Row],[TOT CRED]]</f>
        <v>0</v>
      </c>
      <c r="AH52" s="452">
        <f>IF(MateriaisCampo[[#This Row],[QUANTIDADE]]&lt;&gt;0,((MateriaisCampo[[#This Row],[TOT CUSTO]]/MateriaisCampo[[#This Row],[QUANTIDADE]])/MateriaisCampo[[#This Row],[MARK-UP]]),0)</f>
        <v>0</v>
      </c>
      <c r="AI52" s="453">
        <f>MateriaisCampo[[#This Row],[UNIT VENDA]]*MateriaisCampo[[#This Row],[QUANTIDADE]]</f>
        <v>0</v>
      </c>
      <c r="AJ52" s="453">
        <f>IFERROR(MateriaisCampo[[#This Row],[VENDA]]*(RESUMO!$F$55/RESUMO!$F$45),0)</f>
        <v>0</v>
      </c>
      <c r="AK52" s="453">
        <f>IFERROR(MateriaisCampo[[#This Row],[VENDA]]*(RESUMO!$F$58/RESUMO!$F$45),0)</f>
        <v>0</v>
      </c>
      <c r="AL52" s="454">
        <f>IF(MateriaisCampo[[#This Row],[FATURAMENTO]]="NORMAL",MateriaisCampo[[#This Row],[VENDA]],0)</f>
        <v>0</v>
      </c>
      <c r="AP52"/>
      <c r="AQ52"/>
      <c r="AR52"/>
    </row>
    <row r="53" spans="1:44" x14ac:dyDescent="0.35">
      <c r="A53" s="113"/>
      <c r="B53" s="113"/>
      <c r="C53" s="113"/>
      <c r="D53" s="113"/>
      <c r="E53" s="434"/>
      <c r="F53" s="434">
        <f t="shared" si="0"/>
        <v>0</v>
      </c>
      <c r="G53" s="113"/>
      <c r="H53" s="435"/>
      <c r="I53" s="436"/>
      <c r="J53" s="437"/>
      <c r="K53" s="438"/>
      <c r="L53" s="438"/>
      <c r="M53" s="458"/>
      <c r="N53" s="445">
        <f>MateriaisCampo[[#This Row],[UNIT S/IPI S/DESC]]-MateriaisCampo[[#This Row],[UNIT S/IPI S/DESC]]*MateriaisCampo[[#This Row],[% DESC]]</f>
        <v>0</v>
      </c>
      <c r="O53" s="441" t="s">
        <v>295</v>
      </c>
      <c r="P53" s="442" t="s">
        <v>155</v>
      </c>
      <c r="Q53" s="438">
        <v>1.6500000000000001E-2</v>
      </c>
      <c r="R53" s="438">
        <v>7.5999999999999998E-2</v>
      </c>
      <c r="S53" s="443">
        <f>MateriaisCampo[[#This Row],[UNIT S/ IP + DIF ICMS]]*MateriaisCampo[[#This Row],[QUANTIDADE]]</f>
        <v>0</v>
      </c>
      <c r="T53" s="444">
        <f>MateriaisCampo[[#This Row],[TOTAL S/ IPI]]+(MateriaisCampo[[#This Row],[TOTAL S/ IPI]]*MateriaisCampo[[#This Row],[IPI %]])</f>
        <v>0</v>
      </c>
      <c r="U53" s="445">
        <f>IF(AND(MateriaisCampo[[#This Row],[ICMS %]]&lt;&gt;18%,MateriaisCampo[[#This Row],[ORIGEM]]&lt;&gt;"SÃO PAULO"),((18%-MateriaisCampo[[#This Row],[ICMS %]])*MateriaisCampo[[#This Row],[UNIT S/ IPI C/DESC]]),0)</f>
        <v>0</v>
      </c>
      <c r="V53" s="437">
        <f>MateriaisCampo[[#This Row],[UNIT S/ IPI C/DESC]]*MateriaisCampo[[#This Row],[ICMS %]]</f>
        <v>0</v>
      </c>
      <c r="W53" s="437">
        <f>MateriaisCampo[[#This Row],[ICMS $]]*MateriaisCampo[[#This Row],[QUANTIDADE]]</f>
        <v>0</v>
      </c>
      <c r="X53" s="446">
        <f>MateriaisCampo[[#This Row],[UNIT S/ IPI C/DESC]]+MateriaisCampo[[#This Row],[DIFERENCIAL ICMS]]</f>
        <v>0</v>
      </c>
      <c r="Y53" s="446">
        <f>(MateriaisCampo[[#This Row],[PIS]]*MateriaisCampo[[#This Row],[UNIT S/ IPI C/DESC]])/2</f>
        <v>0</v>
      </c>
      <c r="Z53" s="446">
        <f>(MateriaisCampo[[#This Row],[COFINS]]*MateriaisCampo[[#This Row],[UNIT S/ IPI C/DESC]])/2</f>
        <v>0</v>
      </c>
      <c r="AA53" s="445">
        <f>MateriaisCampo[[#This Row],[UNIT S/ IP + DIF ICMS]]+(MateriaisCampo[[#This Row],[UNIT S/ IP + DIF ICMS]]*MateriaisCampo[[#This Row],[IPI %]])</f>
        <v>0</v>
      </c>
      <c r="AB53" s="448">
        <f>_xlfn.XLOOKUP(MateriaisCampo[[#This Row],[FATURAMENTO]],BASE!$U$48:$U$50,BASE!$W$48:$W$50,0,0,1)</f>
        <v>0.79709863947533133</v>
      </c>
      <c r="AC53" s="510" t="str">
        <f>RESUMO!$E$56</f>
        <v>SIM</v>
      </c>
      <c r="AD53" s="449" t="str">
        <f>RESUMO!$E$57</f>
        <v>SIM</v>
      </c>
      <c r="AE5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3" s="450">
        <f>MateriaisCampo[[#This Row],[UNIT CRED]]*MateriaisCampo[[#This Row],[QUANTIDADE]]</f>
        <v>0</v>
      </c>
      <c r="AG53" s="451">
        <f>MateriaisCampo[[#This Row],[TOT CRED]]</f>
        <v>0</v>
      </c>
      <c r="AH53" s="452">
        <f>IF(MateriaisCampo[[#This Row],[QUANTIDADE]]&lt;&gt;0,((MateriaisCampo[[#This Row],[TOT CUSTO]]/MateriaisCampo[[#This Row],[QUANTIDADE]])/MateriaisCampo[[#This Row],[MARK-UP]]),0)</f>
        <v>0</v>
      </c>
      <c r="AI53" s="453">
        <f>MateriaisCampo[[#This Row],[UNIT VENDA]]*MateriaisCampo[[#This Row],[QUANTIDADE]]</f>
        <v>0</v>
      </c>
      <c r="AJ53" s="453">
        <f>IFERROR(MateriaisCampo[[#This Row],[VENDA]]*(RESUMO!$F$55/RESUMO!$F$45),0)</f>
        <v>0</v>
      </c>
      <c r="AK53" s="453">
        <f>IFERROR(MateriaisCampo[[#This Row],[VENDA]]*(RESUMO!$F$58/RESUMO!$F$45),0)</f>
        <v>0</v>
      </c>
      <c r="AL53" s="454">
        <f>IF(MateriaisCampo[[#This Row],[FATURAMENTO]]="NORMAL",MateriaisCampo[[#This Row],[VENDA]],0)</f>
        <v>0</v>
      </c>
      <c r="AP53"/>
      <c r="AQ53"/>
      <c r="AR53"/>
    </row>
    <row r="54" spans="1:44" x14ac:dyDescent="0.35">
      <c r="A54" s="113"/>
      <c r="B54" s="113"/>
      <c r="C54" s="113"/>
      <c r="D54" s="113"/>
      <c r="E54" s="434"/>
      <c r="F54" s="434">
        <f t="shared" si="0"/>
        <v>0</v>
      </c>
      <c r="G54" s="113"/>
      <c r="H54" s="435"/>
      <c r="I54" s="436"/>
      <c r="J54" s="437"/>
      <c r="K54" s="438"/>
      <c r="L54" s="438"/>
      <c r="M54" s="458"/>
      <c r="N54" s="445">
        <f>MateriaisCampo[[#This Row],[UNIT S/IPI S/DESC]]-MateriaisCampo[[#This Row],[UNIT S/IPI S/DESC]]*MateriaisCampo[[#This Row],[% DESC]]</f>
        <v>0</v>
      </c>
      <c r="O54" s="441" t="s">
        <v>295</v>
      </c>
      <c r="P54" s="442" t="s">
        <v>155</v>
      </c>
      <c r="Q54" s="438">
        <v>1.6500000000000001E-2</v>
      </c>
      <c r="R54" s="438">
        <v>7.5999999999999998E-2</v>
      </c>
      <c r="S54" s="443">
        <f>MateriaisCampo[[#This Row],[UNIT S/ IP + DIF ICMS]]*MateriaisCampo[[#This Row],[QUANTIDADE]]</f>
        <v>0</v>
      </c>
      <c r="T54" s="444">
        <f>MateriaisCampo[[#This Row],[TOTAL S/ IPI]]+(MateriaisCampo[[#This Row],[TOTAL S/ IPI]]*MateriaisCampo[[#This Row],[IPI %]])</f>
        <v>0</v>
      </c>
      <c r="U54" s="445">
        <f>IF(AND(MateriaisCampo[[#This Row],[ICMS %]]&lt;&gt;18%,MateriaisCampo[[#This Row],[ORIGEM]]&lt;&gt;"SÃO PAULO"),((18%-MateriaisCampo[[#This Row],[ICMS %]])*MateriaisCampo[[#This Row],[UNIT S/ IPI C/DESC]]),0)</f>
        <v>0</v>
      </c>
      <c r="V54" s="437">
        <f>MateriaisCampo[[#This Row],[UNIT S/ IPI C/DESC]]*MateriaisCampo[[#This Row],[ICMS %]]</f>
        <v>0</v>
      </c>
      <c r="W54" s="437">
        <f>MateriaisCampo[[#This Row],[ICMS $]]*MateriaisCampo[[#This Row],[QUANTIDADE]]</f>
        <v>0</v>
      </c>
      <c r="X54" s="446">
        <f>MateriaisCampo[[#This Row],[UNIT S/ IPI C/DESC]]+MateriaisCampo[[#This Row],[DIFERENCIAL ICMS]]</f>
        <v>0</v>
      </c>
      <c r="Y54" s="446">
        <f>(MateriaisCampo[[#This Row],[PIS]]*MateriaisCampo[[#This Row],[UNIT S/ IPI C/DESC]])/2</f>
        <v>0</v>
      </c>
      <c r="Z54" s="446">
        <f>(MateriaisCampo[[#This Row],[COFINS]]*MateriaisCampo[[#This Row],[UNIT S/ IPI C/DESC]])/2</f>
        <v>0</v>
      </c>
      <c r="AA54" s="445">
        <f>MateriaisCampo[[#This Row],[UNIT S/ IP + DIF ICMS]]+(MateriaisCampo[[#This Row],[UNIT S/ IP + DIF ICMS]]*MateriaisCampo[[#This Row],[IPI %]])</f>
        <v>0</v>
      </c>
      <c r="AB54" s="448">
        <f>_xlfn.XLOOKUP(MateriaisCampo[[#This Row],[FATURAMENTO]],BASE!$U$48:$U$50,BASE!$W$48:$W$50,0,0,1)</f>
        <v>0.79709863947533133</v>
      </c>
      <c r="AC54" s="510" t="str">
        <f>RESUMO!$E$56</f>
        <v>SIM</v>
      </c>
      <c r="AD54" s="449" t="str">
        <f>RESUMO!$E$57</f>
        <v>SIM</v>
      </c>
      <c r="AE5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4" s="450">
        <f>MateriaisCampo[[#This Row],[UNIT CRED]]*MateriaisCampo[[#This Row],[QUANTIDADE]]</f>
        <v>0</v>
      </c>
      <c r="AG54" s="451">
        <f>MateriaisCampo[[#This Row],[TOT CRED]]</f>
        <v>0</v>
      </c>
      <c r="AH54" s="452">
        <f>IF(MateriaisCampo[[#This Row],[QUANTIDADE]]&lt;&gt;0,((MateriaisCampo[[#This Row],[TOT CUSTO]]/MateriaisCampo[[#This Row],[QUANTIDADE]])/MateriaisCampo[[#This Row],[MARK-UP]]),0)</f>
        <v>0</v>
      </c>
      <c r="AI54" s="453">
        <f>MateriaisCampo[[#This Row],[UNIT VENDA]]*MateriaisCampo[[#This Row],[QUANTIDADE]]</f>
        <v>0</v>
      </c>
      <c r="AJ54" s="453">
        <f>IFERROR(MateriaisCampo[[#This Row],[VENDA]]*(RESUMO!$F$55/RESUMO!$F$45),0)</f>
        <v>0</v>
      </c>
      <c r="AK54" s="453">
        <f>IFERROR(MateriaisCampo[[#This Row],[VENDA]]*(RESUMO!$F$58/RESUMO!$F$45),0)</f>
        <v>0</v>
      </c>
      <c r="AL54" s="454">
        <f>IF(MateriaisCampo[[#This Row],[FATURAMENTO]]="NORMAL",MateriaisCampo[[#This Row],[VENDA]],0)</f>
        <v>0</v>
      </c>
      <c r="AP54"/>
      <c r="AQ54"/>
      <c r="AR54"/>
    </row>
    <row r="55" spans="1:44" x14ac:dyDescent="0.35">
      <c r="A55" s="113"/>
      <c r="B55" s="113"/>
      <c r="C55" s="113"/>
      <c r="D55" s="113"/>
      <c r="E55" s="434"/>
      <c r="F55" s="434">
        <f t="shared" si="0"/>
        <v>0</v>
      </c>
      <c r="G55" s="113"/>
      <c r="H55" s="435"/>
      <c r="I55" s="436"/>
      <c r="J55" s="437"/>
      <c r="K55" s="438"/>
      <c r="L55" s="438"/>
      <c r="M55" s="458"/>
      <c r="N55" s="445">
        <f>MateriaisCampo[[#This Row],[UNIT S/IPI S/DESC]]-MateriaisCampo[[#This Row],[UNIT S/IPI S/DESC]]*MateriaisCampo[[#This Row],[% DESC]]</f>
        <v>0</v>
      </c>
      <c r="O55" s="441" t="s">
        <v>295</v>
      </c>
      <c r="P55" s="442" t="s">
        <v>155</v>
      </c>
      <c r="Q55" s="438">
        <v>1.6500000000000001E-2</v>
      </c>
      <c r="R55" s="438">
        <v>7.5999999999999998E-2</v>
      </c>
      <c r="S55" s="443">
        <f>MateriaisCampo[[#This Row],[UNIT S/ IP + DIF ICMS]]*MateriaisCampo[[#This Row],[QUANTIDADE]]</f>
        <v>0</v>
      </c>
      <c r="T55" s="444">
        <f>MateriaisCampo[[#This Row],[TOTAL S/ IPI]]+(MateriaisCampo[[#This Row],[TOTAL S/ IPI]]*MateriaisCampo[[#This Row],[IPI %]])</f>
        <v>0</v>
      </c>
      <c r="U55" s="445">
        <f>IF(AND(MateriaisCampo[[#This Row],[ICMS %]]&lt;&gt;18%,MateriaisCampo[[#This Row],[ORIGEM]]&lt;&gt;"SÃO PAULO"),((18%-MateriaisCampo[[#This Row],[ICMS %]])*MateriaisCampo[[#This Row],[UNIT S/ IPI C/DESC]]),0)</f>
        <v>0</v>
      </c>
      <c r="V55" s="437">
        <f>MateriaisCampo[[#This Row],[UNIT S/ IPI C/DESC]]*MateriaisCampo[[#This Row],[ICMS %]]</f>
        <v>0</v>
      </c>
      <c r="W55" s="437">
        <f>MateriaisCampo[[#This Row],[ICMS $]]*MateriaisCampo[[#This Row],[QUANTIDADE]]</f>
        <v>0</v>
      </c>
      <c r="X55" s="446">
        <f>MateriaisCampo[[#This Row],[UNIT S/ IPI C/DESC]]+MateriaisCampo[[#This Row],[DIFERENCIAL ICMS]]</f>
        <v>0</v>
      </c>
      <c r="Y55" s="446">
        <f>(MateriaisCampo[[#This Row],[PIS]]*MateriaisCampo[[#This Row],[UNIT S/ IPI C/DESC]])/2</f>
        <v>0</v>
      </c>
      <c r="Z55" s="446">
        <f>(MateriaisCampo[[#This Row],[COFINS]]*MateriaisCampo[[#This Row],[UNIT S/ IPI C/DESC]])/2</f>
        <v>0</v>
      </c>
      <c r="AA55" s="445">
        <f>MateriaisCampo[[#This Row],[UNIT S/ IP + DIF ICMS]]+(MateriaisCampo[[#This Row],[UNIT S/ IP + DIF ICMS]]*MateriaisCampo[[#This Row],[IPI %]])</f>
        <v>0</v>
      </c>
      <c r="AB55" s="448">
        <f>_xlfn.XLOOKUP(MateriaisCampo[[#This Row],[FATURAMENTO]],BASE!$U$48:$U$50,BASE!$W$48:$W$50,0,0,1)</f>
        <v>0.79709863947533133</v>
      </c>
      <c r="AC55" s="510" t="str">
        <f>RESUMO!$E$56</f>
        <v>SIM</v>
      </c>
      <c r="AD55" s="449" t="str">
        <f>RESUMO!$E$57</f>
        <v>SIM</v>
      </c>
      <c r="AE5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5" s="450">
        <f>MateriaisCampo[[#This Row],[UNIT CRED]]*MateriaisCampo[[#This Row],[QUANTIDADE]]</f>
        <v>0</v>
      </c>
      <c r="AG55" s="451">
        <f>MateriaisCampo[[#This Row],[TOT CRED]]</f>
        <v>0</v>
      </c>
      <c r="AH55" s="452">
        <f>IF(MateriaisCampo[[#This Row],[QUANTIDADE]]&lt;&gt;0,((MateriaisCampo[[#This Row],[TOT CUSTO]]/MateriaisCampo[[#This Row],[QUANTIDADE]])/MateriaisCampo[[#This Row],[MARK-UP]]),0)</f>
        <v>0</v>
      </c>
      <c r="AI55" s="453">
        <f>MateriaisCampo[[#This Row],[UNIT VENDA]]*MateriaisCampo[[#This Row],[QUANTIDADE]]</f>
        <v>0</v>
      </c>
      <c r="AJ55" s="453">
        <f>IFERROR(MateriaisCampo[[#This Row],[VENDA]]*(RESUMO!$F$55/RESUMO!$F$45),0)</f>
        <v>0</v>
      </c>
      <c r="AK55" s="453">
        <f>IFERROR(MateriaisCampo[[#This Row],[VENDA]]*(RESUMO!$F$58/RESUMO!$F$45),0)</f>
        <v>0</v>
      </c>
      <c r="AL55" s="454">
        <f>IF(MateriaisCampo[[#This Row],[FATURAMENTO]]="NORMAL",MateriaisCampo[[#This Row],[VENDA]],0)</f>
        <v>0</v>
      </c>
      <c r="AP55"/>
      <c r="AQ55"/>
      <c r="AR55"/>
    </row>
    <row r="56" spans="1:44" x14ac:dyDescent="0.35">
      <c r="A56" s="113"/>
      <c r="B56" s="113"/>
      <c r="C56" s="113"/>
      <c r="D56" s="113"/>
      <c r="E56" s="434"/>
      <c r="F56" s="434">
        <f t="shared" si="0"/>
        <v>0</v>
      </c>
      <c r="G56" s="113"/>
      <c r="H56" s="435"/>
      <c r="I56" s="436"/>
      <c r="J56" s="437"/>
      <c r="K56" s="438"/>
      <c r="L56" s="438"/>
      <c r="M56" s="458"/>
      <c r="N56" s="445">
        <f>MateriaisCampo[[#This Row],[UNIT S/IPI S/DESC]]-MateriaisCampo[[#This Row],[UNIT S/IPI S/DESC]]*MateriaisCampo[[#This Row],[% DESC]]</f>
        <v>0</v>
      </c>
      <c r="O56" s="441" t="s">
        <v>295</v>
      </c>
      <c r="P56" s="442" t="s">
        <v>155</v>
      </c>
      <c r="Q56" s="438">
        <v>1.6500000000000001E-2</v>
      </c>
      <c r="R56" s="438">
        <v>7.5999999999999998E-2</v>
      </c>
      <c r="S56" s="443">
        <f>MateriaisCampo[[#This Row],[UNIT S/ IP + DIF ICMS]]*MateriaisCampo[[#This Row],[QUANTIDADE]]</f>
        <v>0</v>
      </c>
      <c r="T56" s="444">
        <f>MateriaisCampo[[#This Row],[TOTAL S/ IPI]]+(MateriaisCampo[[#This Row],[TOTAL S/ IPI]]*MateriaisCampo[[#This Row],[IPI %]])</f>
        <v>0</v>
      </c>
      <c r="U56" s="445">
        <f>IF(AND(MateriaisCampo[[#This Row],[ICMS %]]&lt;&gt;18%,MateriaisCampo[[#This Row],[ORIGEM]]&lt;&gt;"SÃO PAULO"),((18%-MateriaisCampo[[#This Row],[ICMS %]])*MateriaisCampo[[#This Row],[UNIT S/ IPI C/DESC]]),0)</f>
        <v>0</v>
      </c>
      <c r="V56" s="437">
        <f>MateriaisCampo[[#This Row],[UNIT S/ IPI C/DESC]]*MateriaisCampo[[#This Row],[ICMS %]]</f>
        <v>0</v>
      </c>
      <c r="W56" s="437">
        <f>MateriaisCampo[[#This Row],[ICMS $]]*MateriaisCampo[[#This Row],[QUANTIDADE]]</f>
        <v>0</v>
      </c>
      <c r="X56" s="446">
        <f>MateriaisCampo[[#This Row],[UNIT S/ IPI C/DESC]]+MateriaisCampo[[#This Row],[DIFERENCIAL ICMS]]</f>
        <v>0</v>
      </c>
      <c r="Y56" s="446">
        <f>(MateriaisCampo[[#This Row],[PIS]]*MateriaisCampo[[#This Row],[UNIT S/ IPI C/DESC]])/2</f>
        <v>0</v>
      </c>
      <c r="Z56" s="446">
        <f>(MateriaisCampo[[#This Row],[COFINS]]*MateriaisCampo[[#This Row],[UNIT S/ IPI C/DESC]])/2</f>
        <v>0</v>
      </c>
      <c r="AA56" s="445">
        <f>MateriaisCampo[[#This Row],[UNIT S/ IP + DIF ICMS]]+(MateriaisCampo[[#This Row],[UNIT S/ IP + DIF ICMS]]*MateriaisCampo[[#This Row],[IPI %]])</f>
        <v>0</v>
      </c>
      <c r="AB56" s="448">
        <f>_xlfn.XLOOKUP(MateriaisCampo[[#This Row],[FATURAMENTO]],BASE!$U$48:$U$50,BASE!$W$48:$W$50,0,0,1)</f>
        <v>0.79709863947533133</v>
      </c>
      <c r="AC56" s="510" t="str">
        <f>RESUMO!$E$56</f>
        <v>SIM</v>
      </c>
      <c r="AD56" s="449" t="str">
        <f>RESUMO!$E$57</f>
        <v>SIM</v>
      </c>
      <c r="AE5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6" s="450">
        <f>MateriaisCampo[[#This Row],[UNIT CRED]]*MateriaisCampo[[#This Row],[QUANTIDADE]]</f>
        <v>0</v>
      </c>
      <c r="AG56" s="451">
        <f>MateriaisCampo[[#This Row],[TOT CRED]]</f>
        <v>0</v>
      </c>
      <c r="AH56" s="452">
        <f>IF(MateriaisCampo[[#This Row],[QUANTIDADE]]&lt;&gt;0,((MateriaisCampo[[#This Row],[TOT CUSTO]]/MateriaisCampo[[#This Row],[QUANTIDADE]])/MateriaisCampo[[#This Row],[MARK-UP]]),0)</f>
        <v>0</v>
      </c>
      <c r="AI56" s="453">
        <f>MateriaisCampo[[#This Row],[UNIT VENDA]]*MateriaisCampo[[#This Row],[QUANTIDADE]]</f>
        <v>0</v>
      </c>
      <c r="AJ56" s="453">
        <f>IFERROR(MateriaisCampo[[#This Row],[VENDA]]*(RESUMO!$F$55/RESUMO!$F$45),0)</f>
        <v>0</v>
      </c>
      <c r="AK56" s="453">
        <f>IFERROR(MateriaisCampo[[#This Row],[VENDA]]*(RESUMO!$F$58/RESUMO!$F$45),0)</f>
        <v>0</v>
      </c>
      <c r="AL56" s="454">
        <f>IF(MateriaisCampo[[#This Row],[FATURAMENTO]]="NORMAL",MateriaisCampo[[#This Row],[VENDA]],0)</f>
        <v>0</v>
      </c>
      <c r="AP56"/>
      <c r="AQ56"/>
      <c r="AR56"/>
    </row>
    <row r="57" spans="1:44" x14ac:dyDescent="0.35">
      <c r="A57" s="113"/>
      <c r="B57" s="113"/>
      <c r="C57" s="113"/>
      <c r="D57" s="113"/>
      <c r="E57" s="434"/>
      <c r="F57" s="434">
        <f t="shared" si="0"/>
        <v>0</v>
      </c>
      <c r="G57" s="113"/>
      <c r="H57" s="435"/>
      <c r="I57" s="436"/>
      <c r="J57" s="437"/>
      <c r="K57" s="438"/>
      <c r="L57" s="438"/>
      <c r="M57" s="458"/>
      <c r="N57" s="445">
        <f>MateriaisCampo[[#This Row],[UNIT S/IPI S/DESC]]-MateriaisCampo[[#This Row],[UNIT S/IPI S/DESC]]*MateriaisCampo[[#This Row],[% DESC]]</f>
        <v>0</v>
      </c>
      <c r="O57" s="441" t="s">
        <v>295</v>
      </c>
      <c r="P57" s="442" t="s">
        <v>155</v>
      </c>
      <c r="Q57" s="438">
        <v>1.6500000000000001E-2</v>
      </c>
      <c r="R57" s="438">
        <v>7.5999999999999998E-2</v>
      </c>
      <c r="S57" s="443">
        <f>MateriaisCampo[[#This Row],[UNIT S/ IP + DIF ICMS]]*MateriaisCampo[[#This Row],[QUANTIDADE]]</f>
        <v>0</v>
      </c>
      <c r="T57" s="444">
        <f>MateriaisCampo[[#This Row],[TOTAL S/ IPI]]+(MateriaisCampo[[#This Row],[TOTAL S/ IPI]]*MateriaisCampo[[#This Row],[IPI %]])</f>
        <v>0</v>
      </c>
      <c r="U57" s="445">
        <f>IF(AND(MateriaisCampo[[#This Row],[ICMS %]]&lt;&gt;18%,MateriaisCampo[[#This Row],[ORIGEM]]&lt;&gt;"SÃO PAULO"),((18%-MateriaisCampo[[#This Row],[ICMS %]])*MateriaisCampo[[#This Row],[UNIT S/ IPI C/DESC]]),0)</f>
        <v>0</v>
      </c>
      <c r="V57" s="437">
        <f>MateriaisCampo[[#This Row],[UNIT S/ IPI C/DESC]]*MateriaisCampo[[#This Row],[ICMS %]]</f>
        <v>0</v>
      </c>
      <c r="W57" s="437">
        <f>MateriaisCampo[[#This Row],[ICMS $]]*MateriaisCampo[[#This Row],[QUANTIDADE]]</f>
        <v>0</v>
      </c>
      <c r="X57" s="446">
        <f>MateriaisCampo[[#This Row],[UNIT S/ IPI C/DESC]]+MateriaisCampo[[#This Row],[DIFERENCIAL ICMS]]</f>
        <v>0</v>
      </c>
      <c r="Y57" s="446">
        <f>(MateriaisCampo[[#This Row],[PIS]]*MateriaisCampo[[#This Row],[UNIT S/ IPI C/DESC]])/2</f>
        <v>0</v>
      </c>
      <c r="Z57" s="446">
        <f>(MateriaisCampo[[#This Row],[COFINS]]*MateriaisCampo[[#This Row],[UNIT S/ IPI C/DESC]])/2</f>
        <v>0</v>
      </c>
      <c r="AA57" s="445">
        <f>MateriaisCampo[[#This Row],[UNIT S/ IP + DIF ICMS]]+(MateriaisCampo[[#This Row],[UNIT S/ IP + DIF ICMS]]*MateriaisCampo[[#This Row],[IPI %]])</f>
        <v>0</v>
      </c>
      <c r="AB57" s="448">
        <f>_xlfn.XLOOKUP(MateriaisCampo[[#This Row],[FATURAMENTO]],BASE!$U$48:$U$50,BASE!$W$48:$W$50,0,0,1)</f>
        <v>0.79709863947533133</v>
      </c>
      <c r="AC57" s="510" t="str">
        <f>RESUMO!$E$56</f>
        <v>SIM</v>
      </c>
      <c r="AD57" s="449" t="str">
        <f>RESUMO!$E$57</f>
        <v>SIM</v>
      </c>
      <c r="AE5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7" s="450">
        <f>MateriaisCampo[[#This Row],[UNIT CRED]]*MateriaisCampo[[#This Row],[QUANTIDADE]]</f>
        <v>0</v>
      </c>
      <c r="AG57" s="451">
        <f>MateriaisCampo[[#This Row],[TOT CRED]]</f>
        <v>0</v>
      </c>
      <c r="AH57" s="452">
        <f>IF(MateriaisCampo[[#This Row],[QUANTIDADE]]&lt;&gt;0,((MateriaisCampo[[#This Row],[TOT CUSTO]]/MateriaisCampo[[#This Row],[QUANTIDADE]])/MateriaisCampo[[#This Row],[MARK-UP]]),0)</f>
        <v>0</v>
      </c>
      <c r="AI57" s="453">
        <f>MateriaisCampo[[#This Row],[UNIT VENDA]]*MateriaisCampo[[#This Row],[QUANTIDADE]]</f>
        <v>0</v>
      </c>
      <c r="AJ57" s="453">
        <f>IFERROR(MateriaisCampo[[#This Row],[VENDA]]*(RESUMO!$F$55/RESUMO!$F$45),0)</f>
        <v>0</v>
      </c>
      <c r="AK57" s="453">
        <f>IFERROR(MateriaisCampo[[#This Row],[VENDA]]*(RESUMO!$F$58/RESUMO!$F$45),0)</f>
        <v>0</v>
      </c>
      <c r="AL57" s="454">
        <f>IF(MateriaisCampo[[#This Row],[FATURAMENTO]]="NORMAL",MateriaisCampo[[#This Row],[VENDA]],0)</f>
        <v>0</v>
      </c>
      <c r="AP57"/>
      <c r="AQ57"/>
      <c r="AR57"/>
    </row>
    <row r="58" spans="1:44" ht="23" x14ac:dyDescent="0.35">
      <c r="A58" s="484" t="s">
        <v>588</v>
      </c>
      <c r="B58" s="484" t="s">
        <v>589</v>
      </c>
      <c r="C58" s="484" t="s">
        <v>590</v>
      </c>
      <c r="D58" s="484"/>
      <c r="E58" s="485"/>
      <c r="F58" s="485">
        <f t="shared" ref="F58" si="1">F$7</f>
        <v>0</v>
      </c>
      <c r="G58" s="484"/>
      <c r="H58" s="486"/>
      <c r="I58" s="487"/>
      <c r="J58" s="488"/>
      <c r="K58" s="438"/>
      <c r="L58" s="438"/>
      <c r="M58" s="458"/>
      <c r="N58" s="445">
        <f>MateriaisCampo[[#This Row],[UNIT S/IPI S/DESC]]-MateriaisCampo[[#This Row],[UNIT S/IPI S/DESC]]*MateriaisCampo[[#This Row],[% DESC]]</f>
        <v>0</v>
      </c>
      <c r="O58" s="441" t="s">
        <v>295</v>
      </c>
      <c r="P58" s="442" t="s">
        <v>155</v>
      </c>
      <c r="Q58" s="438">
        <v>1.6500000000000001E-2</v>
      </c>
      <c r="R58" s="438">
        <v>7.5999999999999998E-2</v>
      </c>
      <c r="S58" s="443">
        <f>MateriaisCampo[[#This Row],[UNIT S/ IP + DIF ICMS]]*MateriaisCampo[[#This Row],[QUANTIDADE]]</f>
        <v>0</v>
      </c>
      <c r="T58" s="444">
        <f>MateriaisCampo[[#This Row],[TOTAL S/ IPI]]+(MateriaisCampo[[#This Row],[TOTAL S/ IPI]]*MateriaisCampo[[#This Row],[IPI %]])</f>
        <v>0</v>
      </c>
      <c r="U58" s="445">
        <f>IF(AND(MateriaisCampo[[#This Row],[ICMS %]]&lt;&gt;18%,MateriaisCampo[[#This Row],[ORIGEM]]&lt;&gt;"SÃO PAULO"),((18%-MateriaisCampo[[#This Row],[ICMS %]])*MateriaisCampo[[#This Row],[UNIT S/ IPI C/DESC]]),0)</f>
        <v>0</v>
      </c>
      <c r="V58" s="437">
        <f>MateriaisCampo[[#This Row],[UNIT S/ IPI C/DESC]]*MateriaisCampo[[#This Row],[ICMS %]]</f>
        <v>0</v>
      </c>
      <c r="W58" s="437">
        <f>MateriaisCampo[[#This Row],[ICMS $]]*MateriaisCampo[[#This Row],[QUANTIDADE]]</f>
        <v>0</v>
      </c>
      <c r="X58" s="446">
        <f>MateriaisCampo[[#This Row],[UNIT S/ IPI C/DESC]]+MateriaisCampo[[#This Row],[DIFERENCIAL ICMS]]</f>
        <v>0</v>
      </c>
      <c r="Y58" s="446">
        <f>(MateriaisCampo[[#This Row],[PIS]]*MateriaisCampo[[#This Row],[UNIT S/ IPI C/DESC]])/2</f>
        <v>0</v>
      </c>
      <c r="Z58" s="446">
        <f>(MateriaisCampo[[#This Row],[COFINS]]*MateriaisCampo[[#This Row],[UNIT S/ IPI C/DESC]])/2</f>
        <v>0</v>
      </c>
      <c r="AA58" s="445">
        <f>MateriaisCampo[[#This Row],[UNIT S/ IP + DIF ICMS]]+(MateriaisCampo[[#This Row],[UNIT S/ IP + DIF ICMS]]*MateriaisCampo[[#This Row],[IPI %]])</f>
        <v>0</v>
      </c>
      <c r="AB58" s="448">
        <f>_xlfn.XLOOKUP(MateriaisCampo[[#This Row],[FATURAMENTO]],BASE!$U$48:$U$50,BASE!$W$48:$W$50,0,0,1)</f>
        <v>0.79709863947533133</v>
      </c>
      <c r="AC58" s="510" t="str">
        <f>RESUMO!$E$56</f>
        <v>SIM</v>
      </c>
      <c r="AD58" s="449" t="str">
        <f>RESUMO!$E$57</f>
        <v>SIM</v>
      </c>
      <c r="AE5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8" s="450">
        <f>MateriaisCampo[[#This Row],[UNIT CRED]]*MateriaisCampo[[#This Row],[QUANTIDADE]]</f>
        <v>0</v>
      </c>
      <c r="AG58" s="451">
        <f>MateriaisCampo[[#This Row],[TOT CRED]]</f>
        <v>0</v>
      </c>
      <c r="AH58" s="452">
        <f>IF(MateriaisCampo[[#This Row],[QUANTIDADE]]&lt;&gt;0,((MateriaisCampo[[#This Row],[TOT CUSTO]]/MateriaisCampo[[#This Row],[QUANTIDADE]])/MateriaisCampo[[#This Row],[MARK-UP]]),0)</f>
        <v>0</v>
      </c>
      <c r="AI58" s="453">
        <f>MateriaisCampo[[#This Row],[UNIT VENDA]]*MateriaisCampo[[#This Row],[QUANTIDADE]]</f>
        <v>0</v>
      </c>
      <c r="AJ58" s="453">
        <f>IFERROR(MateriaisCampo[[#This Row],[VENDA]]*(RESUMO!$F$55/RESUMO!$F$45),0)</f>
        <v>0</v>
      </c>
      <c r="AK58" s="453">
        <f>IFERROR(MateriaisCampo[[#This Row],[VENDA]]*(RESUMO!$F$58/RESUMO!$F$45),0)</f>
        <v>0</v>
      </c>
      <c r="AL58" s="454">
        <f>IF(MateriaisCampo[[#This Row],[FATURAMENTO]]="NORMAL",MateriaisCampo[[#This Row],[VENDA]],0)</f>
        <v>0</v>
      </c>
      <c r="AP58"/>
      <c r="AQ58"/>
      <c r="AR58"/>
    </row>
    <row r="59" spans="1:44" ht="23" x14ac:dyDescent="0.35">
      <c r="A59" s="113" t="s">
        <v>588</v>
      </c>
      <c r="B59" s="113" t="s">
        <v>589</v>
      </c>
      <c r="C59" s="113" t="s">
        <v>591</v>
      </c>
      <c r="D59" s="113" t="s">
        <v>592</v>
      </c>
      <c r="E59" s="434" t="s">
        <v>595</v>
      </c>
      <c r="F59" s="434">
        <f t="shared" si="0"/>
        <v>0</v>
      </c>
      <c r="G59" s="113"/>
      <c r="H59" s="435" t="s">
        <v>551</v>
      </c>
      <c r="I59" s="436">
        <v>200</v>
      </c>
      <c r="J59" s="437"/>
      <c r="K59" s="438"/>
      <c r="L59" s="438"/>
      <c r="M59" s="458"/>
      <c r="N59" s="445">
        <f>MateriaisCampo[[#This Row],[UNIT S/IPI S/DESC]]-MateriaisCampo[[#This Row],[UNIT S/IPI S/DESC]]*MateriaisCampo[[#This Row],[% DESC]]</f>
        <v>0</v>
      </c>
      <c r="O59" s="441" t="s">
        <v>295</v>
      </c>
      <c r="P59" s="442" t="s">
        <v>155</v>
      </c>
      <c r="Q59" s="438">
        <v>1.6500000000000001E-2</v>
      </c>
      <c r="R59" s="438">
        <v>7.5999999999999998E-2</v>
      </c>
      <c r="S59" s="443">
        <f>MateriaisCampo[[#This Row],[UNIT S/ IP + DIF ICMS]]*MateriaisCampo[[#This Row],[QUANTIDADE]]</f>
        <v>0</v>
      </c>
      <c r="T59" s="444">
        <f>MateriaisCampo[[#This Row],[TOTAL S/ IPI]]+(MateriaisCampo[[#This Row],[TOTAL S/ IPI]]*MateriaisCampo[[#This Row],[IPI %]])</f>
        <v>0</v>
      </c>
      <c r="U59" s="445">
        <f>IF(AND(MateriaisCampo[[#This Row],[ICMS %]]&lt;&gt;18%,MateriaisCampo[[#This Row],[ORIGEM]]&lt;&gt;"SÃO PAULO"),((18%-MateriaisCampo[[#This Row],[ICMS %]])*MateriaisCampo[[#This Row],[UNIT S/ IPI C/DESC]]),0)</f>
        <v>0</v>
      </c>
      <c r="V59" s="437">
        <f>MateriaisCampo[[#This Row],[UNIT S/ IPI C/DESC]]*MateriaisCampo[[#This Row],[ICMS %]]</f>
        <v>0</v>
      </c>
      <c r="W59" s="437">
        <f>MateriaisCampo[[#This Row],[ICMS $]]*MateriaisCampo[[#This Row],[QUANTIDADE]]</f>
        <v>0</v>
      </c>
      <c r="X59" s="446">
        <f>MateriaisCampo[[#This Row],[UNIT S/ IPI C/DESC]]+MateriaisCampo[[#This Row],[DIFERENCIAL ICMS]]</f>
        <v>0</v>
      </c>
      <c r="Y59" s="446">
        <f>(MateriaisCampo[[#This Row],[PIS]]*MateriaisCampo[[#This Row],[UNIT S/ IPI C/DESC]])/2</f>
        <v>0</v>
      </c>
      <c r="Z59" s="446">
        <f>(MateriaisCampo[[#This Row],[COFINS]]*MateriaisCampo[[#This Row],[UNIT S/ IPI C/DESC]])/2</f>
        <v>0</v>
      </c>
      <c r="AA59" s="445">
        <f>MateriaisCampo[[#This Row],[UNIT S/ IP + DIF ICMS]]+(MateriaisCampo[[#This Row],[UNIT S/ IP + DIF ICMS]]*MateriaisCampo[[#This Row],[IPI %]])</f>
        <v>0</v>
      </c>
      <c r="AB59" s="448">
        <f>_xlfn.XLOOKUP(MateriaisCampo[[#This Row],[FATURAMENTO]],BASE!$U$48:$U$50,BASE!$W$48:$W$50,0,0,1)</f>
        <v>0.79709863947533133</v>
      </c>
      <c r="AC59" s="510" t="str">
        <f>RESUMO!$E$56</f>
        <v>SIM</v>
      </c>
      <c r="AD59" s="449" t="str">
        <f>RESUMO!$E$57</f>
        <v>SIM</v>
      </c>
      <c r="AE5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59" s="450">
        <f>MateriaisCampo[[#This Row],[UNIT CRED]]*MateriaisCampo[[#This Row],[QUANTIDADE]]</f>
        <v>0</v>
      </c>
      <c r="AG59" s="451">
        <f>MateriaisCampo[[#This Row],[TOT CRED]]</f>
        <v>0</v>
      </c>
      <c r="AH59" s="452">
        <f>IF(MateriaisCampo[[#This Row],[QUANTIDADE]]&lt;&gt;0,((MateriaisCampo[[#This Row],[TOT CUSTO]]/MateriaisCampo[[#This Row],[QUANTIDADE]])/MateriaisCampo[[#This Row],[MARK-UP]]),0)</f>
        <v>0</v>
      </c>
      <c r="AI59" s="453">
        <f>MateriaisCampo[[#This Row],[UNIT VENDA]]*MateriaisCampo[[#This Row],[QUANTIDADE]]</f>
        <v>0</v>
      </c>
      <c r="AJ59" s="453">
        <f>IFERROR(MateriaisCampo[[#This Row],[VENDA]]*(RESUMO!$F$55/RESUMO!$F$45),0)</f>
        <v>0</v>
      </c>
      <c r="AK59" s="453">
        <f>IFERROR(MateriaisCampo[[#This Row],[VENDA]]*(RESUMO!$F$58/RESUMO!$F$45),0)</f>
        <v>0</v>
      </c>
      <c r="AL59" s="454">
        <f>IF(MateriaisCampo[[#This Row],[FATURAMENTO]]="NORMAL",MateriaisCampo[[#This Row],[VENDA]],0)</f>
        <v>0</v>
      </c>
      <c r="AP59"/>
      <c r="AQ59"/>
      <c r="AR59"/>
    </row>
    <row r="60" spans="1:44" ht="23" x14ac:dyDescent="0.35">
      <c r="A60" s="113" t="s">
        <v>588</v>
      </c>
      <c r="B60" s="113" t="s">
        <v>589</v>
      </c>
      <c r="C60" s="113" t="s">
        <v>593</v>
      </c>
      <c r="D60" s="113" t="s">
        <v>594</v>
      </c>
      <c r="E60" s="434" t="s">
        <v>595</v>
      </c>
      <c r="F60" s="434">
        <v>0</v>
      </c>
      <c r="G60" s="113"/>
      <c r="H60" s="435" t="s">
        <v>551</v>
      </c>
      <c r="I60" s="436">
        <v>700</v>
      </c>
      <c r="J60" s="437"/>
      <c r="K60" s="438"/>
      <c r="L60" s="438"/>
      <c r="M60" s="458"/>
      <c r="N60" s="445">
        <f>MateriaisCampo[[#This Row],[UNIT S/IPI S/DESC]]-MateriaisCampo[[#This Row],[UNIT S/IPI S/DESC]]*MateriaisCampo[[#This Row],[% DESC]]</f>
        <v>0</v>
      </c>
      <c r="O60" s="441" t="s">
        <v>295</v>
      </c>
      <c r="P60" s="442" t="s">
        <v>155</v>
      </c>
      <c r="Q60" s="438">
        <v>1.6500000000000001E-2</v>
      </c>
      <c r="R60" s="438">
        <v>7.5999999999999998E-2</v>
      </c>
      <c r="S60" s="443">
        <f>MateriaisCampo[[#This Row],[UNIT S/ IP + DIF ICMS]]*MateriaisCampo[[#This Row],[QUANTIDADE]]</f>
        <v>0</v>
      </c>
      <c r="T60" s="444">
        <f>MateriaisCampo[[#This Row],[TOTAL S/ IPI]]+(MateriaisCampo[[#This Row],[TOTAL S/ IPI]]*MateriaisCampo[[#This Row],[IPI %]])</f>
        <v>0</v>
      </c>
      <c r="U60" s="445">
        <f>IF(AND(MateriaisCampo[[#This Row],[ICMS %]]&lt;&gt;18%,MateriaisCampo[[#This Row],[ORIGEM]]&lt;&gt;"SÃO PAULO"),((18%-MateriaisCampo[[#This Row],[ICMS %]])*MateriaisCampo[[#This Row],[UNIT S/ IPI C/DESC]]),0)</f>
        <v>0</v>
      </c>
      <c r="V60" s="437">
        <f>MateriaisCampo[[#This Row],[UNIT S/ IPI C/DESC]]*MateriaisCampo[[#This Row],[ICMS %]]</f>
        <v>0</v>
      </c>
      <c r="W60" s="437">
        <f>MateriaisCampo[[#This Row],[ICMS $]]*MateriaisCampo[[#This Row],[QUANTIDADE]]</f>
        <v>0</v>
      </c>
      <c r="X60" s="446">
        <f>MateriaisCampo[[#This Row],[UNIT S/ IPI C/DESC]]+MateriaisCampo[[#This Row],[DIFERENCIAL ICMS]]</f>
        <v>0</v>
      </c>
      <c r="Y60" s="446">
        <f>(MateriaisCampo[[#This Row],[PIS]]*MateriaisCampo[[#This Row],[UNIT S/ IPI C/DESC]])/2</f>
        <v>0</v>
      </c>
      <c r="Z60" s="446">
        <f>(MateriaisCampo[[#This Row],[COFINS]]*MateriaisCampo[[#This Row],[UNIT S/ IPI C/DESC]])/2</f>
        <v>0</v>
      </c>
      <c r="AA60" s="445">
        <f>MateriaisCampo[[#This Row],[UNIT S/ IP + DIF ICMS]]+(MateriaisCampo[[#This Row],[UNIT S/ IP + DIF ICMS]]*MateriaisCampo[[#This Row],[IPI %]])</f>
        <v>0</v>
      </c>
      <c r="AB60" s="448">
        <f>_xlfn.XLOOKUP(MateriaisCampo[[#This Row],[FATURAMENTO]],BASE!$U$48:$U$50,BASE!$W$48:$W$50,0,0,1)</f>
        <v>0.79709863947533133</v>
      </c>
      <c r="AC60" s="510" t="str">
        <f>RESUMO!$E$56</f>
        <v>SIM</v>
      </c>
      <c r="AD60" s="449" t="str">
        <f>RESUMO!$E$57</f>
        <v>SIM</v>
      </c>
      <c r="AE6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60" s="450">
        <f>MateriaisCampo[[#This Row],[UNIT CRED]]*MateriaisCampo[[#This Row],[QUANTIDADE]]</f>
        <v>0</v>
      </c>
      <c r="AG60" s="451">
        <f>MateriaisCampo[[#This Row],[TOT CRED]]</f>
        <v>0</v>
      </c>
      <c r="AH60" s="452">
        <f>IF(MateriaisCampo[[#This Row],[QUANTIDADE]]&lt;&gt;0,((MateriaisCampo[[#This Row],[TOT CUSTO]]/MateriaisCampo[[#This Row],[QUANTIDADE]])/MateriaisCampo[[#This Row],[MARK-UP]]),0)</f>
        <v>0</v>
      </c>
      <c r="AI60" s="453">
        <f>MateriaisCampo[[#This Row],[UNIT VENDA]]*MateriaisCampo[[#This Row],[QUANTIDADE]]</f>
        <v>0</v>
      </c>
      <c r="AJ60" s="453">
        <f>IFERROR(MateriaisCampo[[#This Row],[VENDA]]*(RESUMO!$F$55/RESUMO!$F$45),0)</f>
        <v>0</v>
      </c>
      <c r="AK60" s="453">
        <f>IFERROR(MateriaisCampo[[#This Row],[VENDA]]*(RESUMO!$F$58/RESUMO!$F$45),0)</f>
        <v>0</v>
      </c>
      <c r="AL60" s="454">
        <f>IF(MateriaisCampo[[#This Row],[FATURAMENTO]]="NORMAL",MateriaisCampo[[#This Row],[VENDA]],0)</f>
        <v>0</v>
      </c>
      <c r="AP60"/>
      <c r="AQ60"/>
      <c r="AR60"/>
    </row>
    <row r="61" spans="1:44" x14ac:dyDescent="0.35">
      <c r="A61" s="113"/>
      <c r="B61" s="113"/>
      <c r="C61" s="113"/>
      <c r="D61" s="113"/>
      <c r="E61" s="434"/>
      <c r="F61" s="434">
        <f t="shared" si="0"/>
        <v>0</v>
      </c>
      <c r="G61" s="113"/>
      <c r="H61" s="435"/>
      <c r="I61" s="436"/>
      <c r="J61" s="437"/>
      <c r="K61" s="438"/>
      <c r="L61" s="438"/>
      <c r="M61" s="458"/>
      <c r="N61" s="445">
        <f>MateriaisCampo[[#This Row],[UNIT S/IPI S/DESC]]-MateriaisCampo[[#This Row],[UNIT S/IPI S/DESC]]*MateriaisCampo[[#This Row],[% DESC]]</f>
        <v>0</v>
      </c>
      <c r="O61" s="441" t="s">
        <v>295</v>
      </c>
      <c r="P61" s="442" t="s">
        <v>155</v>
      </c>
      <c r="Q61" s="438">
        <v>1.6500000000000001E-2</v>
      </c>
      <c r="R61" s="438">
        <v>7.5999999999999998E-2</v>
      </c>
      <c r="S61" s="443">
        <f>MateriaisCampo[[#This Row],[UNIT S/ IP + DIF ICMS]]*MateriaisCampo[[#This Row],[QUANTIDADE]]</f>
        <v>0</v>
      </c>
      <c r="T61" s="444">
        <f>MateriaisCampo[[#This Row],[TOTAL S/ IPI]]+(MateriaisCampo[[#This Row],[TOTAL S/ IPI]]*MateriaisCampo[[#This Row],[IPI %]])</f>
        <v>0</v>
      </c>
      <c r="U61" s="445">
        <f>IF(AND(MateriaisCampo[[#This Row],[ICMS %]]&lt;&gt;18%,MateriaisCampo[[#This Row],[ORIGEM]]&lt;&gt;"SÃO PAULO"),((18%-MateriaisCampo[[#This Row],[ICMS %]])*MateriaisCampo[[#This Row],[UNIT S/ IPI C/DESC]]),0)</f>
        <v>0</v>
      </c>
      <c r="V61" s="437">
        <f>MateriaisCampo[[#This Row],[UNIT S/ IPI C/DESC]]*MateriaisCampo[[#This Row],[ICMS %]]</f>
        <v>0</v>
      </c>
      <c r="W61" s="437">
        <f>MateriaisCampo[[#This Row],[ICMS $]]*MateriaisCampo[[#This Row],[QUANTIDADE]]</f>
        <v>0</v>
      </c>
      <c r="X61" s="446">
        <f>MateriaisCampo[[#This Row],[UNIT S/ IPI C/DESC]]+MateriaisCampo[[#This Row],[DIFERENCIAL ICMS]]</f>
        <v>0</v>
      </c>
      <c r="Y61" s="446">
        <f>(MateriaisCampo[[#This Row],[PIS]]*MateriaisCampo[[#This Row],[UNIT S/ IPI C/DESC]])/2</f>
        <v>0</v>
      </c>
      <c r="Z61" s="446">
        <f>(MateriaisCampo[[#This Row],[COFINS]]*MateriaisCampo[[#This Row],[UNIT S/ IPI C/DESC]])/2</f>
        <v>0</v>
      </c>
      <c r="AA61" s="445">
        <f>MateriaisCampo[[#This Row],[UNIT S/ IP + DIF ICMS]]+(MateriaisCampo[[#This Row],[UNIT S/ IP + DIF ICMS]]*MateriaisCampo[[#This Row],[IPI %]])</f>
        <v>0</v>
      </c>
      <c r="AB61" s="448">
        <f>_xlfn.XLOOKUP(MateriaisCampo[[#This Row],[FATURAMENTO]],BASE!$U$48:$U$50,BASE!$W$48:$W$50,0,0,1)</f>
        <v>0.79709863947533133</v>
      </c>
      <c r="AC61" s="510" t="str">
        <f>RESUMO!$E$56</f>
        <v>SIM</v>
      </c>
      <c r="AD61" s="449" t="str">
        <f>RESUMO!$E$57</f>
        <v>SIM</v>
      </c>
      <c r="AE6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61" s="450">
        <f>MateriaisCampo[[#This Row],[UNIT CRED]]*MateriaisCampo[[#This Row],[QUANTIDADE]]</f>
        <v>0</v>
      </c>
      <c r="AG61" s="451">
        <f>MateriaisCampo[[#This Row],[TOT CRED]]</f>
        <v>0</v>
      </c>
      <c r="AH61" s="452">
        <f>IF(MateriaisCampo[[#This Row],[QUANTIDADE]]&lt;&gt;0,((MateriaisCampo[[#This Row],[TOT CUSTO]]/MateriaisCampo[[#This Row],[QUANTIDADE]])/MateriaisCampo[[#This Row],[MARK-UP]]),0)</f>
        <v>0</v>
      </c>
      <c r="AI61" s="453">
        <f>MateriaisCampo[[#This Row],[UNIT VENDA]]*MateriaisCampo[[#This Row],[QUANTIDADE]]</f>
        <v>0</v>
      </c>
      <c r="AJ61" s="453">
        <f>IFERROR(MateriaisCampo[[#This Row],[VENDA]]*(RESUMO!$F$55/RESUMO!$F$45),0)</f>
        <v>0</v>
      </c>
      <c r="AK61" s="453">
        <f>IFERROR(MateriaisCampo[[#This Row],[VENDA]]*(RESUMO!$F$58/RESUMO!$F$45),0)</f>
        <v>0</v>
      </c>
      <c r="AL61" s="454">
        <f>IF(MateriaisCampo[[#This Row],[FATURAMENTO]]="NORMAL",MateriaisCampo[[#This Row],[VENDA]],0)</f>
        <v>0</v>
      </c>
      <c r="AP61"/>
      <c r="AQ61"/>
      <c r="AR61"/>
    </row>
    <row r="62" spans="1:44" x14ac:dyDescent="0.35">
      <c r="A62" s="113"/>
      <c r="B62" s="113"/>
      <c r="C62" s="113"/>
      <c r="D62" s="113"/>
      <c r="E62" s="434"/>
      <c r="F62" s="434">
        <f t="shared" si="0"/>
        <v>0</v>
      </c>
      <c r="G62" s="113"/>
      <c r="H62" s="435"/>
      <c r="I62" s="436"/>
      <c r="J62" s="437"/>
      <c r="K62" s="438"/>
      <c r="L62" s="438"/>
      <c r="M62" s="458"/>
      <c r="N62" s="445">
        <f>MateriaisCampo[[#This Row],[UNIT S/IPI S/DESC]]-MateriaisCampo[[#This Row],[UNIT S/IPI S/DESC]]*MateriaisCampo[[#This Row],[% DESC]]</f>
        <v>0</v>
      </c>
      <c r="O62" s="441" t="s">
        <v>295</v>
      </c>
      <c r="P62" s="442" t="s">
        <v>155</v>
      </c>
      <c r="Q62" s="438">
        <v>1.6500000000000001E-2</v>
      </c>
      <c r="R62" s="438">
        <v>7.5999999999999998E-2</v>
      </c>
      <c r="S62" s="443">
        <f>MateriaisCampo[[#This Row],[UNIT S/ IP + DIF ICMS]]*MateriaisCampo[[#This Row],[QUANTIDADE]]</f>
        <v>0</v>
      </c>
      <c r="T62" s="444">
        <f>MateriaisCampo[[#This Row],[TOTAL S/ IPI]]+(MateriaisCampo[[#This Row],[TOTAL S/ IPI]]*MateriaisCampo[[#This Row],[IPI %]])</f>
        <v>0</v>
      </c>
      <c r="U62" s="445">
        <f>IF(AND(MateriaisCampo[[#This Row],[ICMS %]]&lt;&gt;18%,MateriaisCampo[[#This Row],[ORIGEM]]&lt;&gt;"SÃO PAULO"),((18%-MateriaisCampo[[#This Row],[ICMS %]])*MateriaisCampo[[#This Row],[UNIT S/ IPI C/DESC]]),0)</f>
        <v>0</v>
      </c>
      <c r="V62" s="437">
        <f>MateriaisCampo[[#This Row],[UNIT S/ IPI C/DESC]]*MateriaisCampo[[#This Row],[ICMS %]]</f>
        <v>0</v>
      </c>
      <c r="W62" s="437">
        <f>MateriaisCampo[[#This Row],[ICMS $]]*MateriaisCampo[[#This Row],[QUANTIDADE]]</f>
        <v>0</v>
      </c>
      <c r="X62" s="446">
        <f>MateriaisCampo[[#This Row],[UNIT S/ IPI C/DESC]]+MateriaisCampo[[#This Row],[DIFERENCIAL ICMS]]</f>
        <v>0</v>
      </c>
      <c r="Y62" s="446">
        <f>(MateriaisCampo[[#This Row],[PIS]]*MateriaisCampo[[#This Row],[UNIT S/ IPI C/DESC]])/2</f>
        <v>0</v>
      </c>
      <c r="Z62" s="446">
        <f>(MateriaisCampo[[#This Row],[COFINS]]*MateriaisCampo[[#This Row],[UNIT S/ IPI C/DESC]])/2</f>
        <v>0</v>
      </c>
      <c r="AA62" s="445">
        <f>MateriaisCampo[[#This Row],[UNIT S/ IP + DIF ICMS]]+(MateriaisCampo[[#This Row],[UNIT S/ IP + DIF ICMS]]*MateriaisCampo[[#This Row],[IPI %]])</f>
        <v>0</v>
      </c>
      <c r="AB62" s="448">
        <f>_xlfn.XLOOKUP(MateriaisCampo[[#This Row],[FATURAMENTO]],BASE!$U$48:$U$50,BASE!$W$48:$W$50,0,0,1)</f>
        <v>0.79709863947533133</v>
      </c>
      <c r="AC62" s="510" t="str">
        <f>RESUMO!$E$56</f>
        <v>SIM</v>
      </c>
      <c r="AD62" s="449" t="str">
        <f>RESUMO!$E$57</f>
        <v>SIM</v>
      </c>
      <c r="AE6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62" s="450">
        <f>MateriaisCampo[[#This Row],[UNIT CRED]]*MateriaisCampo[[#This Row],[QUANTIDADE]]</f>
        <v>0</v>
      </c>
      <c r="AG62" s="451">
        <f>MateriaisCampo[[#This Row],[TOT CRED]]</f>
        <v>0</v>
      </c>
      <c r="AH62" s="452">
        <f>IF(MateriaisCampo[[#This Row],[QUANTIDADE]]&lt;&gt;0,((MateriaisCampo[[#This Row],[TOT CUSTO]]/MateriaisCampo[[#This Row],[QUANTIDADE]])/MateriaisCampo[[#This Row],[MARK-UP]]),0)</f>
        <v>0</v>
      </c>
      <c r="AI62" s="453">
        <f>MateriaisCampo[[#This Row],[UNIT VENDA]]*MateriaisCampo[[#This Row],[QUANTIDADE]]</f>
        <v>0</v>
      </c>
      <c r="AJ62" s="453">
        <f>IFERROR(MateriaisCampo[[#This Row],[VENDA]]*(RESUMO!$F$55/RESUMO!$F$45),0)</f>
        <v>0</v>
      </c>
      <c r="AK62" s="453">
        <f>IFERROR(MateriaisCampo[[#This Row],[VENDA]]*(RESUMO!$F$58/RESUMO!$F$45),0)</f>
        <v>0</v>
      </c>
      <c r="AL62" s="454">
        <f>IF(MateriaisCampo[[#This Row],[FATURAMENTO]]="NORMAL",MateriaisCampo[[#This Row],[VENDA]],0)</f>
        <v>0</v>
      </c>
      <c r="AP62"/>
      <c r="AQ62"/>
      <c r="AR62"/>
    </row>
    <row r="63" spans="1:44" x14ac:dyDescent="0.35">
      <c r="A63" s="113"/>
      <c r="B63" s="113"/>
      <c r="C63" s="113"/>
      <c r="D63" s="113"/>
      <c r="E63" s="434"/>
      <c r="F63" s="434">
        <f t="shared" si="0"/>
        <v>0</v>
      </c>
      <c r="G63" s="113"/>
      <c r="H63" s="435"/>
      <c r="I63" s="436"/>
      <c r="J63" s="437"/>
      <c r="K63" s="438"/>
      <c r="L63" s="438"/>
      <c r="M63" s="458"/>
      <c r="N63" s="445">
        <f>MateriaisCampo[[#This Row],[UNIT S/IPI S/DESC]]-MateriaisCampo[[#This Row],[UNIT S/IPI S/DESC]]*MateriaisCampo[[#This Row],[% DESC]]</f>
        <v>0</v>
      </c>
      <c r="O63" s="441" t="s">
        <v>295</v>
      </c>
      <c r="P63" s="442" t="s">
        <v>155</v>
      </c>
      <c r="Q63" s="438">
        <v>1.6500000000000001E-2</v>
      </c>
      <c r="R63" s="438">
        <v>7.5999999999999998E-2</v>
      </c>
      <c r="S63" s="443">
        <f>MateriaisCampo[[#This Row],[UNIT S/ IP + DIF ICMS]]*MateriaisCampo[[#This Row],[QUANTIDADE]]</f>
        <v>0</v>
      </c>
      <c r="T63" s="444">
        <f>MateriaisCampo[[#This Row],[TOTAL S/ IPI]]+(MateriaisCampo[[#This Row],[TOTAL S/ IPI]]*MateriaisCampo[[#This Row],[IPI %]])</f>
        <v>0</v>
      </c>
      <c r="U63" s="445">
        <f>IF(AND(MateriaisCampo[[#This Row],[ICMS %]]&lt;&gt;18%,MateriaisCampo[[#This Row],[ORIGEM]]&lt;&gt;"SÃO PAULO"),((18%-MateriaisCampo[[#This Row],[ICMS %]])*MateriaisCampo[[#This Row],[UNIT S/ IPI C/DESC]]),0)</f>
        <v>0</v>
      </c>
      <c r="V63" s="437">
        <f>MateriaisCampo[[#This Row],[UNIT S/ IPI C/DESC]]*MateriaisCampo[[#This Row],[ICMS %]]</f>
        <v>0</v>
      </c>
      <c r="W63" s="437">
        <f>MateriaisCampo[[#This Row],[ICMS $]]*MateriaisCampo[[#This Row],[QUANTIDADE]]</f>
        <v>0</v>
      </c>
      <c r="X63" s="446">
        <f>MateriaisCampo[[#This Row],[UNIT S/ IPI C/DESC]]+MateriaisCampo[[#This Row],[DIFERENCIAL ICMS]]</f>
        <v>0</v>
      </c>
      <c r="Y63" s="446">
        <f>(MateriaisCampo[[#This Row],[PIS]]*MateriaisCampo[[#This Row],[UNIT S/ IPI C/DESC]])/2</f>
        <v>0</v>
      </c>
      <c r="Z63" s="446">
        <f>(MateriaisCampo[[#This Row],[COFINS]]*MateriaisCampo[[#This Row],[UNIT S/ IPI C/DESC]])/2</f>
        <v>0</v>
      </c>
      <c r="AA63" s="445">
        <f>MateriaisCampo[[#This Row],[UNIT S/ IP + DIF ICMS]]+(MateriaisCampo[[#This Row],[UNIT S/ IP + DIF ICMS]]*MateriaisCampo[[#This Row],[IPI %]])</f>
        <v>0</v>
      </c>
      <c r="AB63" s="448">
        <f>_xlfn.XLOOKUP(MateriaisCampo[[#This Row],[FATURAMENTO]],BASE!$U$48:$U$50,BASE!$W$48:$W$50,0,0,1)</f>
        <v>0.79709863947533133</v>
      </c>
      <c r="AC63" s="510" t="str">
        <f>RESUMO!$E$56</f>
        <v>SIM</v>
      </c>
      <c r="AD63" s="449" t="str">
        <f>RESUMO!$E$57</f>
        <v>SIM</v>
      </c>
      <c r="AE6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63" s="450">
        <f>MateriaisCampo[[#This Row],[UNIT CRED]]*MateriaisCampo[[#This Row],[QUANTIDADE]]</f>
        <v>0</v>
      </c>
      <c r="AG63" s="451">
        <f>MateriaisCampo[[#This Row],[TOT CRED]]</f>
        <v>0</v>
      </c>
      <c r="AH63" s="452">
        <f>IF(MateriaisCampo[[#This Row],[QUANTIDADE]]&lt;&gt;0,((MateriaisCampo[[#This Row],[TOT CUSTO]]/MateriaisCampo[[#This Row],[QUANTIDADE]])/MateriaisCampo[[#This Row],[MARK-UP]]),0)</f>
        <v>0</v>
      </c>
      <c r="AI63" s="453">
        <f>MateriaisCampo[[#This Row],[UNIT VENDA]]*MateriaisCampo[[#This Row],[QUANTIDADE]]</f>
        <v>0</v>
      </c>
      <c r="AJ63" s="453">
        <f>IFERROR(MateriaisCampo[[#This Row],[VENDA]]*(RESUMO!$F$55/RESUMO!$F$45),0)</f>
        <v>0</v>
      </c>
      <c r="AK63" s="453">
        <f>IFERROR(MateriaisCampo[[#This Row],[VENDA]]*(RESUMO!$F$58/RESUMO!$F$45),0)</f>
        <v>0</v>
      </c>
      <c r="AL63" s="454">
        <f>IF(MateriaisCampo[[#This Row],[FATURAMENTO]]="NORMAL",MateriaisCampo[[#This Row],[VENDA]],0)</f>
        <v>0</v>
      </c>
      <c r="AP63"/>
      <c r="AQ63"/>
      <c r="AR63"/>
    </row>
    <row r="64" spans="1:44" s="517" customFormat="1" x14ac:dyDescent="0.35">
      <c r="A64" s="113"/>
      <c r="B64" s="113"/>
      <c r="C64" s="113"/>
      <c r="D64" s="113"/>
      <c r="E64" s="434"/>
      <c r="F64" s="434">
        <f t="shared" si="0"/>
        <v>0</v>
      </c>
      <c r="G64" s="113"/>
      <c r="H64" s="435"/>
      <c r="I64" s="436"/>
      <c r="J64" s="437"/>
      <c r="K64" s="438"/>
      <c r="L64" s="438"/>
      <c r="M64" s="458"/>
      <c r="N64" s="445">
        <f>MateriaisCampo[[#This Row],[UNIT S/IPI S/DESC]]-MateriaisCampo[[#This Row],[UNIT S/IPI S/DESC]]*MateriaisCampo[[#This Row],[% DESC]]</f>
        <v>0</v>
      </c>
      <c r="O64" s="441" t="s">
        <v>295</v>
      </c>
      <c r="P64" s="442" t="s">
        <v>155</v>
      </c>
      <c r="Q64" s="438">
        <v>1.6500000000000001E-2</v>
      </c>
      <c r="R64" s="438">
        <v>7.5999999999999998E-2</v>
      </c>
      <c r="S64" s="443">
        <f>MateriaisCampo[[#This Row],[UNIT S/ IP + DIF ICMS]]*MateriaisCampo[[#This Row],[QUANTIDADE]]</f>
        <v>0</v>
      </c>
      <c r="T64" s="444">
        <f>MateriaisCampo[[#This Row],[TOTAL S/ IPI]]+(MateriaisCampo[[#This Row],[TOTAL S/ IPI]]*MateriaisCampo[[#This Row],[IPI %]])</f>
        <v>0</v>
      </c>
      <c r="U64" s="445">
        <f>IF(AND(MateriaisCampo[[#This Row],[ICMS %]]&lt;&gt;18%,MateriaisCampo[[#This Row],[ORIGEM]]&lt;&gt;"SÃO PAULO"),((18%-MateriaisCampo[[#This Row],[ICMS %]])*MateriaisCampo[[#This Row],[UNIT S/ IPI C/DESC]]),0)</f>
        <v>0</v>
      </c>
      <c r="V64" s="437">
        <f>MateriaisCampo[[#This Row],[UNIT S/ IPI C/DESC]]*MateriaisCampo[[#This Row],[ICMS %]]</f>
        <v>0</v>
      </c>
      <c r="W64" s="437">
        <f>MateriaisCampo[[#This Row],[ICMS $]]*MateriaisCampo[[#This Row],[QUANTIDADE]]</f>
        <v>0</v>
      </c>
      <c r="X64" s="446">
        <f>MateriaisCampo[[#This Row],[UNIT S/ IPI C/DESC]]+MateriaisCampo[[#This Row],[DIFERENCIAL ICMS]]</f>
        <v>0</v>
      </c>
      <c r="Y64" s="446">
        <f>(MateriaisCampo[[#This Row],[PIS]]*MateriaisCampo[[#This Row],[UNIT S/ IPI C/DESC]])/2</f>
        <v>0</v>
      </c>
      <c r="Z64" s="446">
        <f>(MateriaisCampo[[#This Row],[COFINS]]*MateriaisCampo[[#This Row],[UNIT S/ IPI C/DESC]])/2</f>
        <v>0</v>
      </c>
      <c r="AA64" s="445">
        <f>MateriaisCampo[[#This Row],[UNIT S/ IP + DIF ICMS]]+(MateriaisCampo[[#This Row],[UNIT S/ IP + DIF ICMS]]*MateriaisCampo[[#This Row],[IPI %]])</f>
        <v>0</v>
      </c>
      <c r="AB64" s="448">
        <f>_xlfn.XLOOKUP(MateriaisCampo[[#This Row],[FATURAMENTO]],BASE!$U$48:$U$50,BASE!$W$48:$W$50,0,0,1)</f>
        <v>0.79709863947533133</v>
      </c>
      <c r="AC64" s="510" t="str">
        <f>RESUMO!$E$56</f>
        <v>SIM</v>
      </c>
      <c r="AD64" s="449" t="str">
        <f>RESUMO!$E$57</f>
        <v>SIM</v>
      </c>
      <c r="AE6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64" s="450">
        <f>MateriaisCampo[[#This Row],[UNIT CRED]]*MateriaisCampo[[#This Row],[QUANTIDADE]]</f>
        <v>0</v>
      </c>
      <c r="AG64" s="451">
        <f>MateriaisCampo[[#This Row],[TOT CRED]]</f>
        <v>0</v>
      </c>
      <c r="AH64" s="452">
        <f>IF(MateriaisCampo[[#This Row],[QUANTIDADE]]&lt;&gt;0,((MateriaisCampo[[#This Row],[TOT CUSTO]]/MateriaisCampo[[#This Row],[QUANTIDADE]])/MateriaisCampo[[#This Row],[MARK-UP]]),0)</f>
        <v>0</v>
      </c>
      <c r="AI64" s="453">
        <f>MateriaisCampo[[#This Row],[UNIT VENDA]]*MateriaisCampo[[#This Row],[QUANTIDADE]]</f>
        <v>0</v>
      </c>
      <c r="AJ64" s="453">
        <f>IFERROR(MateriaisCampo[[#This Row],[VENDA]]*(RESUMO!$F$55/RESUMO!$F$45),0)</f>
        <v>0</v>
      </c>
      <c r="AK64" s="453">
        <f>IFERROR(MateriaisCampo[[#This Row],[VENDA]]*(RESUMO!$F$58/RESUMO!$F$45),0)</f>
        <v>0</v>
      </c>
      <c r="AL64" s="454">
        <f>IF(MateriaisCampo[[#This Row],[FATURAMENTO]]="NORMAL",MateriaisCampo[[#This Row],[VENDA]],0)</f>
        <v>0</v>
      </c>
      <c r="AP64"/>
      <c r="AQ64"/>
      <c r="AR64"/>
    </row>
    <row r="65" spans="1:44" x14ac:dyDescent="0.35">
      <c r="A65" s="484" t="s">
        <v>597</v>
      </c>
      <c r="B65" s="484" t="s">
        <v>597</v>
      </c>
      <c r="C65" s="484" t="s">
        <v>596</v>
      </c>
      <c r="D65" s="484"/>
      <c r="E65" s="485"/>
      <c r="F65" s="485">
        <v>0</v>
      </c>
      <c r="G65" s="484"/>
      <c r="H65" s="486"/>
      <c r="I65" s="487"/>
      <c r="J65" s="488"/>
      <c r="K65" s="438"/>
      <c r="L65" s="438"/>
      <c r="M65" s="458"/>
      <c r="N65" s="445">
        <f>MateriaisCampo[[#This Row],[UNIT S/IPI S/DESC]]-MateriaisCampo[[#This Row],[UNIT S/IPI S/DESC]]*MateriaisCampo[[#This Row],[% DESC]]</f>
        <v>0</v>
      </c>
      <c r="O65" s="441" t="s">
        <v>295</v>
      </c>
      <c r="P65" s="442" t="s">
        <v>155</v>
      </c>
      <c r="Q65" s="438">
        <v>1.6500000000000001E-2</v>
      </c>
      <c r="R65" s="438">
        <v>7.5999999999999998E-2</v>
      </c>
      <c r="S65" s="443">
        <f>MateriaisCampo[[#This Row],[UNIT S/ IP + DIF ICMS]]*MateriaisCampo[[#This Row],[QUANTIDADE]]</f>
        <v>0</v>
      </c>
      <c r="T65" s="444">
        <f>MateriaisCampo[[#This Row],[TOTAL S/ IPI]]+(MateriaisCampo[[#This Row],[TOTAL S/ IPI]]*MateriaisCampo[[#This Row],[IPI %]])</f>
        <v>0</v>
      </c>
      <c r="U65" s="445">
        <f>IF(AND(MateriaisCampo[[#This Row],[ICMS %]]&lt;&gt;18%,MateriaisCampo[[#This Row],[ORIGEM]]&lt;&gt;"SÃO PAULO"),((18%-MateriaisCampo[[#This Row],[ICMS %]])*MateriaisCampo[[#This Row],[UNIT S/ IPI C/DESC]]),0)</f>
        <v>0</v>
      </c>
      <c r="V65" s="437">
        <f>MateriaisCampo[[#This Row],[UNIT S/ IPI C/DESC]]*MateriaisCampo[[#This Row],[ICMS %]]</f>
        <v>0</v>
      </c>
      <c r="W65" s="437">
        <f>MateriaisCampo[[#This Row],[ICMS $]]*MateriaisCampo[[#This Row],[QUANTIDADE]]</f>
        <v>0</v>
      </c>
      <c r="X65" s="446">
        <f>MateriaisCampo[[#This Row],[UNIT S/ IPI C/DESC]]+MateriaisCampo[[#This Row],[DIFERENCIAL ICMS]]</f>
        <v>0</v>
      </c>
      <c r="Y65" s="446">
        <f>(MateriaisCampo[[#This Row],[PIS]]*MateriaisCampo[[#This Row],[UNIT S/ IPI C/DESC]])/2</f>
        <v>0</v>
      </c>
      <c r="Z65" s="446">
        <f>(MateriaisCampo[[#This Row],[COFINS]]*MateriaisCampo[[#This Row],[UNIT S/ IPI C/DESC]])/2</f>
        <v>0</v>
      </c>
      <c r="AA65" s="445">
        <f>MateriaisCampo[[#This Row],[UNIT S/ IP + DIF ICMS]]+(MateriaisCampo[[#This Row],[UNIT S/ IP + DIF ICMS]]*MateriaisCampo[[#This Row],[IPI %]])</f>
        <v>0</v>
      </c>
      <c r="AB65" s="448">
        <f>_xlfn.XLOOKUP(MateriaisCampo[[#This Row],[FATURAMENTO]],BASE!$U$48:$U$50,BASE!$W$48:$W$50,0,0,1)</f>
        <v>0.79709863947533133</v>
      </c>
      <c r="AC65" s="510" t="str">
        <f>RESUMO!$E$56</f>
        <v>SIM</v>
      </c>
      <c r="AD65" s="449" t="str">
        <f>RESUMO!$E$57</f>
        <v>SIM</v>
      </c>
      <c r="AE6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65" s="450">
        <f>MateriaisCampo[[#This Row],[UNIT CRED]]*MateriaisCampo[[#This Row],[QUANTIDADE]]</f>
        <v>0</v>
      </c>
      <c r="AG65" s="451">
        <f>MateriaisCampo[[#This Row],[TOT CRED]]</f>
        <v>0</v>
      </c>
      <c r="AH65" s="452">
        <f>IF(MateriaisCampo[[#This Row],[QUANTIDADE]]&lt;&gt;0,((MateriaisCampo[[#This Row],[TOT CUSTO]]/MateriaisCampo[[#This Row],[QUANTIDADE]])/MateriaisCampo[[#This Row],[MARK-UP]]),0)</f>
        <v>0</v>
      </c>
      <c r="AI65" s="453">
        <f>MateriaisCampo[[#This Row],[UNIT VENDA]]*MateriaisCampo[[#This Row],[QUANTIDADE]]</f>
        <v>0</v>
      </c>
      <c r="AJ65" s="453">
        <f>IFERROR(MateriaisCampo[[#This Row],[VENDA]]*(RESUMO!$F$55/RESUMO!$F$45),0)</f>
        <v>0</v>
      </c>
      <c r="AK65" s="453">
        <f>IFERROR(MateriaisCampo[[#This Row],[VENDA]]*(RESUMO!$F$58/RESUMO!$F$45),0)</f>
        <v>0</v>
      </c>
      <c r="AL65" s="454">
        <f>IF(MateriaisCampo[[#This Row],[FATURAMENTO]]="NORMAL",MateriaisCampo[[#This Row],[VENDA]],0)</f>
        <v>0</v>
      </c>
      <c r="AP65"/>
      <c r="AQ65"/>
      <c r="AR65"/>
    </row>
    <row r="66" spans="1:44" ht="23" x14ac:dyDescent="0.35">
      <c r="A66" s="113" t="s">
        <v>597</v>
      </c>
      <c r="B66" s="113" t="s">
        <v>597</v>
      </c>
      <c r="C66" s="113" t="s">
        <v>599</v>
      </c>
      <c r="D66" s="113" t="s">
        <v>598</v>
      </c>
      <c r="E66" s="434" t="s">
        <v>621</v>
      </c>
      <c r="F66" s="434">
        <v>0</v>
      </c>
      <c r="G66" s="113"/>
      <c r="H66" s="435" t="s">
        <v>551</v>
      </c>
      <c r="I66" s="436">
        <v>270</v>
      </c>
      <c r="J66" s="437"/>
      <c r="K66" s="438"/>
      <c r="L66" s="438"/>
      <c r="M66" s="458"/>
      <c r="N66" s="445">
        <f>MateriaisCampo[[#This Row],[UNIT S/IPI S/DESC]]-MateriaisCampo[[#This Row],[UNIT S/IPI S/DESC]]*MateriaisCampo[[#This Row],[% DESC]]</f>
        <v>0</v>
      </c>
      <c r="O66" s="441" t="s">
        <v>295</v>
      </c>
      <c r="P66" s="442" t="s">
        <v>155</v>
      </c>
      <c r="Q66" s="438">
        <v>1.6500000000000001E-2</v>
      </c>
      <c r="R66" s="438">
        <v>7.5999999999999998E-2</v>
      </c>
      <c r="S66" s="443">
        <f>MateriaisCampo[[#This Row],[UNIT S/ IP + DIF ICMS]]*MateriaisCampo[[#This Row],[QUANTIDADE]]</f>
        <v>0</v>
      </c>
      <c r="T66" s="444">
        <f>MateriaisCampo[[#This Row],[TOTAL S/ IPI]]+(MateriaisCampo[[#This Row],[TOTAL S/ IPI]]*MateriaisCampo[[#This Row],[IPI %]])</f>
        <v>0</v>
      </c>
      <c r="U66" s="445">
        <f>IF(AND(MateriaisCampo[[#This Row],[ICMS %]]&lt;&gt;18%,MateriaisCampo[[#This Row],[ORIGEM]]&lt;&gt;"SÃO PAULO"),((18%-MateriaisCampo[[#This Row],[ICMS %]])*MateriaisCampo[[#This Row],[UNIT S/ IPI C/DESC]]),0)</f>
        <v>0</v>
      </c>
      <c r="V66" s="437">
        <f>MateriaisCampo[[#This Row],[UNIT S/ IPI C/DESC]]*MateriaisCampo[[#This Row],[ICMS %]]</f>
        <v>0</v>
      </c>
      <c r="W66" s="437">
        <f>MateriaisCampo[[#This Row],[ICMS $]]*MateriaisCampo[[#This Row],[QUANTIDADE]]</f>
        <v>0</v>
      </c>
      <c r="X66" s="446">
        <f>MateriaisCampo[[#This Row],[UNIT S/ IPI C/DESC]]+MateriaisCampo[[#This Row],[DIFERENCIAL ICMS]]</f>
        <v>0</v>
      </c>
      <c r="Y66" s="446">
        <f>(MateriaisCampo[[#This Row],[PIS]]*MateriaisCampo[[#This Row],[UNIT S/ IPI C/DESC]])/2</f>
        <v>0</v>
      </c>
      <c r="Z66" s="446">
        <f>(MateriaisCampo[[#This Row],[COFINS]]*MateriaisCampo[[#This Row],[UNIT S/ IPI C/DESC]])/2</f>
        <v>0</v>
      </c>
      <c r="AA66" s="445">
        <f>MateriaisCampo[[#This Row],[UNIT S/ IP + DIF ICMS]]+(MateriaisCampo[[#This Row],[UNIT S/ IP + DIF ICMS]]*MateriaisCampo[[#This Row],[IPI %]])</f>
        <v>0</v>
      </c>
      <c r="AB66" s="448">
        <f>_xlfn.XLOOKUP(MateriaisCampo[[#This Row],[FATURAMENTO]],BASE!$U$48:$U$50,BASE!$W$48:$W$50,0,0,1)</f>
        <v>0.79709863947533133</v>
      </c>
      <c r="AC66" s="510" t="str">
        <f>RESUMO!$E$56</f>
        <v>SIM</v>
      </c>
      <c r="AD66" s="449" t="str">
        <f>RESUMO!$E$57</f>
        <v>SIM</v>
      </c>
      <c r="AE6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66" s="450">
        <f>MateriaisCampo[[#This Row],[UNIT CRED]]*MateriaisCampo[[#This Row],[QUANTIDADE]]</f>
        <v>0</v>
      </c>
      <c r="AG66" s="451">
        <f>MateriaisCampo[[#This Row],[TOT CRED]]</f>
        <v>0</v>
      </c>
      <c r="AH66" s="452">
        <f>IF(MateriaisCampo[[#This Row],[QUANTIDADE]]&lt;&gt;0,((MateriaisCampo[[#This Row],[TOT CUSTO]]/MateriaisCampo[[#This Row],[QUANTIDADE]])/MateriaisCampo[[#This Row],[MARK-UP]]),0)</f>
        <v>0</v>
      </c>
      <c r="AI66" s="453">
        <f>MateriaisCampo[[#This Row],[UNIT VENDA]]*MateriaisCampo[[#This Row],[QUANTIDADE]]</f>
        <v>0</v>
      </c>
      <c r="AJ66" s="453">
        <f>IFERROR(MateriaisCampo[[#This Row],[VENDA]]*(RESUMO!$F$55/RESUMO!$F$45),0)</f>
        <v>0</v>
      </c>
      <c r="AK66" s="453">
        <f>IFERROR(MateriaisCampo[[#This Row],[VENDA]]*(RESUMO!$F$58/RESUMO!$F$45),0)</f>
        <v>0</v>
      </c>
      <c r="AL66" s="454">
        <f>IF(MateriaisCampo[[#This Row],[FATURAMENTO]]="NORMAL",MateriaisCampo[[#This Row],[VENDA]],0)</f>
        <v>0</v>
      </c>
      <c r="AP66"/>
      <c r="AQ66"/>
      <c r="AR66"/>
    </row>
    <row r="67" spans="1:44" ht="23" x14ac:dyDescent="0.35">
      <c r="A67" s="113" t="s">
        <v>597</v>
      </c>
      <c r="B67" s="113" t="s">
        <v>597</v>
      </c>
      <c r="C67" s="113" t="s">
        <v>600</v>
      </c>
      <c r="D67" s="113" t="s">
        <v>598</v>
      </c>
      <c r="E67" s="434" t="s">
        <v>621</v>
      </c>
      <c r="F67" s="434">
        <v>0</v>
      </c>
      <c r="G67" s="113"/>
      <c r="H67" s="435" t="s">
        <v>551</v>
      </c>
      <c r="I67" s="436">
        <v>200</v>
      </c>
      <c r="J67" s="437"/>
      <c r="K67" s="438"/>
      <c r="L67" s="438"/>
      <c r="M67" s="458"/>
      <c r="N67" s="445">
        <f>MateriaisCampo[[#This Row],[UNIT S/IPI S/DESC]]-MateriaisCampo[[#This Row],[UNIT S/IPI S/DESC]]*MateriaisCampo[[#This Row],[% DESC]]</f>
        <v>0</v>
      </c>
      <c r="O67" s="441" t="s">
        <v>295</v>
      </c>
      <c r="P67" s="442" t="s">
        <v>155</v>
      </c>
      <c r="Q67" s="438">
        <v>1.6500000000000001E-2</v>
      </c>
      <c r="R67" s="438">
        <v>7.5999999999999998E-2</v>
      </c>
      <c r="S67" s="443">
        <f>MateriaisCampo[[#This Row],[UNIT S/ IP + DIF ICMS]]*MateriaisCampo[[#This Row],[QUANTIDADE]]</f>
        <v>0</v>
      </c>
      <c r="T67" s="444">
        <f>MateriaisCampo[[#This Row],[TOTAL S/ IPI]]+(MateriaisCampo[[#This Row],[TOTAL S/ IPI]]*MateriaisCampo[[#This Row],[IPI %]])</f>
        <v>0</v>
      </c>
      <c r="U67" s="445">
        <f>IF(AND(MateriaisCampo[[#This Row],[ICMS %]]&lt;&gt;18%,MateriaisCampo[[#This Row],[ORIGEM]]&lt;&gt;"SÃO PAULO"),((18%-MateriaisCampo[[#This Row],[ICMS %]])*MateriaisCampo[[#This Row],[UNIT S/ IPI C/DESC]]),0)</f>
        <v>0</v>
      </c>
      <c r="V67" s="437">
        <f>MateriaisCampo[[#This Row],[UNIT S/ IPI C/DESC]]*MateriaisCampo[[#This Row],[ICMS %]]</f>
        <v>0</v>
      </c>
      <c r="W67" s="437">
        <f>MateriaisCampo[[#This Row],[ICMS $]]*MateriaisCampo[[#This Row],[QUANTIDADE]]</f>
        <v>0</v>
      </c>
      <c r="X67" s="446">
        <f>MateriaisCampo[[#This Row],[UNIT S/ IPI C/DESC]]+MateriaisCampo[[#This Row],[DIFERENCIAL ICMS]]</f>
        <v>0</v>
      </c>
      <c r="Y67" s="446">
        <f>(MateriaisCampo[[#This Row],[PIS]]*MateriaisCampo[[#This Row],[UNIT S/ IPI C/DESC]])/2</f>
        <v>0</v>
      </c>
      <c r="Z67" s="446">
        <f>(MateriaisCampo[[#This Row],[COFINS]]*MateriaisCampo[[#This Row],[UNIT S/ IPI C/DESC]])/2</f>
        <v>0</v>
      </c>
      <c r="AA67" s="445">
        <f>MateriaisCampo[[#This Row],[UNIT S/ IP + DIF ICMS]]+(MateriaisCampo[[#This Row],[UNIT S/ IP + DIF ICMS]]*MateriaisCampo[[#This Row],[IPI %]])</f>
        <v>0</v>
      </c>
      <c r="AB67" s="448">
        <f>_xlfn.XLOOKUP(MateriaisCampo[[#This Row],[FATURAMENTO]],BASE!$U$48:$U$50,BASE!$W$48:$W$50,0,0,1)</f>
        <v>0.79709863947533133</v>
      </c>
      <c r="AC67" s="510" t="str">
        <f>RESUMO!$E$56</f>
        <v>SIM</v>
      </c>
      <c r="AD67" s="449" t="str">
        <f>RESUMO!$E$57</f>
        <v>SIM</v>
      </c>
      <c r="AE6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67" s="450">
        <f>MateriaisCampo[[#This Row],[UNIT CRED]]*MateriaisCampo[[#This Row],[QUANTIDADE]]</f>
        <v>0</v>
      </c>
      <c r="AG67" s="451">
        <f>MateriaisCampo[[#This Row],[TOT CRED]]</f>
        <v>0</v>
      </c>
      <c r="AH67" s="452">
        <f>IF(MateriaisCampo[[#This Row],[QUANTIDADE]]&lt;&gt;0,((MateriaisCampo[[#This Row],[TOT CUSTO]]/MateriaisCampo[[#This Row],[QUANTIDADE]])/MateriaisCampo[[#This Row],[MARK-UP]]),0)</f>
        <v>0</v>
      </c>
      <c r="AI67" s="453">
        <f>MateriaisCampo[[#This Row],[UNIT VENDA]]*MateriaisCampo[[#This Row],[QUANTIDADE]]</f>
        <v>0</v>
      </c>
      <c r="AJ67" s="453">
        <f>IFERROR(MateriaisCampo[[#This Row],[VENDA]]*(RESUMO!$F$55/RESUMO!$F$45),0)</f>
        <v>0</v>
      </c>
      <c r="AK67" s="453">
        <f>IFERROR(MateriaisCampo[[#This Row],[VENDA]]*(RESUMO!$F$58/RESUMO!$F$45),0)</f>
        <v>0</v>
      </c>
      <c r="AL67" s="454">
        <f>IF(MateriaisCampo[[#This Row],[FATURAMENTO]]="NORMAL",MateriaisCampo[[#This Row],[VENDA]],0)</f>
        <v>0</v>
      </c>
      <c r="AP67"/>
      <c r="AQ67"/>
      <c r="AR67"/>
    </row>
    <row r="68" spans="1:44" ht="23" x14ac:dyDescent="0.35">
      <c r="A68" s="113" t="s">
        <v>597</v>
      </c>
      <c r="B68" s="113" t="s">
        <v>597</v>
      </c>
      <c r="C68" s="113" t="s">
        <v>601</v>
      </c>
      <c r="D68" s="113" t="s">
        <v>602</v>
      </c>
      <c r="E68" s="434" t="s">
        <v>648</v>
      </c>
      <c r="F68" s="434">
        <f t="shared" si="0"/>
        <v>0</v>
      </c>
      <c r="G68" s="113"/>
      <c r="H68" s="435" t="s">
        <v>603</v>
      </c>
      <c r="I68" s="637">
        <v>26</v>
      </c>
      <c r="J68" s="437">
        <v>92</v>
      </c>
      <c r="K68" s="438">
        <v>0.18</v>
      </c>
      <c r="L68" s="438">
        <v>3.2500000000000001E-2</v>
      </c>
      <c r="M68" s="458"/>
      <c r="N68" s="445">
        <f>MateriaisCampo[[#This Row],[UNIT S/IPI S/DESC]]-MateriaisCampo[[#This Row],[UNIT S/IPI S/DESC]]*MateriaisCampo[[#This Row],[% DESC]]</f>
        <v>92</v>
      </c>
      <c r="O68" s="441" t="s">
        <v>295</v>
      </c>
      <c r="P68" s="442" t="s">
        <v>155</v>
      </c>
      <c r="Q68" s="438">
        <v>1.6500000000000001E-2</v>
      </c>
      <c r="R68" s="438">
        <v>7.5999999999999998E-2</v>
      </c>
      <c r="S68" s="443">
        <f>MateriaisCampo[[#This Row],[UNIT S/ IP + DIF ICMS]]*MateriaisCampo[[#This Row],[QUANTIDADE]]</f>
        <v>2392</v>
      </c>
      <c r="T68" s="444">
        <f>MateriaisCampo[[#This Row],[TOTAL S/ IPI]]+(MateriaisCampo[[#This Row],[TOTAL S/ IPI]]*MateriaisCampo[[#This Row],[IPI %]])</f>
        <v>2469.7399999999998</v>
      </c>
      <c r="U68" s="445">
        <f>IF(AND(MateriaisCampo[[#This Row],[ICMS %]]&lt;&gt;18%,MateriaisCampo[[#This Row],[ORIGEM]]&lt;&gt;"SÃO PAULO"),((18%-MateriaisCampo[[#This Row],[ICMS %]])*MateriaisCampo[[#This Row],[UNIT S/ IPI C/DESC]]),0)</f>
        <v>0</v>
      </c>
      <c r="V68" s="437">
        <f>MateriaisCampo[[#This Row],[UNIT S/ IPI C/DESC]]*MateriaisCampo[[#This Row],[ICMS %]]</f>
        <v>16.559999999999999</v>
      </c>
      <c r="W68" s="437">
        <f>MateriaisCampo[[#This Row],[ICMS $]]*MateriaisCampo[[#This Row],[QUANTIDADE]]</f>
        <v>430.55999999999995</v>
      </c>
      <c r="X68" s="446">
        <f>MateriaisCampo[[#This Row],[UNIT S/ IPI C/DESC]]+MateriaisCampo[[#This Row],[DIFERENCIAL ICMS]]</f>
        <v>92</v>
      </c>
      <c r="Y68" s="446">
        <f>(MateriaisCampo[[#This Row],[PIS]]*MateriaisCampo[[#This Row],[UNIT S/ IPI C/DESC]])/2</f>
        <v>0.75900000000000001</v>
      </c>
      <c r="Z68" s="446">
        <f>(MateriaisCampo[[#This Row],[COFINS]]*MateriaisCampo[[#This Row],[UNIT S/ IPI C/DESC]])/2</f>
        <v>3.496</v>
      </c>
      <c r="AA68" s="445">
        <f>MateriaisCampo[[#This Row],[UNIT S/ IP + DIF ICMS]]+(MateriaisCampo[[#This Row],[UNIT S/ IP + DIF ICMS]]*MateriaisCampo[[#This Row],[IPI %]])</f>
        <v>94.99</v>
      </c>
      <c r="AB68" s="448">
        <f>_xlfn.XLOOKUP(MateriaisCampo[[#This Row],[FATURAMENTO]],BASE!$U$48:$U$50,BASE!$W$48:$W$50,0,0,1)</f>
        <v>0.79709863947533133</v>
      </c>
      <c r="AC68" s="510" t="str">
        <f>RESUMO!$E$56</f>
        <v>SIM</v>
      </c>
      <c r="AD68" s="449" t="str">
        <f>RESUMO!$E$57</f>
        <v>SIM</v>
      </c>
      <c r="AE6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71.185000000000002</v>
      </c>
      <c r="AF68" s="450">
        <f>MateriaisCampo[[#This Row],[UNIT CRED]]*MateriaisCampo[[#This Row],[QUANTIDADE]]</f>
        <v>1850.81</v>
      </c>
      <c r="AG68" s="451">
        <f>MateriaisCampo[[#This Row],[TOT CRED]]</f>
        <v>1850.81</v>
      </c>
      <c r="AH68" s="452">
        <f>IF(MateriaisCampo[[#This Row],[QUANTIDADE]]&lt;&gt;0,((MateriaisCampo[[#This Row],[TOT CUSTO]]/MateriaisCampo[[#This Row],[QUANTIDADE]])/MateriaisCampo[[#This Row],[MARK-UP]]),0)</f>
        <v>89.305132984363908</v>
      </c>
      <c r="AI68" s="453">
        <f>MateriaisCampo[[#This Row],[UNIT VENDA]]*MateriaisCampo[[#This Row],[QUANTIDADE]]</f>
        <v>2321.9334575934618</v>
      </c>
      <c r="AJ68" s="453">
        <f>IFERROR(MateriaisCampo[[#This Row],[VENDA]]*(RESUMO!$F$55/RESUMO!$F$45),0)</f>
        <v>2948.4869302774114</v>
      </c>
      <c r="AK68" s="453">
        <f>IFERROR(MateriaisCampo[[#This Row],[VENDA]]*(RESUMO!$F$58/RESUMO!$F$45),0)</f>
        <v>2948.4869302774114</v>
      </c>
      <c r="AL68" s="454">
        <f>IF(MateriaisCampo[[#This Row],[FATURAMENTO]]="NORMAL",MateriaisCampo[[#This Row],[VENDA]],0)</f>
        <v>2321.9334575934618</v>
      </c>
      <c r="AP68"/>
      <c r="AQ68"/>
      <c r="AR68"/>
    </row>
    <row r="69" spans="1:44" ht="23" x14ac:dyDescent="0.35">
      <c r="A69" s="113" t="s">
        <v>597</v>
      </c>
      <c r="B69" s="113" t="s">
        <v>597</v>
      </c>
      <c r="C69" s="113" t="s">
        <v>628</v>
      </c>
      <c r="D69" s="113" t="s">
        <v>629</v>
      </c>
      <c r="E69" s="434" t="s">
        <v>648</v>
      </c>
      <c r="F69" s="434">
        <f t="shared" si="0"/>
        <v>0</v>
      </c>
      <c r="G69" s="113"/>
      <c r="H69" s="435" t="s">
        <v>603</v>
      </c>
      <c r="I69" s="436">
        <v>20</v>
      </c>
      <c r="J69" s="437">
        <v>29</v>
      </c>
      <c r="K69" s="438">
        <v>0</v>
      </c>
      <c r="L69" s="438">
        <v>0</v>
      </c>
      <c r="M69" s="458"/>
      <c r="N69" s="445">
        <f>MateriaisCampo[[#This Row],[UNIT S/IPI S/DESC]]-MateriaisCampo[[#This Row],[UNIT S/IPI S/DESC]]*MateriaisCampo[[#This Row],[% DESC]]</f>
        <v>29</v>
      </c>
      <c r="O69" s="441" t="s">
        <v>295</v>
      </c>
      <c r="P69" s="442" t="s">
        <v>155</v>
      </c>
      <c r="Q69" s="438">
        <v>1.6500000000000001E-2</v>
      </c>
      <c r="R69" s="438">
        <v>7.5999999999999998E-2</v>
      </c>
      <c r="S69" s="443">
        <f>MateriaisCampo[[#This Row],[UNIT S/ IP + DIF ICMS]]*MateriaisCampo[[#This Row],[QUANTIDADE]]</f>
        <v>580</v>
      </c>
      <c r="T69" s="444">
        <f>MateriaisCampo[[#This Row],[TOTAL S/ IPI]]+(MateriaisCampo[[#This Row],[TOTAL S/ IPI]]*MateriaisCampo[[#This Row],[IPI %]])</f>
        <v>580</v>
      </c>
      <c r="U69" s="445">
        <f>IF(AND(MateriaisCampo[[#This Row],[ICMS %]]&lt;&gt;18%,MateriaisCampo[[#This Row],[ORIGEM]]&lt;&gt;"SÃO PAULO"),((18%-MateriaisCampo[[#This Row],[ICMS %]])*MateriaisCampo[[#This Row],[UNIT S/ IPI C/DESC]]),0)</f>
        <v>0</v>
      </c>
      <c r="V69" s="437">
        <f>MateriaisCampo[[#This Row],[UNIT S/ IPI C/DESC]]*MateriaisCampo[[#This Row],[ICMS %]]</f>
        <v>0</v>
      </c>
      <c r="W69" s="437">
        <f>MateriaisCampo[[#This Row],[ICMS $]]*MateriaisCampo[[#This Row],[QUANTIDADE]]</f>
        <v>0</v>
      </c>
      <c r="X69" s="446">
        <f>MateriaisCampo[[#This Row],[UNIT S/ IPI C/DESC]]+MateriaisCampo[[#This Row],[DIFERENCIAL ICMS]]</f>
        <v>29</v>
      </c>
      <c r="Y69" s="446">
        <f>(MateriaisCampo[[#This Row],[PIS]]*MateriaisCampo[[#This Row],[UNIT S/ IPI C/DESC]])/2</f>
        <v>0.23925000000000002</v>
      </c>
      <c r="Z69" s="446">
        <f>(MateriaisCampo[[#This Row],[COFINS]]*MateriaisCampo[[#This Row],[UNIT S/ IPI C/DESC]])/2</f>
        <v>1.1019999999999999</v>
      </c>
      <c r="AA69" s="445">
        <f>MateriaisCampo[[#This Row],[UNIT S/ IP + DIF ICMS]]+(MateriaisCampo[[#This Row],[UNIT S/ IP + DIF ICMS]]*MateriaisCampo[[#This Row],[IPI %]])</f>
        <v>29</v>
      </c>
      <c r="AB69" s="448">
        <f>_xlfn.XLOOKUP(MateriaisCampo[[#This Row],[FATURAMENTO]],BASE!$U$48:$U$50,BASE!$W$48:$W$50,0,0,1)</f>
        <v>0.79709863947533133</v>
      </c>
      <c r="AC69" s="510" t="str">
        <f>RESUMO!$E$56</f>
        <v>SIM</v>
      </c>
      <c r="AD69" s="449" t="str">
        <f>RESUMO!$E$57</f>
        <v>SIM</v>
      </c>
      <c r="AE6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27.658750000000001</v>
      </c>
      <c r="AF69" s="450">
        <f>MateriaisCampo[[#This Row],[UNIT CRED]]*MateriaisCampo[[#This Row],[QUANTIDADE]]</f>
        <v>553.17500000000007</v>
      </c>
      <c r="AG69" s="451">
        <f>MateriaisCampo[[#This Row],[TOT CRED]]</f>
        <v>553.17500000000007</v>
      </c>
      <c r="AH69" s="452">
        <f>IF(MateriaisCampo[[#This Row],[QUANTIDADE]]&lt;&gt;0,((MateriaisCampo[[#This Row],[TOT CUSTO]]/MateriaisCampo[[#This Row],[QUANTIDADE]])/MateriaisCampo[[#This Row],[MARK-UP]]),0)</f>
        <v>34.699281406634476</v>
      </c>
      <c r="AI69" s="453">
        <f>MateriaisCampo[[#This Row],[UNIT VENDA]]*MateriaisCampo[[#This Row],[QUANTIDADE]]</f>
        <v>693.9856281326895</v>
      </c>
      <c r="AJ69" s="453">
        <f>IFERROR(MateriaisCampo[[#This Row],[VENDA]]*(RESUMO!$F$55/RESUMO!$F$45),0)</f>
        <v>881.25159127960569</v>
      </c>
      <c r="AK69" s="453">
        <f>IFERROR(MateriaisCampo[[#This Row],[VENDA]]*(RESUMO!$F$58/RESUMO!$F$45),0)</f>
        <v>881.25159127960569</v>
      </c>
      <c r="AL69" s="454">
        <f>IF(MateriaisCampo[[#This Row],[FATURAMENTO]]="NORMAL",MateriaisCampo[[#This Row],[VENDA]],0)</f>
        <v>693.9856281326895</v>
      </c>
      <c r="AP69"/>
      <c r="AQ69"/>
      <c r="AR69"/>
    </row>
    <row r="70" spans="1:44" ht="23" x14ac:dyDescent="0.35">
      <c r="A70" s="113" t="s">
        <v>597</v>
      </c>
      <c r="B70" s="113" t="s">
        <v>597</v>
      </c>
      <c r="C70" s="113" t="s">
        <v>630</v>
      </c>
      <c r="D70" s="113" t="s">
        <v>629</v>
      </c>
      <c r="E70" s="434" t="s">
        <v>648</v>
      </c>
      <c r="F70" s="434">
        <f t="shared" si="0"/>
        <v>0</v>
      </c>
      <c r="G70" s="113"/>
      <c r="H70" s="435" t="s">
        <v>603</v>
      </c>
      <c r="I70" s="436">
        <v>12</v>
      </c>
      <c r="J70" s="437">
        <v>79</v>
      </c>
      <c r="K70" s="438">
        <v>0</v>
      </c>
      <c r="L70" s="438">
        <v>0</v>
      </c>
      <c r="M70" s="458"/>
      <c r="N70" s="445">
        <f>MateriaisCampo[[#This Row],[UNIT S/IPI S/DESC]]-MateriaisCampo[[#This Row],[UNIT S/IPI S/DESC]]*MateriaisCampo[[#This Row],[% DESC]]</f>
        <v>79</v>
      </c>
      <c r="O70" s="441" t="s">
        <v>295</v>
      </c>
      <c r="P70" s="442" t="s">
        <v>155</v>
      </c>
      <c r="Q70" s="438">
        <v>1.6500000000000001E-2</v>
      </c>
      <c r="R70" s="438">
        <v>7.5999999999999998E-2</v>
      </c>
      <c r="S70" s="443">
        <f>MateriaisCampo[[#This Row],[UNIT S/ IP + DIF ICMS]]*MateriaisCampo[[#This Row],[QUANTIDADE]]</f>
        <v>948</v>
      </c>
      <c r="T70" s="444">
        <f>MateriaisCampo[[#This Row],[TOTAL S/ IPI]]+(MateriaisCampo[[#This Row],[TOTAL S/ IPI]]*MateriaisCampo[[#This Row],[IPI %]])</f>
        <v>948</v>
      </c>
      <c r="U70" s="445">
        <f>IF(AND(MateriaisCampo[[#This Row],[ICMS %]]&lt;&gt;18%,MateriaisCampo[[#This Row],[ORIGEM]]&lt;&gt;"SÃO PAULO"),((18%-MateriaisCampo[[#This Row],[ICMS %]])*MateriaisCampo[[#This Row],[UNIT S/ IPI C/DESC]]),0)</f>
        <v>0</v>
      </c>
      <c r="V70" s="437">
        <f>MateriaisCampo[[#This Row],[UNIT S/ IPI C/DESC]]*MateriaisCampo[[#This Row],[ICMS %]]</f>
        <v>0</v>
      </c>
      <c r="W70" s="437">
        <f>MateriaisCampo[[#This Row],[ICMS $]]*MateriaisCampo[[#This Row],[QUANTIDADE]]</f>
        <v>0</v>
      </c>
      <c r="X70" s="446">
        <f>MateriaisCampo[[#This Row],[UNIT S/ IPI C/DESC]]+MateriaisCampo[[#This Row],[DIFERENCIAL ICMS]]</f>
        <v>79</v>
      </c>
      <c r="Y70" s="446">
        <f>(MateriaisCampo[[#This Row],[PIS]]*MateriaisCampo[[#This Row],[UNIT S/ IPI C/DESC]])/2</f>
        <v>0.65175000000000005</v>
      </c>
      <c r="Z70" s="446">
        <f>(MateriaisCampo[[#This Row],[COFINS]]*MateriaisCampo[[#This Row],[UNIT S/ IPI C/DESC]])/2</f>
        <v>3.0019999999999998</v>
      </c>
      <c r="AA70" s="445">
        <f>MateriaisCampo[[#This Row],[UNIT S/ IP + DIF ICMS]]+(MateriaisCampo[[#This Row],[UNIT S/ IP + DIF ICMS]]*MateriaisCampo[[#This Row],[IPI %]])</f>
        <v>79</v>
      </c>
      <c r="AB70" s="448">
        <f>_xlfn.XLOOKUP(MateriaisCampo[[#This Row],[FATURAMENTO]],BASE!$U$48:$U$50,BASE!$W$48:$W$50,0,0,1)</f>
        <v>0.79709863947533133</v>
      </c>
      <c r="AC70" s="510" t="str">
        <f>RESUMO!$E$56</f>
        <v>SIM</v>
      </c>
      <c r="AD70" s="449" t="str">
        <f>RESUMO!$E$57</f>
        <v>SIM</v>
      </c>
      <c r="AE7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75.346249999999998</v>
      </c>
      <c r="AF70" s="450">
        <f>MateriaisCampo[[#This Row],[UNIT CRED]]*MateriaisCampo[[#This Row],[QUANTIDADE]]</f>
        <v>904.15499999999997</v>
      </c>
      <c r="AG70" s="451">
        <f>MateriaisCampo[[#This Row],[TOT CRED]]</f>
        <v>904.15499999999997</v>
      </c>
      <c r="AH70" s="452">
        <f>IF(MateriaisCampo[[#This Row],[QUANTIDADE]]&lt;&gt;0,((MateriaisCampo[[#This Row],[TOT CUSTO]]/MateriaisCampo[[#This Row],[QUANTIDADE]])/MateriaisCampo[[#This Row],[MARK-UP]]),0)</f>
        <v>94.525628659452522</v>
      </c>
      <c r="AI70" s="453">
        <f>MateriaisCampo[[#This Row],[UNIT VENDA]]*MateriaisCampo[[#This Row],[QUANTIDADE]]</f>
        <v>1134.3075439134302</v>
      </c>
      <c r="AJ70" s="453">
        <f>IFERROR(MateriaisCampo[[#This Row],[VENDA]]*(RESUMO!$F$55/RESUMO!$F$45),0)</f>
        <v>1440.390531953562</v>
      </c>
      <c r="AK70" s="453">
        <f>IFERROR(MateriaisCampo[[#This Row],[VENDA]]*(RESUMO!$F$58/RESUMO!$F$45),0)</f>
        <v>1440.390531953562</v>
      </c>
      <c r="AL70" s="454">
        <f>IF(MateriaisCampo[[#This Row],[FATURAMENTO]]="NORMAL",MateriaisCampo[[#This Row],[VENDA]],0)</f>
        <v>1134.3075439134302</v>
      </c>
      <c r="AP70"/>
      <c r="AQ70"/>
      <c r="AR70"/>
    </row>
    <row r="71" spans="1:44" ht="23" x14ac:dyDescent="0.25">
      <c r="A71" s="113" t="s">
        <v>597</v>
      </c>
      <c r="B71" s="113" t="s">
        <v>597</v>
      </c>
      <c r="C71" s="113" t="s">
        <v>631</v>
      </c>
      <c r="D71" s="113" t="s">
        <v>629</v>
      </c>
      <c r="E71" s="434" t="s">
        <v>648</v>
      </c>
      <c r="F71" s="434">
        <f t="shared" si="0"/>
        <v>0</v>
      </c>
      <c r="G71" s="113"/>
      <c r="H71" s="435" t="s">
        <v>603</v>
      </c>
      <c r="I71" s="436">
        <v>8</v>
      </c>
      <c r="J71" s="437">
        <f>(95/70)*J69</f>
        <v>39.357142857142861</v>
      </c>
      <c r="K71" s="438">
        <v>0</v>
      </c>
      <c r="L71" s="438">
        <v>0</v>
      </c>
      <c r="M71" s="458"/>
      <c r="N71" s="445">
        <f>MateriaisCampo[[#This Row],[UNIT S/IPI S/DESC]]-MateriaisCampo[[#This Row],[UNIT S/IPI S/DESC]]*MateriaisCampo[[#This Row],[% DESC]]</f>
        <v>39.357142857142861</v>
      </c>
      <c r="O71" s="441" t="s">
        <v>295</v>
      </c>
      <c r="P71" s="442" t="s">
        <v>155</v>
      </c>
      <c r="Q71" s="438">
        <v>1.6500000000000001E-2</v>
      </c>
      <c r="R71" s="438">
        <v>7.5999999999999998E-2</v>
      </c>
      <c r="S71" s="443">
        <f>MateriaisCampo[[#This Row],[UNIT S/ IP + DIF ICMS]]*MateriaisCampo[[#This Row],[QUANTIDADE]]</f>
        <v>314.85714285714289</v>
      </c>
      <c r="T71" s="444">
        <f>MateriaisCampo[[#This Row],[TOTAL S/ IPI]]+(MateriaisCampo[[#This Row],[TOTAL S/ IPI]]*MateriaisCampo[[#This Row],[IPI %]])</f>
        <v>314.85714285714289</v>
      </c>
      <c r="U71" s="445">
        <f>IF(AND(MateriaisCampo[[#This Row],[ICMS %]]&lt;&gt;18%,MateriaisCampo[[#This Row],[ORIGEM]]&lt;&gt;"SÃO PAULO"),((18%-MateriaisCampo[[#This Row],[ICMS %]])*MateriaisCampo[[#This Row],[UNIT S/ IPI C/DESC]]),0)</f>
        <v>0</v>
      </c>
      <c r="V71" s="437">
        <f>MateriaisCampo[[#This Row],[UNIT S/ IPI C/DESC]]*MateriaisCampo[[#This Row],[ICMS %]]</f>
        <v>0</v>
      </c>
      <c r="W71" s="437">
        <f>MateriaisCampo[[#This Row],[ICMS $]]*MateriaisCampo[[#This Row],[QUANTIDADE]]</f>
        <v>0</v>
      </c>
      <c r="X71" s="446">
        <f>MateriaisCampo[[#This Row],[UNIT S/ IPI C/DESC]]+MateriaisCampo[[#This Row],[DIFERENCIAL ICMS]]</f>
        <v>39.357142857142861</v>
      </c>
      <c r="Y71" s="446">
        <f>(MateriaisCampo[[#This Row],[PIS]]*MateriaisCampo[[#This Row],[UNIT S/ IPI C/DESC]])/2</f>
        <v>0.32469642857142861</v>
      </c>
      <c r="Z71" s="446">
        <f>(MateriaisCampo[[#This Row],[COFINS]]*MateriaisCampo[[#This Row],[UNIT S/ IPI C/DESC]])/2</f>
        <v>1.4955714285714288</v>
      </c>
      <c r="AA71" s="445">
        <f>MateriaisCampo[[#This Row],[UNIT S/ IP + DIF ICMS]]+(MateriaisCampo[[#This Row],[UNIT S/ IP + DIF ICMS]]*MateriaisCampo[[#This Row],[IPI %]])</f>
        <v>39.357142857142861</v>
      </c>
      <c r="AB71" s="448">
        <f>_xlfn.XLOOKUP(MateriaisCampo[[#This Row],[FATURAMENTO]],BASE!$U$48:$U$50,BASE!$W$48:$W$50,0,0,1)</f>
        <v>0.79709863947533133</v>
      </c>
      <c r="AC71" s="510" t="str">
        <f>RESUMO!$E$56</f>
        <v>SIM</v>
      </c>
      <c r="AD71" s="449" t="str">
        <f>RESUMO!$E$57</f>
        <v>SIM</v>
      </c>
      <c r="AE7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37.536875000000002</v>
      </c>
      <c r="AF71" s="450">
        <f>MateriaisCampo[[#This Row],[UNIT CRED]]*MateriaisCampo[[#This Row],[QUANTIDADE]]</f>
        <v>300.29500000000002</v>
      </c>
      <c r="AG71" s="451">
        <f>MateriaisCampo[[#This Row],[TOT CRED]]</f>
        <v>300.29500000000002</v>
      </c>
      <c r="AH71" s="452">
        <f>IF(MateriaisCampo[[#This Row],[QUANTIDADE]]&lt;&gt;0,((MateriaisCampo[[#This Row],[TOT CUSTO]]/MateriaisCampo[[#This Row],[QUANTIDADE]])/MateriaisCampo[[#This Row],[MARK-UP]]),0)</f>
        <v>47.091881909003931</v>
      </c>
      <c r="AI71" s="453">
        <f>MateriaisCampo[[#This Row],[UNIT VENDA]]*MateriaisCampo[[#This Row],[QUANTIDADE]]</f>
        <v>376.73505527203145</v>
      </c>
      <c r="AJ71" s="453">
        <f>IFERROR(MateriaisCampo[[#This Row],[VENDA]]*(RESUMO!$F$55/RESUMO!$F$45),0)</f>
        <v>478.39372098035739</v>
      </c>
      <c r="AK71" s="453">
        <f>IFERROR(MateriaisCampo[[#This Row],[VENDA]]*(RESUMO!$F$58/RESUMO!$F$45),0)</f>
        <v>478.39372098035739</v>
      </c>
      <c r="AL71" s="454">
        <f>IF(MateriaisCampo[[#This Row],[FATURAMENTO]]="NORMAL",MateriaisCampo[[#This Row],[VENDA]],0)</f>
        <v>376.73505527203145</v>
      </c>
    </row>
    <row r="72" spans="1:44" ht="23" x14ac:dyDescent="0.25">
      <c r="A72" s="113" t="s">
        <v>597</v>
      </c>
      <c r="B72" s="113" t="s">
        <v>597</v>
      </c>
      <c r="C72" s="113" t="s">
        <v>632</v>
      </c>
      <c r="D72" s="113" t="s">
        <v>629</v>
      </c>
      <c r="E72" s="434" t="s">
        <v>648</v>
      </c>
      <c r="F72" s="434">
        <f t="shared" si="0"/>
        <v>0</v>
      </c>
      <c r="G72" s="113"/>
      <c r="H72" s="435" t="s">
        <v>603</v>
      </c>
      <c r="I72" s="436">
        <v>8</v>
      </c>
      <c r="J72" s="437">
        <f>(95/70)*J70</f>
        <v>107.21428571428572</v>
      </c>
      <c r="K72" s="438">
        <v>0</v>
      </c>
      <c r="L72" s="438">
        <v>0</v>
      </c>
      <c r="M72" s="458"/>
      <c r="N72" s="445">
        <f>MateriaisCampo[[#This Row],[UNIT S/IPI S/DESC]]-MateriaisCampo[[#This Row],[UNIT S/IPI S/DESC]]*MateriaisCampo[[#This Row],[% DESC]]</f>
        <v>107.21428571428572</v>
      </c>
      <c r="O72" s="441" t="s">
        <v>295</v>
      </c>
      <c r="P72" s="442" t="s">
        <v>155</v>
      </c>
      <c r="Q72" s="438">
        <v>1.6500000000000001E-2</v>
      </c>
      <c r="R72" s="438">
        <v>7.5999999999999998E-2</v>
      </c>
      <c r="S72" s="443">
        <f>MateriaisCampo[[#This Row],[UNIT S/ IP + DIF ICMS]]*MateriaisCampo[[#This Row],[QUANTIDADE]]</f>
        <v>857.71428571428578</v>
      </c>
      <c r="T72" s="444">
        <f>MateriaisCampo[[#This Row],[TOTAL S/ IPI]]+(MateriaisCampo[[#This Row],[TOTAL S/ IPI]]*MateriaisCampo[[#This Row],[IPI %]])</f>
        <v>857.71428571428578</v>
      </c>
      <c r="U72" s="445">
        <f>IF(AND(MateriaisCampo[[#This Row],[ICMS %]]&lt;&gt;18%,MateriaisCampo[[#This Row],[ORIGEM]]&lt;&gt;"SÃO PAULO"),((18%-MateriaisCampo[[#This Row],[ICMS %]])*MateriaisCampo[[#This Row],[UNIT S/ IPI C/DESC]]),0)</f>
        <v>0</v>
      </c>
      <c r="V72" s="437">
        <f>MateriaisCampo[[#This Row],[UNIT S/ IPI C/DESC]]*MateriaisCampo[[#This Row],[ICMS %]]</f>
        <v>0</v>
      </c>
      <c r="W72" s="437">
        <f>MateriaisCampo[[#This Row],[ICMS $]]*MateriaisCampo[[#This Row],[QUANTIDADE]]</f>
        <v>0</v>
      </c>
      <c r="X72" s="446">
        <f>MateriaisCampo[[#This Row],[UNIT S/ IPI C/DESC]]+MateriaisCampo[[#This Row],[DIFERENCIAL ICMS]]</f>
        <v>107.21428571428572</v>
      </c>
      <c r="Y72" s="446">
        <f>(MateriaisCampo[[#This Row],[PIS]]*MateriaisCampo[[#This Row],[UNIT S/ IPI C/DESC]])/2</f>
        <v>0.88451785714285724</v>
      </c>
      <c r="Z72" s="446">
        <f>(MateriaisCampo[[#This Row],[COFINS]]*MateriaisCampo[[#This Row],[UNIT S/ IPI C/DESC]])/2</f>
        <v>4.0741428571428573</v>
      </c>
      <c r="AA72" s="445">
        <f>MateriaisCampo[[#This Row],[UNIT S/ IP + DIF ICMS]]+(MateriaisCampo[[#This Row],[UNIT S/ IP + DIF ICMS]]*MateriaisCampo[[#This Row],[IPI %]])</f>
        <v>107.21428571428572</v>
      </c>
      <c r="AB72" s="448">
        <f>_xlfn.XLOOKUP(MateriaisCampo[[#This Row],[FATURAMENTO]],BASE!$U$48:$U$50,BASE!$W$48:$W$50,0,0,1)</f>
        <v>0.79709863947533133</v>
      </c>
      <c r="AC72" s="510" t="str">
        <f>RESUMO!$E$56</f>
        <v>SIM</v>
      </c>
      <c r="AD72" s="449" t="str">
        <f>RESUMO!$E$57</f>
        <v>SIM</v>
      </c>
      <c r="AE7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102.25562500000001</v>
      </c>
      <c r="AF72" s="450">
        <f>MateriaisCampo[[#This Row],[UNIT CRED]]*MateriaisCampo[[#This Row],[QUANTIDADE]]</f>
        <v>818.04500000000007</v>
      </c>
      <c r="AG72" s="451">
        <f>MateriaisCampo[[#This Row],[TOT CRED]]</f>
        <v>818.04500000000007</v>
      </c>
      <c r="AH72" s="452">
        <f>IF(MateriaisCampo[[#This Row],[QUANTIDADE]]&lt;&gt;0,((MateriaisCampo[[#This Row],[TOT CUSTO]]/MateriaisCampo[[#This Row],[QUANTIDADE]])/MateriaisCampo[[#This Row],[MARK-UP]]),0)</f>
        <v>128.28478175211416</v>
      </c>
      <c r="AI72" s="453">
        <f>MateriaisCampo[[#This Row],[UNIT VENDA]]*MateriaisCampo[[#This Row],[QUANTIDADE]]</f>
        <v>1026.2782540169133</v>
      </c>
      <c r="AJ72" s="453">
        <f>IFERROR(MateriaisCampo[[#This Row],[VENDA]]*(RESUMO!$F$55/RESUMO!$F$45),0)</f>
        <v>1303.2104812913183</v>
      </c>
      <c r="AK72" s="453">
        <f>IFERROR(MateriaisCampo[[#This Row],[VENDA]]*(RESUMO!$F$58/RESUMO!$F$45),0)</f>
        <v>1303.2104812913183</v>
      </c>
      <c r="AL72" s="454">
        <f>IF(MateriaisCampo[[#This Row],[FATURAMENTO]]="NORMAL",MateriaisCampo[[#This Row],[VENDA]],0)</f>
        <v>1026.2782540169133</v>
      </c>
    </row>
    <row r="73" spans="1:44" x14ac:dyDescent="0.25">
      <c r="A73" s="113" t="s">
        <v>597</v>
      </c>
      <c r="B73" s="113" t="s">
        <v>597</v>
      </c>
      <c r="C73" s="113" t="s">
        <v>633</v>
      </c>
      <c r="D73" s="113" t="s">
        <v>634</v>
      </c>
      <c r="E73" s="434" t="s">
        <v>649</v>
      </c>
      <c r="F73" s="434">
        <f t="shared" si="0"/>
        <v>0</v>
      </c>
      <c r="G73" s="113"/>
      <c r="H73" s="435" t="s">
        <v>603</v>
      </c>
      <c r="I73" s="436">
        <v>7</v>
      </c>
      <c r="J73" s="437">
        <v>400</v>
      </c>
      <c r="K73" s="438">
        <v>0.12</v>
      </c>
      <c r="L73" s="438">
        <v>3.2500000000000001E-2</v>
      </c>
      <c r="M73" s="458"/>
      <c r="N73" s="445">
        <f>MateriaisCampo[[#This Row],[UNIT S/IPI S/DESC]]-MateriaisCampo[[#This Row],[UNIT S/IPI S/DESC]]*MateriaisCampo[[#This Row],[% DESC]]</f>
        <v>400</v>
      </c>
      <c r="O73" s="441" t="s">
        <v>295</v>
      </c>
      <c r="P73" s="442" t="s">
        <v>155</v>
      </c>
      <c r="Q73" s="438">
        <v>1.6500000000000001E-2</v>
      </c>
      <c r="R73" s="438">
        <v>7.5999999999999998E-2</v>
      </c>
      <c r="S73" s="443">
        <f>MateriaisCampo[[#This Row],[UNIT S/ IP + DIF ICMS]]*MateriaisCampo[[#This Row],[QUANTIDADE]]</f>
        <v>2800</v>
      </c>
      <c r="T73" s="444">
        <f>MateriaisCampo[[#This Row],[TOTAL S/ IPI]]+(MateriaisCampo[[#This Row],[TOTAL S/ IPI]]*MateriaisCampo[[#This Row],[IPI %]])</f>
        <v>2891</v>
      </c>
      <c r="U73" s="445">
        <f>IF(AND(MateriaisCampo[[#This Row],[ICMS %]]&lt;&gt;18%,MateriaisCampo[[#This Row],[ORIGEM]]&lt;&gt;"SÃO PAULO"),((18%-MateriaisCampo[[#This Row],[ICMS %]])*MateriaisCampo[[#This Row],[UNIT S/ IPI C/DESC]]),0)</f>
        <v>0</v>
      </c>
      <c r="V73" s="437">
        <f>MateriaisCampo[[#This Row],[UNIT S/ IPI C/DESC]]*MateriaisCampo[[#This Row],[ICMS %]]</f>
        <v>48</v>
      </c>
      <c r="W73" s="437">
        <f>MateriaisCampo[[#This Row],[ICMS $]]*MateriaisCampo[[#This Row],[QUANTIDADE]]</f>
        <v>336</v>
      </c>
      <c r="X73" s="446">
        <f>MateriaisCampo[[#This Row],[UNIT S/ IPI C/DESC]]+MateriaisCampo[[#This Row],[DIFERENCIAL ICMS]]</f>
        <v>400</v>
      </c>
      <c r="Y73" s="446">
        <f>(MateriaisCampo[[#This Row],[PIS]]*MateriaisCampo[[#This Row],[UNIT S/ IPI C/DESC]])/2</f>
        <v>3.3000000000000003</v>
      </c>
      <c r="Z73" s="446">
        <f>(MateriaisCampo[[#This Row],[COFINS]]*MateriaisCampo[[#This Row],[UNIT S/ IPI C/DESC]])/2</f>
        <v>15.2</v>
      </c>
      <c r="AA73" s="445">
        <f>MateriaisCampo[[#This Row],[UNIT S/ IP + DIF ICMS]]+(MateriaisCampo[[#This Row],[UNIT S/ IP + DIF ICMS]]*MateriaisCampo[[#This Row],[IPI %]])</f>
        <v>413</v>
      </c>
      <c r="AB73" s="448">
        <f>_xlfn.XLOOKUP(MateriaisCampo[[#This Row],[FATURAMENTO]],BASE!$U$48:$U$50,BASE!$W$48:$W$50,0,0,1)</f>
        <v>0.79709863947533133</v>
      </c>
      <c r="AC73" s="510" t="str">
        <f>RESUMO!$E$56</f>
        <v>SIM</v>
      </c>
      <c r="AD73" s="449" t="str">
        <f>RESUMO!$E$57</f>
        <v>SIM</v>
      </c>
      <c r="AE7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333.5</v>
      </c>
      <c r="AF73" s="450">
        <f>MateriaisCampo[[#This Row],[UNIT CRED]]*MateriaisCampo[[#This Row],[QUANTIDADE]]</f>
        <v>2334.5</v>
      </c>
      <c r="AG73" s="451">
        <f>MateriaisCampo[[#This Row],[TOT CRED]]</f>
        <v>2334.5</v>
      </c>
      <c r="AH73" s="452">
        <f>IF(MateriaisCampo[[#This Row],[QUANTIDADE]]&lt;&gt;0,((MateriaisCampo[[#This Row],[TOT CUSTO]]/MateriaisCampo[[#This Row],[QUANTIDADE]])/MateriaisCampo[[#This Row],[MARK-UP]]),0)</f>
        <v>418.39238393320727</v>
      </c>
      <c r="AI73" s="453">
        <f>MateriaisCampo[[#This Row],[UNIT VENDA]]*MateriaisCampo[[#This Row],[QUANTIDADE]]</f>
        <v>2928.7466875324508</v>
      </c>
      <c r="AJ73" s="453">
        <f>IFERROR(MateriaisCampo[[#This Row],[VENDA]]*(RESUMO!$F$55/RESUMO!$F$45),0)</f>
        <v>3719.0434127396197</v>
      </c>
      <c r="AK73" s="453">
        <f>IFERROR(MateriaisCampo[[#This Row],[VENDA]]*(RESUMO!$F$58/RESUMO!$F$45),0)</f>
        <v>3719.0434127396197</v>
      </c>
      <c r="AL73" s="454">
        <f>IF(MateriaisCampo[[#This Row],[FATURAMENTO]]="NORMAL",MateriaisCampo[[#This Row],[VENDA]],0)</f>
        <v>2928.7466875324508</v>
      </c>
    </row>
    <row r="74" spans="1:44" x14ac:dyDescent="0.25">
      <c r="A74" s="113" t="s">
        <v>597</v>
      </c>
      <c r="B74" s="113" t="s">
        <v>597</v>
      </c>
      <c r="C74" s="113" t="s">
        <v>635</v>
      </c>
      <c r="D74" s="113" t="s">
        <v>636</v>
      </c>
      <c r="E74" s="434" t="s">
        <v>648</v>
      </c>
      <c r="F74" s="434">
        <f t="shared" si="0"/>
        <v>0</v>
      </c>
      <c r="G74" s="113"/>
      <c r="H74" s="435" t="s">
        <v>603</v>
      </c>
      <c r="I74" s="436">
        <v>20</v>
      </c>
      <c r="J74" s="437">
        <v>15</v>
      </c>
      <c r="K74" s="438">
        <v>0.12</v>
      </c>
      <c r="L74" s="438">
        <v>3.2500000000000001E-2</v>
      </c>
      <c r="M74" s="458"/>
      <c r="N74" s="445">
        <f>MateriaisCampo[[#This Row],[UNIT S/IPI S/DESC]]-MateriaisCampo[[#This Row],[UNIT S/IPI S/DESC]]*MateriaisCampo[[#This Row],[% DESC]]</f>
        <v>15</v>
      </c>
      <c r="O74" s="441" t="s">
        <v>295</v>
      </c>
      <c r="P74" s="442" t="s">
        <v>155</v>
      </c>
      <c r="Q74" s="438">
        <v>1.6500000000000001E-2</v>
      </c>
      <c r="R74" s="438">
        <v>7.5999999999999998E-2</v>
      </c>
      <c r="S74" s="443">
        <f>MateriaisCampo[[#This Row],[UNIT S/ IP + DIF ICMS]]*MateriaisCampo[[#This Row],[QUANTIDADE]]</f>
        <v>300</v>
      </c>
      <c r="T74" s="444">
        <f>MateriaisCampo[[#This Row],[TOTAL S/ IPI]]+(MateriaisCampo[[#This Row],[TOTAL S/ IPI]]*MateriaisCampo[[#This Row],[IPI %]])</f>
        <v>309.75</v>
      </c>
      <c r="U74" s="445">
        <f>IF(AND(MateriaisCampo[[#This Row],[ICMS %]]&lt;&gt;18%,MateriaisCampo[[#This Row],[ORIGEM]]&lt;&gt;"SÃO PAULO"),((18%-MateriaisCampo[[#This Row],[ICMS %]])*MateriaisCampo[[#This Row],[UNIT S/ IPI C/DESC]]),0)</f>
        <v>0</v>
      </c>
      <c r="V74" s="437">
        <f>MateriaisCampo[[#This Row],[UNIT S/ IPI C/DESC]]*MateriaisCampo[[#This Row],[ICMS %]]</f>
        <v>1.7999999999999998</v>
      </c>
      <c r="W74" s="437">
        <f>MateriaisCampo[[#This Row],[ICMS $]]*MateriaisCampo[[#This Row],[QUANTIDADE]]</f>
        <v>36</v>
      </c>
      <c r="X74" s="446">
        <f>MateriaisCampo[[#This Row],[UNIT S/ IPI C/DESC]]+MateriaisCampo[[#This Row],[DIFERENCIAL ICMS]]</f>
        <v>15</v>
      </c>
      <c r="Y74" s="446">
        <f>(MateriaisCampo[[#This Row],[PIS]]*MateriaisCampo[[#This Row],[UNIT S/ IPI C/DESC]])/2</f>
        <v>0.12375</v>
      </c>
      <c r="Z74" s="446">
        <f>(MateriaisCampo[[#This Row],[COFINS]]*MateriaisCampo[[#This Row],[UNIT S/ IPI C/DESC]])/2</f>
        <v>0.56999999999999995</v>
      </c>
      <c r="AA74" s="445">
        <f>MateriaisCampo[[#This Row],[UNIT S/ IP + DIF ICMS]]+(MateriaisCampo[[#This Row],[UNIT S/ IP + DIF ICMS]]*MateriaisCampo[[#This Row],[IPI %]])</f>
        <v>15.487500000000001</v>
      </c>
      <c r="AB74" s="448">
        <f>_xlfn.XLOOKUP(MateriaisCampo[[#This Row],[FATURAMENTO]],BASE!$U$48:$U$50,BASE!$W$48:$W$50,0,0,1)</f>
        <v>0.79709863947533133</v>
      </c>
      <c r="AC74" s="510" t="str">
        <f>RESUMO!$E$56</f>
        <v>SIM</v>
      </c>
      <c r="AD74" s="449" t="str">
        <f>RESUMO!$E$57</f>
        <v>SIM</v>
      </c>
      <c r="AE7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12.50625</v>
      </c>
      <c r="AF74" s="450">
        <f>MateriaisCampo[[#This Row],[UNIT CRED]]*MateriaisCampo[[#This Row],[QUANTIDADE]]</f>
        <v>250.125</v>
      </c>
      <c r="AG74" s="451">
        <f>MateriaisCampo[[#This Row],[TOT CRED]]</f>
        <v>250.125</v>
      </c>
      <c r="AH74" s="452">
        <f>IF(MateriaisCampo[[#This Row],[QUANTIDADE]]&lt;&gt;0,((MateriaisCampo[[#This Row],[TOT CUSTO]]/MateriaisCampo[[#This Row],[QUANTIDADE]])/MateriaisCampo[[#This Row],[MARK-UP]]),0)</f>
        <v>15.689714397495273</v>
      </c>
      <c r="AI74" s="453">
        <f>MateriaisCampo[[#This Row],[UNIT VENDA]]*MateriaisCampo[[#This Row],[QUANTIDADE]]</f>
        <v>313.79428794990542</v>
      </c>
      <c r="AJ74" s="453">
        <f>IFERROR(MateriaisCampo[[#This Row],[VENDA]]*(RESUMO!$F$55/RESUMO!$F$45),0)</f>
        <v>398.46893707924494</v>
      </c>
      <c r="AK74" s="453">
        <f>IFERROR(MateriaisCampo[[#This Row],[VENDA]]*(RESUMO!$F$58/RESUMO!$F$45),0)</f>
        <v>398.46893707924494</v>
      </c>
      <c r="AL74" s="454">
        <f>IF(MateriaisCampo[[#This Row],[FATURAMENTO]]="NORMAL",MateriaisCampo[[#This Row],[VENDA]],0)</f>
        <v>313.79428794990542</v>
      </c>
    </row>
    <row r="75" spans="1:44" x14ac:dyDescent="0.25">
      <c r="A75" s="113"/>
      <c r="B75" s="113"/>
      <c r="C75" s="113"/>
      <c r="D75" s="113"/>
      <c r="E75" s="434"/>
      <c r="F75" s="434">
        <f t="shared" si="0"/>
        <v>0</v>
      </c>
      <c r="G75" s="113"/>
      <c r="H75" s="435"/>
      <c r="I75" s="436"/>
      <c r="J75" s="437"/>
      <c r="K75" s="438"/>
      <c r="L75" s="438"/>
      <c r="M75" s="458"/>
      <c r="N75" s="445">
        <f>MateriaisCampo[[#This Row],[UNIT S/IPI S/DESC]]-MateriaisCampo[[#This Row],[UNIT S/IPI S/DESC]]*MateriaisCampo[[#This Row],[% DESC]]</f>
        <v>0</v>
      </c>
      <c r="O75" s="441" t="s">
        <v>295</v>
      </c>
      <c r="P75" s="442" t="s">
        <v>155</v>
      </c>
      <c r="Q75" s="438">
        <v>1.6500000000000001E-2</v>
      </c>
      <c r="R75" s="438">
        <v>7.5999999999999998E-2</v>
      </c>
      <c r="S75" s="443">
        <f>MateriaisCampo[[#This Row],[UNIT S/ IP + DIF ICMS]]*MateriaisCampo[[#This Row],[QUANTIDADE]]</f>
        <v>0</v>
      </c>
      <c r="T75" s="444">
        <f>MateriaisCampo[[#This Row],[TOTAL S/ IPI]]+(MateriaisCampo[[#This Row],[TOTAL S/ IPI]]*MateriaisCampo[[#This Row],[IPI %]])</f>
        <v>0</v>
      </c>
      <c r="U75" s="445">
        <f>IF(AND(MateriaisCampo[[#This Row],[ICMS %]]&lt;&gt;18%,MateriaisCampo[[#This Row],[ORIGEM]]&lt;&gt;"SÃO PAULO"),((18%-MateriaisCampo[[#This Row],[ICMS %]])*MateriaisCampo[[#This Row],[UNIT S/ IPI C/DESC]]),0)</f>
        <v>0</v>
      </c>
      <c r="V75" s="437">
        <f>MateriaisCampo[[#This Row],[UNIT S/ IPI C/DESC]]*MateriaisCampo[[#This Row],[ICMS %]]</f>
        <v>0</v>
      </c>
      <c r="W75" s="437">
        <f>MateriaisCampo[[#This Row],[ICMS $]]*MateriaisCampo[[#This Row],[QUANTIDADE]]</f>
        <v>0</v>
      </c>
      <c r="X75" s="446">
        <f>MateriaisCampo[[#This Row],[UNIT S/ IPI C/DESC]]+MateriaisCampo[[#This Row],[DIFERENCIAL ICMS]]</f>
        <v>0</v>
      </c>
      <c r="Y75" s="446">
        <f>(MateriaisCampo[[#This Row],[PIS]]*MateriaisCampo[[#This Row],[UNIT S/ IPI C/DESC]])/2</f>
        <v>0</v>
      </c>
      <c r="Z75" s="446">
        <f>(MateriaisCampo[[#This Row],[COFINS]]*MateriaisCampo[[#This Row],[UNIT S/ IPI C/DESC]])/2</f>
        <v>0</v>
      </c>
      <c r="AA75" s="445">
        <f>MateriaisCampo[[#This Row],[UNIT S/ IP + DIF ICMS]]+(MateriaisCampo[[#This Row],[UNIT S/ IP + DIF ICMS]]*MateriaisCampo[[#This Row],[IPI %]])</f>
        <v>0</v>
      </c>
      <c r="AB75" s="448">
        <f>_xlfn.XLOOKUP(MateriaisCampo[[#This Row],[FATURAMENTO]],BASE!$U$48:$U$50,BASE!$W$48:$W$50,0,0,1)</f>
        <v>0.79709863947533133</v>
      </c>
      <c r="AC75" s="510" t="str">
        <f>RESUMO!$E$56</f>
        <v>SIM</v>
      </c>
      <c r="AD75" s="449" t="str">
        <f>RESUMO!$E$57</f>
        <v>SIM</v>
      </c>
      <c r="AE7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75" s="450">
        <f>MateriaisCampo[[#This Row],[UNIT CRED]]*MateriaisCampo[[#This Row],[QUANTIDADE]]</f>
        <v>0</v>
      </c>
      <c r="AG75" s="451">
        <f>MateriaisCampo[[#This Row],[TOT CRED]]</f>
        <v>0</v>
      </c>
      <c r="AH75" s="452">
        <f>IF(MateriaisCampo[[#This Row],[QUANTIDADE]]&lt;&gt;0,((MateriaisCampo[[#This Row],[TOT CUSTO]]/MateriaisCampo[[#This Row],[QUANTIDADE]])/MateriaisCampo[[#This Row],[MARK-UP]]),0)</f>
        <v>0</v>
      </c>
      <c r="AI75" s="453">
        <f>MateriaisCampo[[#This Row],[UNIT VENDA]]*MateriaisCampo[[#This Row],[QUANTIDADE]]</f>
        <v>0</v>
      </c>
      <c r="AJ75" s="453">
        <f>IFERROR(MateriaisCampo[[#This Row],[VENDA]]*(RESUMO!$F$55/RESUMO!$F$45),0)</f>
        <v>0</v>
      </c>
      <c r="AK75" s="453">
        <f>IFERROR(MateriaisCampo[[#This Row],[VENDA]]*(RESUMO!$F$58/RESUMO!$F$45),0)</f>
        <v>0</v>
      </c>
      <c r="AL75" s="454">
        <f>IF(MateriaisCampo[[#This Row],[FATURAMENTO]]="NORMAL",MateriaisCampo[[#This Row],[VENDA]],0)</f>
        <v>0</v>
      </c>
    </row>
    <row r="76" spans="1:44" x14ac:dyDescent="0.25">
      <c r="A76" s="113"/>
      <c r="B76" s="113"/>
      <c r="C76" s="113"/>
      <c r="D76" s="113"/>
      <c r="E76" s="434"/>
      <c r="F76" s="434">
        <f t="shared" si="0"/>
        <v>0</v>
      </c>
      <c r="G76" s="113"/>
      <c r="H76" s="435"/>
      <c r="I76" s="436"/>
      <c r="J76" s="437"/>
      <c r="K76" s="438"/>
      <c r="L76" s="438"/>
      <c r="M76" s="458"/>
      <c r="N76" s="445">
        <f>MateriaisCampo[[#This Row],[UNIT S/IPI S/DESC]]-MateriaisCampo[[#This Row],[UNIT S/IPI S/DESC]]*MateriaisCampo[[#This Row],[% DESC]]</f>
        <v>0</v>
      </c>
      <c r="O76" s="441" t="s">
        <v>295</v>
      </c>
      <c r="P76" s="442" t="s">
        <v>155</v>
      </c>
      <c r="Q76" s="438">
        <v>1.6500000000000001E-2</v>
      </c>
      <c r="R76" s="438">
        <v>7.5999999999999998E-2</v>
      </c>
      <c r="S76" s="443">
        <f>MateriaisCampo[[#This Row],[UNIT S/ IP + DIF ICMS]]*MateriaisCampo[[#This Row],[QUANTIDADE]]</f>
        <v>0</v>
      </c>
      <c r="T76" s="444">
        <f>MateriaisCampo[[#This Row],[TOTAL S/ IPI]]+(MateriaisCampo[[#This Row],[TOTAL S/ IPI]]*MateriaisCampo[[#This Row],[IPI %]])</f>
        <v>0</v>
      </c>
      <c r="U76" s="445">
        <f>IF(AND(MateriaisCampo[[#This Row],[ICMS %]]&lt;&gt;18%,MateriaisCampo[[#This Row],[ORIGEM]]&lt;&gt;"SÃO PAULO"),((18%-MateriaisCampo[[#This Row],[ICMS %]])*MateriaisCampo[[#This Row],[UNIT S/ IPI C/DESC]]),0)</f>
        <v>0</v>
      </c>
      <c r="V76" s="437">
        <f>MateriaisCampo[[#This Row],[UNIT S/ IPI C/DESC]]*MateriaisCampo[[#This Row],[ICMS %]]</f>
        <v>0</v>
      </c>
      <c r="W76" s="437">
        <f>MateriaisCampo[[#This Row],[ICMS $]]*MateriaisCampo[[#This Row],[QUANTIDADE]]</f>
        <v>0</v>
      </c>
      <c r="X76" s="446">
        <f>MateriaisCampo[[#This Row],[UNIT S/ IPI C/DESC]]+MateriaisCampo[[#This Row],[DIFERENCIAL ICMS]]</f>
        <v>0</v>
      </c>
      <c r="Y76" s="446">
        <f>(MateriaisCampo[[#This Row],[PIS]]*MateriaisCampo[[#This Row],[UNIT S/ IPI C/DESC]])/2</f>
        <v>0</v>
      </c>
      <c r="Z76" s="446">
        <f>(MateriaisCampo[[#This Row],[COFINS]]*MateriaisCampo[[#This Row],[UNIT S/ IPI C/DESC]])/2</f>
        <v>0</v>
      </c>
      <c r="AA76" s="445">
        <f>MateriaisCampo[[#This Row],[UNIT S/ IP + DIF ICMS]]+(MateriaisCampo[[#This Row],[UNIT S/ IP + DIF ICMS]]*MateriaisCampo[[#This Row],[IPI %]])</f>
        <v>0</v>
      </c>
      <c r="AB76" s="448">
        <f>_xlfn.XLOOKUP(MateriaisCampo[[#This Row],[FATURAMENTO]],BASE!$U$48:$U$50,BASE!$W$48:$W$50,0,0,1)</f>
        <v>0.79709863947533133</v>
      </c>
      <c r="AC76" s="510" t="str">
        <f>RESUMO!$E$56</f>
        <v>SIM</v>
      </c>
      <c r="AD76" s="449" t="str">
        <f>RESUMO!$E$57</f>
        <v>SIM</v>
      </c>
      <c r="AE7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76" s="450">
        <f>MateriaisCampo[[#This Row],[UNIT CRED]]*MateriaisCampo[[#This Row],[QUANTIDADE]]</f>
        <v>0</v>
      </c>
      <c r="AG76" s="451">
        <f>MateriaisCampo[[#This Row],[TOT CRED]]</f>
        <v>0</v>
      </c>
      <c r="AH76" s="452">
        <f>IF(MateriaisCampo[[#This Row],[QUANTIDADE]]&lt;&gt;0,((MateriaisCampo[[#This Row],[TOT CUSTO]]/MateriaisCampo[[#This Row],[QUANTIDADE]])/MateriaisCampo[[#This Row],[MARK-UP]]),0)</f>
        <v>0</v>
      </c>
      <c r="AI76" s="453">
        <f>MateriaisCampo[[#This Row],[UNIT VENDA]]*MateriaisCampo[[#This Row],[QUANTIDADE]]</f>
        <v>0</v>
      </c>
      <c r="AJ76" s="453">
        <f>IFERROR(MateriaisCampo[[#This Row],[VENDA]]*(RESUMO!$F$55/RESUMO!$F$45),0)</f>
        <v>0</v>
      </c>
      <c r="AK76" s="453">
        <f>IFERROR(MateriaisCampo[[#This Row],[VENDA]]*(RESUMO!$F$58/RESUMO!$F$45),0)</f>
        <v>0</v>
      </c>
      <c r="AL76" s="454">
        <f>IF(MateriaisCampo[[#This Row],[FATURAMENTO]]="NORMAL",MateriaisCampo[[#This Row],[VENDA]],0)</f>
        <v>0</v>
      </c>
    </row>
    <row r="77" spans="1:44" x14ac:dyDescent="0.25">
      <c r="A77" s="484" t="s">
        <v>637</v>
      </c>
      <c r="B77" s="484" t="s">
        <v>637</v>
      </c>
      <c r="C77" s="484" t="s">
        <v>899</v>
      </c>
      <c r="D77" s="484"/>
      <c r="E77" s="485"/>
      <c r="F77" s="485">
        <v>0</v>
      </c>
      <c r="G77" s="484"/>
      <c r="H77" s="486"/>
      <c r="I77" s="487"/>
      <c r="J77" s="488"/>
      <c r="K77" s="438"/>
      <c r="L77" s="438"/>
      <c r="M77" s="458"/>
      <c r="N77" s="445">
        <f>MateriaisCampo[[#This Row],[UNIT S/IPI S/DESC]]-MateriaisCampo[[#This Row],[UNIT S/IPI S/DESC]]*MateriaisCampo[[#This Row],[% DESC]]</f>
        <v>0</v>
      </c>
      <c r="O77" s="441" t="s">
        <v>295</v>
      </c>
      <c r="P77" s="442" t="s">
        <v>155</v>
      </c>
      <c r="Q77" s="438">
        <v>1.6500000000000001E-2</v>
      </c>
      <c r="R77" s="438">
        <v>7.5999999999999998E-2</v>
      </c>
      <c r="S77" s="443">
        <f>MateriaisCampo[[#This Row],[UNIT S/ IP + DIF ICMS]]*MateriaisCampo[[#This Row],[QUANTIDADE]]</f>
        <v>0</v>
      </c>
      <c r="T77" s="444">
        <f>MateriaisCampo[[#This Row],[TOTAL S/ IPI]]+(MateriaisCampo[[#This Row],[TOTAL S/ IPI]]*MateriaisCampo[[#This Row],[IPI %]])</f>
        <v>0</v>
      </c>
      <c r="U77" s="445">
        <f>IF(AND(MateriaisCampo[[#This Row],[ICMS %]]&lt;&gt;18%,MateriaisCampo[[#This Row],[ORIGEM]]&lt;&gt;"SÃO PAULO"),((18%-MateriaisCampo[[#This Row],[ICMS %]])*MateriaisCampo[[#This Row],[UNIT S/ IPI C/DESC]]),0)</f>
        <v>0</v>
      </c>
      <c r="V77" s="437">
        <f>MateriaisCampo[[#This Row],[UNIT S/ IPI C/DESC]]*MateriaisCampo[[#This Row],[ICMS %]]</f>
        <v>0</v>
      </c>
      <c r="W77" s="437">
        <f>MateriaisCampo[[#This Row],[ICMS $]]*MateriaisCampo[[#This Row],[QUANTIDADE]]</f>
        <v>0</v>
      </c>
      <c r="X77" s="446">
        <f>MateriaisCampo[[#This Row],[UNIT S/ IPI C/DESC]]+MateriaisCampo[[#This Row],[DIFERENCIAL ICMS]]</f>
        <v>0</v>
      </c>
      <c r="Y77" s="446">
        <f>(MateriaisCampo[[#This Row],[PIS]]*MateriaisCampo[[#This Row],[UNIT S/ IPI C/DESC]])/2</f>
        <v>0</v>
      </c>
      <c r="Z77" s="446">
        <f>(MateriaisCampo[[#This Row],[COFINS]]*MateriaisCampo[[#This Row],[UNIT S/ IPI C/DESC]])/2</f>
        <v>0</v>
      </c>
      <c r="AA77" s="445">
        <f>MateriaisCampo[[#This Row],[UNIT S/ IP + DIF ICMS]]+(MateriaisCampo[[#This Row],[UNIT S/ IP + DIF ICMS]]*MateriaisCampo[[#This Row],[IPI %]])</f>
        <v>0</v>
      </c>
      <c r="AB77" s="448">
        <f>_xlfn.XLOOKUP(MateriaisCampo[[#This Row],[FATURAMENTO]],BASE!$U$48:$U$50,BASE!$W$48:$W$50,0,0,1)</f>
        <v>0.79709863947533133</v>
      </c>
      <c r="AC77" s="510" t="str">
        <f>RESUMO!$E$56</f>
        <v>SIM</v>
      </c>
      <c r="AD77" s="449" t="str">
        <f>RESUMO!$E$57</f>
        <v>SIM</v>
      </c>
      <c r="AE7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77" s="450">
        <f>MateriaisCampo[[#This Row],[UNIT CRED]]*MateriaisCampo[[#This Row],[QUANTIDADE]]</f>
        <v>0</v>
      </c>
      <c r="AG77" s="451">
        <f>MateriaisCampo[[#This Row],[TOT CRED]]</f>
        <v>0</v>
      </c>
      <c r="AH77" s="452">
        <f>IF(MateriaisCampo[[#This Row],[QUANTIDADE]]&lt;&gt;0,((MateriaisCampo[[#This Row],[TOT CUSTO]]/MateriaisCampo[[#This Row],[QUANTIDADE]])/MateriaisCampo[[#This Row],[MARK-UP]]),0)</f>
        <v>0</v>
      </c>
      <c r="AI77" s="453">
        <f>MateriaisCampo[[#This Row],[UNIT VENDA]]*MateriaisCampo[[#This Row],[QUANTIDADE]]</f>
        <v>0</v>
      </c>
      <c r="AJ77" s="453">
        <f>IFERROR(MateriaisCampo[[#This Row],[VENDA]]*(RESUMO!$F$55/RESUMO!$F$45),0)</f>
        <v>0</v>
      </c>
      <c r="AK77" s="453">
        <f>IFERROR(MateriaisCampo[[#This Row],[VENDA]]*(RESUMO!$F$58/RESUMO!$F$45),0)</f>
        <v>0</v>
      </c>
      <c r="AL77" s="454">
        <f>IF(MateriaisCampo[[#This Row],[FATURAMENTO]]="NORMAL",MateriaisCampo[[#This Row],[VENDA]],0)</f>
        <v>0</v>
      </c>
    </row>
    <row r="78" spans="1:44" ht="23" x14ac:dyDescent="0.25">
      <c r="A78" s="113" t="s">
        <v>637</v>
      </c>
      <c r="B78" s="113" t="s">
        <v>637</v>
      </c>
      <c r="C78" s="113" t="s">
        <v>638</v>
      </c>
      <c r="D78" s="113" t="s">
        <v>639</v>
      </c>
      <c r="E78" s="434" t="s">
        <v>647</v>
      </c>
      <c r="F78" s="434">
        <v>0</v>
      </c>
      <c r="G78" s="113"/>
      <c r="H78" s="435" t="s">
        <v>603</v>
      </c>
      <c r="I78" s="436">
        <v>29</v>
      </c>
      <c r="J78" s="437">
        <v>21</v>
      </c>
      <c r="K78" s="438">
        <v>0</v>
      </c>
      <c r="L78" s="438">
        <v>0</v>
      </c>
      <c r="M78" s="458"/>
      <c r="N78" s="445">
        <f>MateriaisCampo[[#This Row],[UNIT S/IPI S/DESC]]-MateriaisCampo[[#This Row],[UNIT S/IPI S/DESC]]*MateriaisCampo[[#This Row],[% DESC]]</f>
        <v>21</v>
      </c>
      <c r="O78" s="441" t="s">
        <v>295</v>
      </c>
      <c r="P78" s="442" t="s">
        <v>155</v>
      </c>
      <c r="Q78" s="438">
        <v>1.6500000000000001E-2</v>
      </c>
      <c r="R78" s="438">
        <v>7.5999999999999998E-2</v>
      </c>
      <c r="S78" s="443">
        <f>MateriaisCampo[[#This Row],[UNIT S/ IP + DIF ICMS]]*MateriaisCampo[[#This Row],[QUANTIDADE]]</f>
        <v>609</v>
      </c>
      <c r="T78" s="444">
        <f>MateriaisCampo[[#This Row],[TOTAL S/ IPI]]+(MateriaisCampo[[#This Row],[TOTAL S/ IPI]]*MateriaisCampo[[#This Row],[IPI %]])</f>
        <v>609</v>
      </c>
      <c r="U78" s="445">
        <f>IF(AND(MateriaisCampo[[#This Row],[ICMS %]]&lt;&gt;18%,MateriaisCampo[[#This Row],[ORIGEM]]&lt;&gt;"SÃO PAULO"),((18%-MateriaisCampo[[#This Row],[ICMS %]])*MateriaisCampo[[#This Row],[UNIT S/ IPI C/DESC]]),0)</f>
        <v>0</v>
      </c>
      <c r="V78" s="437">
        <f>MateriaisCampo[[#This Row],[UNIT S/ IPI C/DESC]]*MateriaisCampo[[#This Row],[ICMS %]]</f>
        <v>0</v>
      </c>
      <c r="W78" s="437">
        <f>MateriaisCampo[[#This Row],[ICMS $]]*MateriaisCampo[[#This Row],[QUANTIDADE]]</f>
        <v>0</v>
      </c>
      <c r="X78" s="446">
        <f>MateriaisCampo[[#This Row],[UNIT S/ IPI C/DESC]]+MateriaisCampo[[#This Row],[DIFERENCIAL ICMS]]</f>
        <v>21</v>
      </c>
      <c r="Y78" s="446">
        <f>(MateriaisCampo[[#This Row],[PIS]]*MateriaisCampo[[#This Row],[UNIT S/ IPI C/DESC]])/2</f>
        <v>0.17325000000000002</v>
      </c>
      <c r="Z78" s="446">
        <f>(MateriaisCampo[[#This Row],[COFINS]]*MateriaisCampo[[#This Row],[UNIT S/ IPI C/DESC]])/2</f>
        <v>0.79799999999999993</v>
      </c>
      <c r="AA78" s="445">
        <f>MateriaisCampo[[#This Row],[UNIT S/ IP + DIF ICMS]]+(MateriaisCampo[[#This Row],[UNIT S/ IP + DIF ICMS]]*MateriaisCampo[[#This Row],[IPI %]])</f>
        <v>21</v>
      </c>
      <c r="AB78" s="448">
        <f>_xlfn.XLOOKUP(MateriaisCampo[[#This Row],[FATURAMENTO]],BASE!$U$48:$U$50,BASE!$W$48:$W$50,0,0,1)</f>
        <v>0.79709863947533133</v>
      </c>
      <c r="AC78" s="510" t="str">
        <f>RESUMO!$E$56</f>
        <v>SIM</v>
      </c>
      <c r="AD78" s="449" t="str">
        <f>RESUMO!$E$57</f>
        <v>SIM</v>
      </c>
      <c r="AE7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20.028750000000002</v>
      </c>
      <c r="AF78" s="450">
        <f>MateriaisCampo[[#This Row],[UNIT CRED]]*MateriaisCampo[[#This Row],[QUANTIDADE]]</f>
        <v>580.83375000000001</v>
      </c>
      <c r="AG78" s="451">
        <f>MateriaisCampo[[#This Row],[TOT CRED]]</f>
        <v>580.83375000000001</v>
      </c>
      <c r="AH78" s="452">
        <f>IF(MateriaisCampo[[#This Row],[QUANTIDADE]]&lt;&gt;0,((MateriaisCampo[[#This Row],[TOT CUSTO]]/MateriaisCampo[[#This Row],[QUANTIDADE]])/MateriaisCampo[[#This Row],[MARK-UP]]),0)</f>
        <v>25.127065846183584</v>
      </c>
      <c r="AI78" s="453">
        <f>MateriaisCampo[[#This Row],[UNIT VENDA]]*MateriaisCampo[[#This Row],[QUANTIDADE]]</f>
        <v>728.68490953932394</v>
      </c>
      <c r="AJ78" s="453">
        <f>IFERROR(MateriaisCampo[[#This Row],[VENDA]]*(RESUMO!$F$55/RESUMO!$F$45),0)</f>
        <v>925.31417084358588</v>
      </c>
      <c r="AK78" s="453">
        <f>IFERROR(MateriaisCampo[[#This Row],[VENDA]]*(RESUMO!$F$58/RESUMO!$F$45),0)</f>
        <v>925.31417084358588</v>
      </c>
      <c r="AL78" s="454">
        <f>IF(MateriaisCampo[[#This Row],[FATURAMENTO]]="NORMAL",MateriaisCampo[[#This Row],[VENDA]],0)</f>
        <v>728.68490953932394</v>
      </c>
    </row>
    <row r="79" spans="1:44" x14ac:dyDescent="0.25">
      <c r="A79" s="113" t="s">
        <v>637</v>
      </c>
      <c r="B79" s="113" t="s">
        <v>637</v>
      </c>
      <c r="C79" s="113" t="s">
        <v>640</v>
      </c>
      <c r="D79" s="113" t="s">
        <v>644</v>
      </c>
      <c r="E79" s="434" t="s">
        <v>647</v>
      </c>
      <c r="F79" s="434">
        <v>0</v>
      </c>
      <c r="G79" s="113"/>
      <c r="H79" s="435" t="s">
        <v>603</v>
      </c>
      <c r="I79" s="436">
        <v>20</v>
      </c>
      <c r="J79" s="437">
        <v>5.6</v>
      </c>
      <c r="K79" s="438">
        <v>0</v>
      </c>
      <c r="L79" s="438">
        <v>0</v>
      </c>
      <c r="M79" s="458"/>
      <c r="N79" s="445">
        <f>MateriaisCampo[[#This Row],[UNIT S/IPI S/DESC]]-MateriaisCampo[[#This Row],[UNIT S/IPI S/DESC]]*MateriaisCampo[[#This Row],[% DESC]]</f>
        <v>5.6</v>
      </c>
      <c r="O79" s="441" t="s">
        <v>295</v>
      </c>
      <c r="P79" s="442" t="s">
        <v>155</v>
      </c>
      <c r="Q79" s="438">
        <v>1.6500000000000001E-2</v>
      </c>
      <c r="R79" s="438">
        <v>7.5999999999999998E-2</v>
      </c>
      <c r="S79" s="443">
        <f>MateriaisCampo[[#This Row],[UNIT S/ IP + DIF ICMS]]*MateriaisCampo[[#This Row],[QUANTIDADE]]</f>
        <v>112</v>
      </c>
      <c r="T79" s="444">
        <f>MateriaisCampo[[#This Row],[TOTAL S/ IPI]]+(MateriaisCampo[[#This Row],[TOTAL S/ IPI]]*MateriaisCampo[[#This Row],[IPI %]])</f>
        <v>112</v>
      </c>
      <c r="U79" s="445">
        <f>IF(AND(MateriaisCampo[[#This Row],[ICMS %]]&lt;&gt;18%,MateriaisCampo[[#This Row],[ORIGEM]]&lt;&gt;"SÃO PAULO"),((18%-MateriaisCampo[[#This Row],[ICMS %]])*MateriaisCampo[[#This Row],[UNIT S/ IPI C/DESC]]),0)</f>
        <v>0</v>
      </c>
      <c r="V79" s="437">
        <f>MateriaisCampo[[#This Row],[UNIT S/ IPI C/DESC]]*MateriaisCampo[[#This Row],[ICMS %]]</f>
        <v>0</v>
      </c>
      <c r="W79" s="437">
        <f>MateriaisCampo[[#This Row],[ICMS $]]*MateriaisCampo[[#This Row],[QUANTIDADE]]</f>
        <v>0</v>
      </c>
      <c r="X79" s="446">
        <f>MateriaisCampo[[#This Row],[UNIT S/ IPI C/DESC]]+MateriaisCampo[[#This Row],[DIFERENCIAL ICMS]]</f>
        <v>5.6</v>
      </c>
      <c r="Y79" s="446">
        <f>(MateriaisCampo[[#This Row],[PIS]]*MateriaisCampo[[#This Row],[UNIT S/ IPI C/DESC]])/2</f>
        <v>4.6199999999999998E-2</v>
      </c>
      <c r="Z79" s="446">
        <f>(MateriaisCampo[[#This Row],[COFINS]]*MateriaisCampo[[#This Row],[UNIT S/ IPI C/DESC]])/2</f>
        <v>0.21279999999999999</v>
      </c>
      <c r="AA79" s="445">
        <f>MateriaisCampo[[#This Row],[UNIT S/ IP + DIF ICMS]]+(MateriaisCampo[[#This Row],[UNIT S/ IP + DIF ICMS]]*MateriaisCampo[[#This Row],[IPI %]])</f>
        <v>5.6</v>
      </c>
      <c r="AB79" s="448">
        <f>_xlfn.XLOOKUP(MateriaisCampo[[#This Row],[FATURAMENTO]],BASE!$U$48:$U$50,BASE!$W$48:$W$50,0,0,1)</f>
        <v>0.79709863947533133</v>
      </c>
      <c r="AC79" s="510" t="str">
        <f>RESUMO!$E$56</f>
        <v>SIM</v>
      </c>
      <c r="AD79" s="449" t="str">
        <f>RESUMO!$E$57</f>
        <v>SIM</v>
      </c>
      <c r="AE7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5.3410000000000002</v>
      </c>
      <c r="AF79" s="450">
        <f>MateriaisCampo[[#This Row],[UNIT CRED]]*MateriaisCampo[[#This Row],[QUANTIDADE]]</f>
        <v>106.82000000000001</v>
      </c>
      <c r="AG79" s="451">
        <f>MateriaisCampo[[#This Row],[TOT CRED]]</f>
        <v>106.82000000000001</v>
      </c>
      <c r="AH79" s="452">
        <f>IF(MateriaisCampo[[#This Row],[QUANTIDADE]]&lt;&gt;0,((MateriaisCampo[[#This Row],[TOT CUSTO]]/MateriaisCampo[[#This Row],[QUANTIDADE]])/MateriaisCampo[[#This Row],[MARK-UP]]),0)</f>
        <v>6.700550892315623</v>
      </c>
      <c r="AI79" s="453">
        <f>MateriaisCampo[[#This Row],[UNIT VENDA]]*MateriaisCampo[[#This Row],[QUANTIDADE]]</f>
        <v>134.01101784631246</v>
      </c>
      <c r="AJ79" s="453">
        <f>IFERROR(MateriaisCampo[[#This Row],[VENDA]]*(RESUMO!$F$55/RESUMO!$F$45),0)</f>
        <v>170.17272107468247</v>
      </c>
      <c r="AK79" s="453">
        <f>IFERROR(MateriaisCampo[[#This Row],[VENDA]]*(RESUMO!$F$58/RESUMO!$F$45),0)</f>
        <v>170.17272107468247</v>
      </c>
      <c r="AL79" s="454">
        <f>IF(MateriaisCampo[[#This Row],[FATURAMENTO]]="NORMAL",MateriaisCampo[[#This Row],[VENDA]],0)</f>
        <v>134.01101784631246</v>
      </c>
    </row>
    <row r="80" spans="1:44" x14ac:dyDescent="0.25">
      <c r="A80" s="113" t="s">
        <v>637</v>
      </c>
      <c r="B80" s="113" t="s">
        <v>637</v>
      </c>
      <c r="C80" s="113" t="s">
        <v>641</v>
      </c>
      <c r="D80" s="113" t="s">
        <v>645</v>
      </c>
      <c r="E80" s="434" t="s">
        <v>647</v>
      </c>
      <c r="F80" s="434">
        <f t="shared" si="0"/>
        <v>0</v>
      </c>
      <c r="G80" s="113"/>
      <c r="H80" s="435" t="s">
        <v>603</v>
      </c>
      <c r="I80" s="436">
        <v>90</v>
      </c>
      <c r="J80" s="437">
        <v>4.01</v>
      </c>
      <c r="K80" s="438">
        <v>0</v>
      </c>
      <c r="L80" s="438">
        <v>0</v>
      </c>
      <c r="M80" s="458"/>
      <c r="N80" s="445">
        <f>MateriaisCampo[[#This Row],[UNIT S/IPI S/DESC]]-MateriaisCampo[[#This Row],[UNIT S/IPI S/DESC]]*MateriaisCampo[[#This Row],[% DESC]]</f>
        <v>4.01</v>
      </c>
      <c r="O80" s="441" t="s">
        <v>295</v>
      </c>
      <c r="P80" s="442" t="s">
        <v>155</v>
      </c>
      <c r="Q80" s="438">
        <v>1.6500000000000001E-2</v>
      </c>
      <c r="R80" s="438">
        <v>7.5999999999999998E-2</v>
      </c>
      <c r="S80" s="443">
        <f>MateriaisCampo[[#This Row],[UNIT S/ IP + DIF ICMS]]*MateriaisCampo[[#This Row],[QUANTIDADE]]</f>
        <v>360.9</v>
      </c>
      <c r="T80" s="444">
        <f>MateriaisCampo[[#This Row],[TOTAL S/ IPI]]+(MateriaisCampo[[#This Row],[TOTAL S/ IPI]]*MateriaisCampo[[#This Row],[IPI %]])</f>
        <v>360.9</v>
      </c>
      <c r="U80" s="445">
        <f>IF(AND(MateriaisCampo[[#This Row],[ICMS %]]&lt;&gt;18%,MateriaisCampo[[#This Row],[ORIGEM]]&lt;&gt;"SÃO PAULO"),((18%-MateriaisCampo[[#This Row],[ICMS %]])*MateriaisCampo[[#This Row],[UNIT S/ IPI C/DESC]]),0)</f>
        <v>0</v>
      </c>
      <c r="V80" s="437">
        <f>MateriaisCampo[[#This Row],[UNIT S/ IPI C/DESC]]*MateriaisCampo[[#This Row],[ICMS %]]</f>
        <v>0</v>
      </c>
      <c r="W80" s="437">
        <f>MateriaisCampo[[#This Row],[ICMS $]]*MateriaisCampo[[#This Row],[QUANTIDADE]]</f>
        <v>0</v>
      </c>
      <c r="X80" s="446">
        <f>MateriaisCampo[[#This Row],[UNIT S/ IPI C/DESC]]+MateriaisCampo[[#This Row],[DIFERENCIAL ICMS]]</f>
        <v>4.01</v>
      </c>
      <c r="Y80" s="446">
        <f>(MateriaisCampo[[#This Row],[PIS]]*MateriaisCampo[[#This Row],[UNIT S/ IPI C/DESC]])/2</f>
        <v>3.3082500000000001E-2</v>
      </c>
      <c r="Z80" s="446">
        <f>(MateriaisCampo[[#This Row],[COFINS]]*MateriaisCampo[[#This Row],[UNIT S/ IPI C/DESC]])/2</f>
        <v>0.15237999999999999</v>
      </c>
      <c r="AA80" s="445">
        <f>MateriaisCampo[[#This Row],[UNIT S/ IP + DIF ICMS]]+(MateriaisCampo[[#This Row],[UNIT S/ IP + DIF ICMS]]*MateriaisCampo[[#This Row],[IPI %]])</f>
        <v>4.01</v>
      </c>
      <c r="AB80" s="448">
        <f>_xlfn.XLOOKUP(MateriaisCampo[[#This Row],[FATURAMENTO]],BASE!$U$48:$U$50,BASE!$W$48:$W$50,0,0,1)</f>
        <v>0.79709863947533133</v>
      </c>
      <c r="AC80" s="510" t="str">
        <f>RESUMO!$E$56</f>
        <v>SIM</v>
      </c>
      <c r="AD80" s="449" t="str">
        <f>RESUMO!$E$57</f>
        <v>SIM</v>
      </c>
      <c r="AE8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3.8245374999999999</v>
      </c>
      <c r="AF80" s="450">
        <f>MateriaisCampo[[#This Row],[UNIT CRED]]*MateriaisCampo[[#This Row],[QUANTIDADE]]</f>
        <v>344.20837499999999</v>
      </c>
      <c r="AG80" s="451">
        <f>MateriaisCampo[[#This Row],[TOT CRED]]</f>
        <v>344.20837499999999</v>
      </c>
      <c r="AH80" s="452">
        <f>IF(MateriaisCampo[[#This Row],[QUANTIDADE]]&lt;&gt;0,((MateriaisCampo[[#This Row],[TOT CUSTO]]/MateriaisCampo[[#This Row],[QUANTIDADE]])/MateriaisCampo[[#This Row],[MARK-UP]]),0)</f>
        <v>4.7980730496760078</v>
      </c>
      <c r="AI80" s="453">
        <f>MateriaisCampo[[#This Row],[UNIT VENDA]]*MateriaisCampo[[#This Row],[QUANTIDADE]]</f>
        <v>431.82657447084068</v>
      </c>
      <c r="AJ80" s="453">
        <f>IFERROR(MateriaisCampo[[#This Row],[VENDA]]*(RESUMO!$F$55/RESUMO!$F$45),0)</f>
        <v>548.35120567725801</v>
      </c>
      <c r="AK80" s="453">
        <f>IFERROR(MateriaisCampo[[#This Row],[VENDA]]*(RESUMO!$F$58/RESUMO!$F$45),0)</f>
        <v>548.35120567725801</v>
      </c>
      <c r="AL80" s="454">
        <f>IF(MateriaisCampo[[#This Row],[FATURAMENTO]]="NORMAL",MateriaisCampo[[#This Row],[VENDA]],0)</f>
        <v>431.82657447084068</v>
      </c>
    </row>
    <row r="81" spans="1:38" x14ac:dyDescent="0.25">
      <c r="A81" s="113" t="s">
        <v>637</v>
      </c>
      <c r="B81" s="113" t="s">
        <v>637</v>
      </c>
      <c r="C81" s="113" t="s">
        <v>642</v>
      </c>
      <c r="D81" s="113" t="s">
        <v>642</v>
      </c>
      <c r="E81" s="434" t="s">
        <v>647</v>
      </c>
      <c r="F81" s="434">
        <f t="shared" si="0"/>
        <v>0</v>
      </c>
      <c r="G81" s="113"/>
      <c r="H81" s="435" t="s">
        <v>603</v>
      </c>
      <c r="I81" s="436">
        <v>5</v>
      </c>
      <c r="J81" s="437">
        <v>40</v>
      </c>
      <c r="K81" s="438">
        <v>0</v>
      </c>
      <c r="L81" s="438">
        <v>0</v>
      </c>
      <c r="M81" s="458"/>
      <c r="N81" s="445">
        <f>MateriaisCampo[[#This Row],[UNIT S/IPI S/DESC]]-MateriaisCampo[[#This Row],[UNIT S/IPI S/DESC]]*MateriaisCampo[[#This Row],[% DESC]]</f>
        <v>40</v>
      </c>
      <c r="O81" s="441" t="s">
        <v>295</v>
      </c>
      <c r="P81" s="442" t="s">
        <v>155</v>
      </c>
      <c r="Q81" s="438">
        <v>1.6500000000000001E-2</v>
      </c>
      <c r="R81" s="438">
        <v>7.5999999999999998E-2</v>
      </c>
      <c r="S81" s="443">
        <f>MateriaisCampo[[#This Row],[UNIT S/ IP + DIF ICMS]]*MateriaisCampo[[#This Row],[QUANTIDADE]]</f>
        <v>200</v>
      </c>
      <c r="T81" s="444">
        <f>MateriaisCampo[[#This Row],[TOTAL S/ IPI]]+(MateriaisCampo[[#This Row],[TOTAL S/ IPI]]*MateriaisCampo[[#This Row],[IPI %]])</f>
        <v>200</v>
      </c>
      <c r="U81" s="445">
        <f>IF(AND(MateriaisCampo[[#This Row],[ICMS %]]&lt;&gt;18%,MateriaisCampo[[#This Row],[ORIGEM]]&lt;&gt;"SÃO PAULO"),((18%-MateriaisCampo[[#This Row],[ICMS %]])*MateriaisCampo[[#This Row],[UNIT S/ IPI C/DESC]]),0)</f>
        <v>0</v>
      </c>
      <c r="V81" s="437">
        <f>MateriaisCampo[[#This Row],[UNIT S/ IPI C/DESC]]*MateriaisCampo[[#This Row],[ICMS %]]</f>
        <v>0</v>
      </c>
      <c r="W81" s="437">
        <f>MateriaisCampo[[#This Row],[ICMS $]]*MateriaisCampo[[#This Row],[QUANTIDADE]]</f>
        <v>0</v>
      </c>
      <c r="X81" s="446">
        <f>MateriaisCampo[[#This Row],[UNIT S/ IPI C/DESC]]+MateriaisCampo[[#This Row],[DIFERENCIAL ICMS]]</f>
        <v>40</v>
      </c>
      <c r="Y81" s="446">
        <f>(MateriaisCampo[[#This Row],[PIS]]*MateriaisCampo[[#This Row],[UNIT S/ IPI C/DESC]])/2</f>
        <v>0.33</v>
      </c>
      <c r="Z81" s="446">
        <f>(MateriaisCampo[[#This Row],[COFINS]]*MateriaisCampo[[#This Row],[UNIT S/ IPI C/DESC]])/2</f>
        <v>1.52</v>
      </c>
      <c r="AA81" s="445">
        <f>MateriaisCampo[[#This Row],[UNIT S/ IP + DIF ICMS]]+(MateriaisCampo[[#This Row],[UNIT S/ IP + DIF ICMS]]*MateriaisCampo[[#This Row],[IPI %]])</f>
        <v>40</v>
      </c>
      <c r="AB81" s="448">
        <f>_xlfn.XLOOKUP(MateriaisCampo[[#This Row],[FATURAMENTO]],BASE!$U$48:$U$50,BASE!$W$48:$W$50,0,0,1)</f>
        <v>0.79709863947533133</v>
      </c>
      <c r="AC81" s="510" t="str">
        <f>RESUMO!$E$56</f>
        <v>SIM</v>
      </c>
      <c r="AD81" s="449" t="str">
        <f>RESUMO!$E$57</f>
        <v>SIM</v>
      </c>
      <c r="AE8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38.15</v>
      </c>
      <c r="AF81" s="450">
        <f>MateriaisCampo[[#This Row],[UNIT CRED]]*MateriaisCampo[[#This Row],[QUANTIDADE]]</f>
        <v>190.75</v>
      </c>
      <c r="AG81" s="451">
        <f>MateriaisCampo[[#This Row],[TOT CRED]]</f>
        <v>190.75</v>
      </c>
      <c r="AH81" s="452">
        <f>IF(MateriaisCampo[[#This Row],[QUANTIDADE]]&lt;&gt;0,((MateriaisCampo[[#This Row],[TOT CUSTO]]/MateriaisCampo[[#This Row],[QUANTIDADE]])/MateriaisCampo[[#This Row],[MARK-UP]]),0)</f>
        <v>47.861077802254442</v>
      </c>
      <c r="AI81" s="453">
        <f>MateriaisCampo[[#This Row],[UNIT VENDA]]*MateriaisCampo[[#This Row],[QUANTIDADE]]</f>
        <v>239.30538901127221</v>
      </c>
      <c r="AJ81" s="453">
        <f>IFERROR(MateriaisCampo[[#This Row],[VENDA]]*(RESUMO!$F$55/RESUMO!$F$45),0)</f>
        <v>303.87985906193296</v>
      </c>
      <c r="AK81" s="453">
        <f>IFERROR(MateriaisCampo[[#This Row],[VENDA]]*(RESUMO!$F$58/RESUMO!$F$45),0)</f>
        <v>303.87985906193296</v>
      </c>
      <c r="AL81" s="454">
        <f>IF(MateriaisCampo[[#This Row],[FATURAMENTO]]="NORMAL",MateriaisCampo[[#This Row],[VENDA]],0)</f>
        <v>239.30538901127221</v>
      </c>
    </row>
    <row r="82" spans="1:38" x14ac:dyDescent="0.25">
      <c r="A82" s="113" t="s">
        <v>637</v>
      </c>
      <c r="B82" s="113" t="s">
        <v>637</v>
      </c>
      <c r="C82" s="113" t="s">
        <v>643</v>
      </c>
      <c r="D82" s="113" t="s">
        <v>646</v>
      </c>
      <c r="E82" s="434" t="s">
        <v>647</v>
      </c>
      <c r="F82" s="434">
        <f t="shared" si="0"/>
        <v>0</v>
      </c>
      <c r="G82" s="113"/>
      <c r="H82" s="435" t="s">
        <v>603</v>
      </c>
      <c r="I82" s="436">
        <v>8</v>
      </c>
      <c r="J82" s="437">
        <v>12.21</v>
      </c>
      <c r="K82" s="438">
        <v>0</v>
      </c>
      <c r="L82" s="438">
        <v>0</v>
      </c>
      <c r="M82" s="458"/>
      <c r="N82" s="445">
        <f>MateriaisCampo[[#This Row],[UNIT S/IPI S/DESC]]-MateriaisCampo[[#This Row],[UNIT S/IPI S/DESC]]*MateriaisCampo[[#This Row],[% DESC]]</f>
        <v>12.21</v>
      </c>
      <c r="O82" s="441" t="s">
        <v>295</v>
      </c>
      <c r="P82" s="442" t="s">
        <v>155</v>
      </c>
      <c r="Q82" s="438">
        <v>1.6500000000000001E-2</v>
      </c>
      <c r="R82" s="438">
        <v>7.5999999999999998E-2</v>
      </c>
      <c r="S82" s="443">
        <f>MateriaisCampo[[#This Row],[UNIT S/ IP + DIF ICMS]]*MateriaisCampo[[#This Row],[QUANTIDADE]]</f>
        <v>97.68</v>
      </c>
      <c r="T82" s="444">
        <f>MateriaisCampo[[#This Row],[TOTAL S/ IPI]]+(MateriaisCampo[[#This Row],[TOTAL S/ IPI]]*MateriaisCampo[[#This Row],[IPI %]])</f>
        <v>97.68</v>
      </c>
      <c r="U82" s="445">
        <f>IF(AND(MateriaisCampo[[#This Row],[ICMS %]]&lt;&gt;18%,MateriaisCampo[[#This Row],[ORIGEM]]&lt;&gt;"SÃO PAULO"),((18%-MateriaisCampo[[#This Row],[ICMS %]])*MateriaisCampo[[#This Row],[UNIT S/ IPI C/DESC]]),0)</f>
        <v>0</v>
      </c>
      <c r="V82" s="437">
        <f>MateriaisCampo[[#This Row],[UNIT S/ IPI C/DESC]]*MateriaisCampo[[#This Row],[ICMS %]]</f>
        <v>0</v>
      </c>
      <c r="W82" s="437">
        <f>MateriaisCampo[[#This Row],[ICMS $]]*MateriaisCampo[[#This Row],[QUANTIDADE]]</f>
        <v>0</v>
      </c>
      <c r="X82" s="446">
        <f>MateriaisCampo[[#This Row],[UNIT S/ IPI C/DESC]]+MateriaisCampo[[#This Row],[DIFERENCIAL ICMS]]</f>
        <v>12.21</v>
      </c>
      <c r="Y82" s="446">
        <f>(MateriaisCampo[[#This Row],[PIS]]*MateriaisCampo[[#This Row],[UNIT S/ IPI C/DESC]])/2</f>
        <v>0.10073250000000002</v>
      </c>
      <c r="Z82" s="446">
        <f>(MateriaisCampo[[#This Row],[COFINS]]*MateriaisCampo[[#This Row],[UNIT S/ IPI C/DESC]])/2</f>
        <v>0.46398</v>
      </c>
      <c r="AA82" s="445">
        <f>MateriaisCampo[[#This Row],[UNIT S/ IP + DIF ICMS]]+(MateriaisCampo[[#This Row],[UNIT S/ IP + DIF ICMS]]*MateriaisCampo[[#This Row],[IPI %]])</f>
        <v>12.21</v>
      </c>
      <c r="AB82" s="448">
        <f>_xlfn.XLOOKUP(MateriaisCampo[[#This Row],[FATURAMENTO]],BASE!$U$48:$U$50,BASE!$W$48:$W$50,0,0,1)</f>
        <v>0.79709863947533133</v>
      </c>
      <c r="AC82" s="510" t="str">
        <f>RESUMO!$E$56</f>
        <v>SIM</v>
      </c>
      <c r="AD82" s="449" t="str">
        <f>RESUMO!$E$57</f>
        <v>SIM</v>
      </c>
      <c r="AE8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11.645287500000002</v>
      </c>
      <c r="AF82" s="450">
        <f>MateriaisCampo[[#This Row],[UNIT CRED]]*MateriaisCampo[[#This Row],[QUANTIDADE]]</f>
        <v>93.162300000000016</v>
      </c>
      <c r="AG82" s="451">
        <f>MateriaisCampo[[#This Row],[TOT CRED]]</f>
        <v>93.162300000000016</v>
      </c>
      <c r="AH82" s="452">
        <f>IF(MateriaisCampo[[#This Row],[QUANTIDADE]]&lt;&gt;0,((MateriaisCampo[[#This Row],[TOT CUSTO]]/MateriaisCampo[[#This Row],[QUANTIDADE]])/MateriaisCampo[[#This Row],[MARK-UP]]),0)</f>
        <v>14.609593999138172</v>
      </c>
      <c r="AI82" s="453">
        <f>MateriaisCampo[[#This Row],[UNIT VENDA]]*MateriaisCampo[[#This Row],[QUANTIDADE]]</f>
        <v>116.87675199310537</v>
      </c>
      <c r="AJ82" s="453">
        <f>IFERROR(MateriaisCampo[[#This Row],[VENDA]]*(RESUMO!$F$55/RESUMO!$F$45),0)</f>
        <v>148.41492316584808</v>
      </c>
      <c r="AK82" s="453">
        <f>IFERROR(MateriaisCampo[[#This Row],[VENDA]]*(RESUMO!$F$58/RESUMO!$F$45),0)</f>
        <v>148.41492316584808</v>
      </c>
      <c r="AL82" s="454">
        <f>IF(MateriaisCampo[[#This Row],[FATURAMENTO]]="NORMAL",MateriaisCampo[[#This Row],[VENDA]],0)</f>
        <v>116.87675199310537</v>
      </c>
    </row>
    <row r="83" spans="1:38" x14ac:dyDescent="0.25">
      <c r="A83" s="113"/>
      <c r="B83" s="113"/>
      <c r="C83" s="113"/>
      <c r="D83" s="113"/>
      <c r="E83" s="434"/>
      <c r="F83" s="434">
        <f t="shared" si="0"/>
        <v>0</v>
      </c>
      <c r="G83" s="113"/>
      <c r="H83" s="435"/>
      <c r="I83" s="436"/>
      <c r="J83" s="437"/>
      <c r="K83" s="438"/>
      <c r="L83" s="438"/>
      <c r="M83" s="458"/>
      <c r="N83" s="445">
        <f>MateriaisCampo[[#This Row],[UNIT S/IPI S/DESC]]-MateriaisCampo[[#This Row],[UNIT S/IPI S/DESC]]*MateriaisCampo[[#This Row],[% DESC]]</f>
        <v>0</v>
      </c>
      <c r="O83" s="441" t="s">
        <v>295</v>
      </c>
      <c r="P83" s="442" t="s">
        <v>155</v>
      </c>
      <c r="Q83" s="438">
        <v>1.6500000000000001E-2</v>
      </c>
      <c r="R83" s="438">
        <v>7.5999999999999998E-2</v>
      </c>
      <c r="S83" s="443">
        <f>MateriaisCampo[[#This Row],[UNIT S/ IP + DIF ICMS]]*MateriaisCampo[[#This Row],[QUANTIDADE]]</f>
        <v>0</v>
      </c>
      <c r="T83" s="444">
        <f>MateriaisCampo[[#This Row],[TOTAL S/ IPI]]+(MateriaisCampo[[#This Row],[TOTAL S/ IPI]]*MateriaisCampo[[#This Row],[IPI %]])</f>
        <v>0</v>
      </c>
      <c r="U83" s="445">
        <f>IF(AND(MateriaisCampo[[#This Row],[ICMS %]]&lt;&gt;18%,MateriaisCampo[[#This Row],[ORIGEM]]&lt;&gt;"SÃO PAULO"),((18%-MateriaisCampo[[#This Row],[ICMS %]])*MateriaisCampo[[#This Row],[UNIT S/ IPI C/DESC]]),0)</f>
        <v>0</v>
      </c>
      <c r="V83" s="437">
        <f>MateriaisCampo[[#This Row],[UNIT S/ IPI C/DESC]]*MateriaisCampo[[#This Row],[ICMS %]]</f>
        <v>0</v>
      </c>
      <c r="W83" s="437">
        <f>MateriaisCampo[[#This Row],[ICMS $]]*MateriaisCampo[[#This Row],[QUANTIDADE]]</f>
        <v>0</v>
      </c>
      <c r="X83" s="446">
        <f>MateriaisCampo[[#This Row],[UNIT S/ IPI C/DESC]]+MateriaisCampo[[#This Row],[DIFERENCIAL ICMS]]</f>
        <v>0</v>
      </c>
      <c r="Y83" s="446">
        <f>(MateriaisCampo[[#This Row],[PIS]]*MateriaisCampo[[#This Row],[UNIT S/ IPI C/DESC]])/2</f>
        <v>0</v>
      </c>
      <c r="Z83" s="446">
        <f>(MateriaisCampo[[#This Row],[COFINS]]*MateriaisCampo[[#This Row],[UNIT S/ IPI C/DESC]])/2</f>
        <v>0</v>
      </c>
      <c r="AA83" s="445">
        <f>MateriaisCampo[[#This Row],[UNIT S/ IP + DIF ICMS]]+(MateriaisCampo[[#This Row],[UNIT S/ IP + DIF ICMS]]*MateriaisCampo[[#This Row],[IPI %]])</f>
        <v>0</v>
      </c>
      <c r="AB83" s="448">
        <f>_xlfn.XLOOKUP(MateriaisCampo[[#This Row],[FATURAMENTO]],BASE!$U$48:$U$50,BASE!$W$48:$W$50,0,0,1)</f>
        <v>0.79709863947533133</v>
      </c>
      <c r="AC83" s="510" t="str">
        <f>RESUMO!$E$56</f>
        <v>SIM</v>
      </c>
      <c r="AD83" s="449" t="str">
        <f>RESUMO!$E$57</f>
        <v>SIM</v>
      </c>
      <c r="AE8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83" s="450">
        <f>MateriaisCampo[[#This Row],[UNIT CRED]]*MateriaisCampo[[#This Row],[QUANTIDADE]]</f>
        <v>0</v>
      </c>
      <c r="AG83" s="451">
        <f>MateriaisCampo[[#This Row],[TOT CRED]]</f>
        <v>0</v>
      </c>
      <c r="AH83" s="452">
        <f>IF(MateriaisCampo[[#This Row],[QUANTIDADE]]&lt;&gt;0,((MateriaisCampo[[#This Row],[TOT CUSTO]]/MateriaisCampo[[#This Row],[QUANTIDADE]])/MateriaisCampo[[#This Row],[MARK-UP]]),0)</f>
        <v>0</v>
      </c>
      <c r="AI83" s="453">
        <f>MateriaisCampo[[#This Row],[UNIT VENDA]]*MateriaisCampo[[#This Row],[QUANTIDADE]]</f>
        <v>0</v>
      </c>
      <c r="AJ83" s="453">
        <f>IFERROR(MateriaisCampo[[#This Row],[VENDA]]*(RESUMO!$F$55/RESUMO!$F$45),0)</f>
        <v>0</v>
      </c>
      <c r="AK83" s="453">
        <f>IFERROR(MateriaisCampo[[#This Row],[VENDA]]*(RESUMO!$F$58/RESUMO!$F$45),0)</f>
        <v>0</v>
      </c>
      <c r="AL83" s="454">
        <f>IF(MateriaisCampo[[#This Row],[FATURAMENTO]]="NORMAL",MateriaisCampo[[#This Row],[VENDA]],0)</f>
        <v>0</v>
      </c>
    </row>
    <row r="84" spans="1:38" x14ac:dyDescent="0.25">
      <c r="A84" s="113"/>
      <c r="B84" s="113"/>
      <c r="C84" s="113"/>
      <c r="D84" s="113"/>
      <c r="E84" s="434"/>
      <c r="F84" s="434">
        <f t="shared" si="0"/>
        <v>0</v>
      </c>
      <c r="G84" s="113"/>
      <c r="H84" s="435"/>
      <c r="I84" s="436"/>
      <c r="J84" s="437"/>
      <c r="K84" s="438"/>
      <c r="L84" s="438"/>
      <c r="M84" s="458"/>
      <c r="N84" s="445">
        <f>MateriaisCampo[[#This Row],[UNIT S/IPI S/DESC]]-MateriaisCampo[[#This Row],[UNIT S/IPI S/DESC]]*MateriaisCampo[[#This Row],[% DESC]]</f>
        <v>0</v>
      </c>
      <c r="O84" s="441" t="s">
        <v>295</v>
      </c>
      <c r="P84" s="442" t="s">
        <v>155</v>
      </c>
      <c r="Q84" s="438">
        <v>1.6500000000000001E-2</v>
      </c>
      <c r="R84" s="438">
        <v>7.5999999999999998E-2</v>
      </c>
      <c r="S84" s="443">
        <f>MateriaisCampo[[#This Row],[UNIT S/ IP + DIF ICMS]]*MateriaisCampo[[#This Row],[QUANTIDADE]]</f>
        <v>0</v>
      </c>
      <c r="T84" s="444">
        <f>MateriaisCampo[[#This Row],[TOTAL S/ IPI]]+(MateriaisCampo[[#This Row],[TOTAL S/ IPI]]*MateriaisCampo[[#This Row],[IPI %]])</f>
        <v>0</v>
      </c>
      <c r="U84" s="445">
        <f>IF(AND(MateriaisCampo[[#This Row],[ICMS %]]&lt;&gt;18%,MateriaisCampo[[#This Row],[ORIGEM]]&lt;&gt;"SÃO PAULO"),((18%-MateriaisCampo[[#This Row],[ICMS %]])*MateriaisCampo[[#This Row],[UNIT S/ IPI C/DESC]]),0)</f>
        <v>0</v>
      </c>
      <c r="V84" s="437">
        <f>MateriaisCampo[[#This Row],[UNIT S/ IPI C/DESC]]*MateriaisCampo[[#This Row],[ICMS %]]</f>
        <v>0</v>
      </c>
      <c r="W84" s="437">
        <f>MateriaisCampo[[#This Row],[ICMS $]]*MateriaisCampo[[#This Row],[QUANTIDADE]]</f>
        <v>0</v>
      </c>
      <c r="X84" s="446">
        <f>MateriaisCampo[[#This Row],[UNIT S/ IPI C/DESC]]+MateriaisCampo[[#This Row],[DIFERENCIAL ICMS]]</f>
        <v>0</v>
      </c>
      <c r="Y84" s="446">
        <f>(MateriaisCampo[[#This Row],[PIS]]*MateriaisCampo[[#This Row],[UNIT S/ IPI C/DESC]])/2</f>
        <v>0</v>
      </c>
      <c r="Z84" s="446">
        <f>(MateriaisCampo[[#This Row],[COFINS]]*MateriaisCampo[[#This Row],[UNIT S/ IPI C/DESC]])/2</f>
        <v>0</v>
      </c>
      <c r="AA84" s="445">
        <f>MateriaisCampo[[#This Row],[UNIT S/ IP + DIF ICMS]]+(MateriaisCampo[[#This Row],[UNIT S/ IP + DIF ICMS]]*MateriaisCampo[[#This Row],[IPI %]])</f>
        <v>0</v>
      </c>
      <c r="AB84" s="448">
        <f>_xlfn.XLOOKUP(MateriaisCampo[[#This Row],[FATURAMENTO]],BASE!$U$48:$U$50,BASE!$W$48:$W$50,0,0,1)</f>
        <v>0.79709863947533133</v>
      </c>
      <c r="AC84" s="510" t="str">
        <f>RESUMO!$E$56</f>
        <v>SIM</v>
      </c>
      <c r="AD84" s="449" t="str">
        <f>RESUMO!$E$57</f>
        <v>SIM</v>
      </c>
      <c r="AE8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84" s="450">
        <f>MateriaisCampo[[#This Row],[UNIT CRED]]*MateriaisCampo[[#This Row],[QUANTIDADE]]</f>
        <v>0</v>
      </c>
      <c r="AG84" s="451">
        <f>MateriaisCampo[[#This Row],[TOT CRED]]</f>
        <v>0</v>
      </c>
      <c r="AH84" s="452">
        <f>IF(MateriaisCampo[[#This Row],[QUANTIDADE]]&lt;&gt;0,((MateriaisCampo[[#This Row],[TOT CUSTO]]/MateriaisCampo[[#This Row],[QUANTIDADE]])/MateriaisCampo[[#This Row],[MARK-UP]]),0)</f>
        <v>0</v>
      </c>
      <c r="AI84" s="453">
        <f>MateriaisCampo[[#This Row],[UNIT VENDA]]*MateriaisCampo[[#This Row],[QUANTIDADE]]</f>
        <v>0</v>
      </c>
      <c r="AJ84" s="453">
        <f>IFERROR(MateriaisCampo[[#This Row],[VENDA]]*(RESUMO!$F$55/RESUMO!$F$45),0)</f>
        <v>0</v>
      </c>
      <c r="AK84" s="453">
        <f>IFERROR(MateriaisCampo[[#This Row],[VENDA]]*(RESUMO!$F$58/RESUMO!$F$45),0)</f>
        <v>0</v>
      </c>
      <c r="AL84" s="454">
        <f>IF(MateriaisCampo[[#This Row],[FATURAMENTO]]="NORMAL",MateriaisCampo[[#This Row],[VENDA]],0)</f>
        <v>0</v>
      </c>
    </row>
    <row r="85" spans="1:38" x14ac:dyDescent="0.25">
      <c r="A85" s="113"/>
      <c r="B85" s="113"/>
      <c r="C85" s="113"/>
      <c r="D85" s="113"/>
      <c r="E85" s="434"/>
      <c r="F85" s="434">
        <f t="shared" si="0"/>
        <v>0</v>
      </c>
      <c r="G85" s="113"/>
      <c r="H85" s="435"/>
      <c r="I85" s="436"/>
      <c r="J85" s="437"/>
      <c r="K85" s="438"/>
      <c r="L85" s="438"/>
      <c r="M85" s="458"/>
      <c r="N85" s="445">
        <f>MateriaisCampo[[#This Row],[UNIT S/IPI S/DESC]]-MateriaisCampo[[#This Row],[UNIT S/IPI S/DESC]]*MateriaisCampo[[#This Row],[% DESC]]</f>
        <v>0</v>
      </c>
      <c r="O85" s="441" t="s">
        <v>295</v>
      </c>
      <c r="P85" s="442" t="s">
        <v>155</v>
      </c>
      <c r="Q85" s="438">
        <v>1.6500000000000001E-2</v>
      </c>
      <c r="R85" s="438">
        <v>7.5999999999999998E-2</v>
      </c>
      <c r="S85" s="443">
        <f>MateriaisCampo[[#This Row],[UNIT S/ IP + DIF ICMS]]*MateriaisCampo[[#This Row],[QUANTIDADE]]</f>
        <v>0</v>
      </c>
      <c r="T85" s="444">
        <f>MateriaisCampo[[#This Row],[TOTAL S/ IPI]]+(MateriaisCampo[[#This Row],[TOTAL S/ IPI]]*MateriaisCampo[[#This Row],[IPI %]])</f>
        <v>0</v>
      </c>
      <c r="U85" s="445">
        <f>IF(AND(MateriaisCampo[[#This Row],[ICMS %]]&lt;&gt;18%,MateriaisCampo[[#This Row],[ORIGEM]]&lt;&gt;"SÃO PAULO"),((18%-MateriaisCampo[[#This Row],[ICMS %]])*MateriaisCampo[[#This Row],[UNIT S/ IPI C/DESC]]),0)</f>
        <v>0</v>
      </c>
      <c r="V85" s="437">
        <f>MateriaisCampo[[#This Row],[UNIT S/ IPI C/DESC]]*MateriaisCampo[[#This Row],[ICMS %]]</f>
        <v>0</v>
      </c>
      <c r="W85" s="437">
        <f>MateriaisCampo[[#This Row],[ICMS $]]*MateriaisCampo[[#This Row],[QUANTIDADE]]</f>
        <v>0</v>
      </c>
      <c r="X85" s="446">
        <f>MateriaisCampo[[#This Row],[UNIT S/ IPI C/DESC]]+MateriaisCampo[[#This Row],[DIFERENCIAL ICMS]]</f>
        <v>0</v>
      </c>
      <c r="Y85" s="446">
        <f>(MateriaisCampo[[#This Row],[PIS]]*MateriaisCampo[[#This Row],[UNIT S/ IPI C/DESC]])/2</f>
        <v>0</v>
      </c>
      <c r="Z85" s="446">
        <f>(MateriaisCampo[[#This Row],[COFINS]]*MateriaisCampo[[#This Row],[UNIT S/ IPI C/DESC]])/2</f>
        <v>0</v>
      </c>
      <c r="AA85" s="445">
        <f>MateriaisCampo[[#This Row],[UNIT S/ IP + DIF ICMS]]+(MateriaisCampo[[#This Row],[UNIT S/ IP + DIF ICMS]]*MateriaisCampo[[#This Row],[IPI %]])</f>
        <v>0</v>
      </c>
      <c r="AB85" s="448">
        <f>_xlfn.XLOOKUP(MateriaisCampo[[#This Row],[FATURAMENTO]],BASE!$U$48:$U$50,BASE!$W$48:$W$50,0,0,1)</f>
        <v>0.79709863947533133</v>
      </c>
      <c r="AC85" s="510" t="str">
        <f>RESUMO!$E$56</f>
        <v>SIM</v>
      </c>
      <c r="AD85" s="449" t="str">
        <f>RESUMO!$E$57</f>
        <v>SIM</v>
      </c>
      <c r="AE8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85" s="450">
        <f>MateriaisCampo[[#This Row],[UNIT CRED]]*MateriaisCampo[[#This Row],[QUANTIDADE]]</f>
        <v>0</v>
      </c>
      <c r="AG85" s="451">
        <f>MateriaisCampo[[#This Row],[TOT CRED]]</f>
        <v>0</v>
      </c>
      <c r="AH85" s="452">
        <f>IF(MateriaisCampo[[#This Row],[QUANTIDADE]]&lt;&gt;0,((MateriaisCampo[[#This Row],[TOT CUSTO]]/MateriaisCampo[[#This Row],[QUANTIDADE]])/MateriaisCampo[[#This Row],[MARK-UP]]),0)</f>
        <v>0</v>
      </c>
      <c r="AI85" s="453">
        <f>MateriaisCampo[[#This Row],[UNIT VENDA]]*MateriaisCampo[[#This Row],[QUANTIDADE]]</f>
        <v>0</v>
      </c>
      <c r="AJ85" s="453">
        <f>IFERROR(MateriaisCampo[[#This Row],[VENDA]]*(RESUMO!$F$55/RESUMO!$F$45),0)</f>
        <v>0</v>
      </c>
      <c r="AK85" s="453">
        <f>IFERROR(MateriaisCampo[[#This Row],[VENDA]]*(RESUMO!$F$58/RESUMO!$F$45),0)</f>
        <v>0</v>
      </c>
      <c r="AL85" s="454">
        <f>IF(MateriaisCampo[[#This Row],[FATURAMENTO]]="NORMAL",MateriaisCampo[[#This Row],[VENDA]],0)</f>
        <v>0</v>
      </c>
    </row>
    <row r="86" spans="1:38" x14ac:dyDescent="0.25">
      <c r="A86" s="484" t="s">
        <v>652</v>
      </c>
      <c r="B86" s="484" t="s">
        <v>652</v>
      </c>
      <c r="C86" s="484" t="s">
        <v>687</v>
      </c>
      <c r="D86" s="484"/>
      <c r="E86" s="485"/>
      <c r="F86" s="485">
        <v>0</v>
      </c>
      <c r="G86" s="484"/>
      <c r="H86" s="486"/>
      <c r="I86" s="487"/>
      <c r="J86" s="488"/>
      <c r="K86" s="438"/>
      <c r="L86" s="438"/>
      <c r="M86" s="458"/>
      <c r="N86" s="445">
        <f>MateriaisCampo[[#This Row],[UNIT S/IPI S/DESC]]-MateriaisCampo[[#This Row],[UNIT S/IPI S/DESC]]*MateriaisCampo[[#This Row],[% DESC]]</f>
        <v>0</v>
      </c>
      <c r="O86" s="441" t="s">
        <v>295</v>
      </c>
      <c r="P86" s="442" t="s">
        <v>155</v>
      </c>
      <c r="Q86" s="438">
        <v>1.6500000000000001E-2</v>
      </c>
      <c r="R86" s="438">
        <v>7.5999999999999998E-2</v>
      </c>
      <c r="S86" s="443">
        <f>MateriaisCampo[[#This Row],[UNIT S/ IP + DIF ICMS]]*MateriaisCampo[[#This Row],[QUANTIDADE]]</f>
        <v>0</v>
      </c>
      <c r="T86" s="444">
        <f>MateriaisCampo[[#This Row],[TOTAL S/ IPI]]+(MateriaisCampo[[#This Row],[TOTAL S/ IPI]]*MateriaisCampo[[#This Row],[IPI %]])</f>
        <v>0</v>
      </c>
      <c r="U86" s="445">
        <f>IF(AND(MateriaisCampo[[#This Row],[ICMS %]]&lt;&gt;18%,MateriaisCampo[[#This Row],[ORIGEM]]&lt;&gt;"SÃO PAULO"),((18%-MateriaisCampo[[#This Row],[ICMS %]])*MateriaisCampo[[#This Row],[UNIT S/ IPI C/DESC]]),0)</f>
        <v>0</v>
      </c>
      <c r="V86" s="437">
        <f>MateriaisCampo[[#This Row],[UNIT S/ IPI C/DESC]]*MateriaisCampo[[#This Row],[ICMS %]]</f>
        <v>0</v>
      </c>
      <c r="W86" s="437">
        <f>MateriaisCampo[[#This Row],[ICMS $]]*MateriaisCampo[[#This Row],[QUANTIDADE]]</f>
        <v>0</v>
      </c>
      <c r="X86" s="446">
        <f>MateriaisCampo[[#This Row],[UNIT S/ IPI C/DESC]]+MateriaisCampo[[#This Row],[DIFERENCIAL ICMS]]</f>
        <v>0</v>
      </c>
      <c r="Y86" s="446">
        <f>(MateriaisCampo[[#This Row],[PIS]]*MateriaisCampo[[#This Row],[UNIT S/ IPI C/DESC]])/2</f>
        <v>0</v>
      </c>
      <c r="Z86" s="446">
        <f>(MateriaisCampo[[#This Row],[COFINS]]*MateriaisCampo[[#This Row],[UNIT S/ IPI C/DESC]])/2</f>
        <v>0</v>
      </c>
      <c r="AA86" s="445">
        <f>MateriaisCampo[[#This Row],[UNIT S/ IP + DIF ICMS]]+(MateriaisCampo[[#This Row],[UNIT S/ IP + DIF ICMS]]*MateriaisCampo[[#This Row],[IPI %]])</f>
        <v>0</v>
      </c>
      <c r="AB86" s="448">
        <f>_xlfn.XLOOKUP(MateriaisCampo[[#This Row],[FATURAMENTO]],BASE!$U$48:$U$50,BASE!$W$48:$W$50,0,0,1)</f>
        <v>0.79709863947533133</v>
      </c>
      <c r="AC86" s="510" t="str">
        <f>RESUMO!$E$56</f>
        <v>SIM</v>
      </c>
      <c r="AD86" s="449" t="str">
        <f>RESUMO!$E$57</f>
        <v>SIM</v>
      </c>
      <c r="AE8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86" s="450">
        <f>MateriaisCampo[[#This Row],[UNIT CRED]]*MateriaisCampo[[#This Row],[QUANTIDADE]]</f>
        <v>0</v>
      </c>
      <c r="AG86" s="451">
        <f>MateriaisCampo[[#This Row],[TOT CRED]]</f>
        <v>0</v>
      </c>
      <c r="AH86" s="452">
        <f>IF(MateriaisCampo[[#This Row],[QUANTIDADE]]&lt;&gt;0,((MateriaisCampo[[#This Row],[TOT CUSTO]]/MateriaisCampo[[#This Row],[QUANTIDADE]])/MateriaisCampo[[#This Row],[MARK-UP]]),0)</f>
        <v>0</v>
      </c>
      <c r="AI86" s="453">
        <f>MateriaisCampo[[#This Row],[UNIT VENDA]]*MateriaisCampo[[#This Row],[QUANTIDADE]]</f>
        <v>0</v>
      </c>
      <c r="AJ86" s="453">
        <f>IFERROR(MateriaisCampo[[#This Row],[VENDA]]*(RESUMO!$F$55/RESUMO!$F$45),0)</f>
        <v>0</v>
      </c>
      <c r="AK86" s="453">
        <f>IFERROR(MateriaisCampo[[#This Row],[VENDA]]*(RESUMO!$F$58/RESUMO!$F$45),0)</f>
        <v>0</v>
      </c>
      <c r="AL86" s="454">
        <f>IF(MateriaisCampo[[#This Row],[FATURAMENTO]]="NORMAL",MateriaisCampo[[#This Row],[VENDA]],0)</f>
        <v>0</v>
      </c>
    </row>
    <row r="87" spans="1:38" ht="34.5" x14ac:dyDescent="0.25">
      <c r="A87" s="113" t="s">
        <v>652</v>
      </c>
      <c r="B87" s="113" t="s">
        <v>652</v>
      </c>
      <c r="C87" s="113" t="s">
        <v>653</v>
      </c>
      <c r="D87" s="113" t="s">
        <v>674</v>
      </c>
      <c r="E87" s="434" t="s">
        <v>655</v>
      </c>
      <c r="F87" s="434">
        <v>0</v>
      </c>
      <c r="G87" s="113"/>
      <c r="H87" s="435" t="s">
        <v>603</v>
      </c>
      <c r="I87" s="436">
        <v>10</v>
      </c>
      <c r="J87" s="437">
        <v>259.67</v>
      </c>
      <c r="K87" s="438">
        <v>0.18</v>
      </c>
      <c r="L87" s="438">
        <v>0</v>
      </c>
      <c r="M87" s="458"/>
      <c r="N87" s="445">
        <f>MateriaisCampo[[#This Row],[UNIT S/IPI S/DESC]]-MateriaisCampo[[#This Row],[UNIT S/IPI S/DESC]]*MateriaisCampo[[#This Row],[% DESC]]</f>
        <v>259.67</v>
      </c>
      <c r="O87" s="441" t="s">
        <v>295</v>
      </c>
      <c r="P87" s="442" t="s">
        <v>155</v>
      </c>
      <c r="Q87" s="438">
        <v>1.6500000000000001E-2</v>
      </c>
      <c r="R87" s="438">
        <v>7.5999999999999998E-2</v>
      </c>
      <c r="S87" s="443">
        <f>MateriaisCampo[[#This Row],[UNIT S/ IP + DIF ICMS]]*MateriaisCampo[[#This Row],[QUANTIDADE]]</f>
        <v>2596.7000000000003</v>
      </c>
      <c r="T87" s="444">
        <f>MateriaisCampo[[#This Row],[TOTAL S/ IPI]]+(MateriaisCampo[[#This Row],[TOTAL S/ IPI]]*MateriaisCampo[[#This Row],[IPI %]])</f>
        <v>2596.7000000000003</v>
      </c>
      <c r="U87" s="445">
        <f>IF(AND(MateriaisCampo[[#This Row],[ICMS %]]&lt;&gt;18%,MateriaisCampo[[#This Row],[ORIGEM]]&lt;&gt;"SÃO PAULO"),((18%-MateriaisCampo[[#This Row],[ICMS %]])*MateriaisCampo[[#This Row],[UNIT S/ IPI C/DESC]]),0)</f>
        <v>0</v>
      </c>
      <c r="V87" s="437">
        <f>MateriaisCampo[[#This Row],[UNIT S/ IPI C/DESC]]*MateriaisCampo[[#This Row],[ICMS %]]</f>
        <v>46.740600000000001</v>
      </c>
      <c r="W87" s="437">
        <f>MateriaisCampo[[#This Row],[ICMS $]]*MateriaisCampo[[#This Row],[QUANTIDADE]]</f>
        <v>467.40600000000001</v>
      </c>
      <c r="X87" s="446">
        <f>MateriaisCampo[[#This Row],[UNIT S/ IPI C/DESC]]+MateriaisCampo[[#This Row],[DIFERENCIAL ICMS]]</f>
        <v>259.67</v>
      </c>
      <c r="Y87" s="446">
        <f>(MateriaisCampo[[#This Row],[PIS]]*MateriaisCampo[[#This Row],[UNIT S/ IPI C/DESC]])/2</f>
        <v>2.1422775000000001</v>
      </c>
      <c r="Z87" s="446">
        <f>(MateriaisCampo[[#This Row],[COFINS]]*MateriaisCampo[[#This Row],[UNIT S/ IPI C/DESC]])/2</f>
        <v>9.8674600000000012</v>
      </c>
      <c r="AA87" s="445">
        <f>MateriaisCampo[[#This Row],[UNIT S/ IP + DIF ICMS]]+(MateriaisCampo[[#This Row],[UNIT S/ IP + DIF ICMS]]*MateriaisCampo[[#This Row],[IPI %]])</f>
        <v>259.67</v>
      </c>
      <c r="AB87" s="448">
        <f>_xlfn.XLOOKUP(MateriaisCampo[[#This Row],[FATURAMENTO]],BASE!$U$48:$U$50,BASE!$W$48:$W$50,0,0,1)</f>
        <v>0.79709863947533133</v>
      </c>
      <c r="AC87" s="510" t="str">
        <f>RESUMO!$E$56</f>
        <v>SIM</v>
      </c>
      <c r="AD87" s="449" t="str">
        <f>RESUMO!$E$57</f>
        <v>SIM</v>
      </c>
      <c r="AE8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200.91966250000002</v>
      </c>
      <c r="AF87" s="450">
        <f>MateriaisCampo[[#This Row],[UNIT CRED]]*MateriaisCampo[[#This Row],[QUANTIDADE]]</f>
        <v>2009.196625</v>
      </c>
      <c r="AG87" s="451">
        <f>MateriaisCampo[[#This Row],[TOT CRED]]</f>
        <v>2009.196625</v>
      </c>
      <c r="AH87" s="452">
        <f>IF(MateriaisCampo[[#This Row],[QUANTIDADE]]&lt;&gt;0,((MateriaisCampo[[#This Row],[TOT CUSTO]]/MateriaisCampo[[#This Row],[QUANTIDADE]])/MateriaisCampo[[#This Row],[MARK-UP]]),0)</f>
        <v>252.06373784836714</v>
      </c>
      <c r="AI87" s="453">
        <f>MateriaisCampo[[#This Row],[UNIT VENDA]]*MateriaisCampo[[#This Row],[QUANTIDADE]]</f>
        <v>2520.6373784836715</v>
      </c>
      <c r="AJ87" s="453">
        <f>IFERROR(MateriaisCampo[[#This Row],[VENDA]]*(RESUMO!$F$55/RESUMO!$F$45),0)</f>
        <v>3200.8093695030748</v>
      </c>
      <c r="AK87" s="453">
        <f>IFERROR(MateriaisCampo[[#This Row],[VENDA]]*(RESUMO!$F$58/RESUMO!$F$45),0)</f>
        <v>3200.8093695030748</v>
      </c>
      <c r="AL87" s="454">
        <f>IF(MateriaisCampo[[#This Row],[FATURAMENTO]]="NORMAL",MateriaisCampo[[#This Row],[VENDA]],0)</f>
        <v>2520.6373784836715</v>
      </c>
    </row>
    <row r="88" spans="1:38" x14ac:dyDescent="0.25">
      <c r="A88" s="113" t="s">
        <v>652</v>
      </c>
      <c r="B88" s="113" t="s">
        <v>652</v>
      </c>
      <c r="C88" s="113" t="s">
        <v>654</v>
      </c>
      <c r="D88" s="113" t="s">
        <v>674</v>
      </c>
      <c r="E88" s="434" t="s">
        <v>655</v>
      </c>
      <c r="F88" s="434">
        <f t="shared" si="0"/>
        <v>0</v>
      </c>
      <c r="G88" s="113"/>
      <c r="H88" s="435" t="s">
        <v>603</v>
      </c>
      <c r="I88" s="436">
        <f>I87</f>
        <v>10</v>
      </c>
      <c r="J88" s="437">
        <v>148.36000000000001</v>
      </c>
      <c r="K88" s="438">
        <v>0.18</v>
      </c>
      <c r="L88" s="438">
        <v>0</v>
      </c>
      <c r="M88" s="458"/>
      <c r="N88" s="445">
        <f>MateriaisCampo[[#This Row],[UNIT S/IPI S/DESC]]-MateriaisCampo[[#This Row],[UNIT S/IPI S/DESC]]*MateriaisCampo[[#This Row],[% DESC]]</f>
        <v>148.36000000000001</v>
      </c>
      <c r="O88" s="441" t="s">
        <v>295</v>
      </c>
      <c r="P88" s="442" t="s">
        <v>155</v>
      </c>
      <c r="Q88" s="438">
        <v>1.6500000000000001E-2</v>
      </c>
      <c r="R88" s="438">
        <v>7.5999999999999998E-2</v>
      </c>
      <c r="S88" s="443">
        <f>MateriaisCampo[[#This Row],[UNIT S/ IP + DIF ICMS]]*MateriaisCampo[[#This Row],[QUANTIDADE]]</f>
        <v>1483.6000000000001</v>
      </c>
      <c r="T88" s="444">
        <f>MateriaisCampo[[#This Row],[TOTAL S/ IPI]]+(MateriaisCampo[[#This Row],[TOTAL S/ IPI]]*MateriaisCampo[[#This Row],[IPI %]])</f>
        <v>1483.6000000000001</v>
      </c>
      <c r="U88" s="445">
        <f>IF(AND(MateriaisCampo[[#This Row],[ICMS %]]&lt;&gt;18%,MateriaisCampo[[#This Row],[ORIGEM]]&lt;&gt;"SÃO PAULO"),((18%-MateriaisCampo[[#This Row],[ICMS %]])*MateriaisCampo[[#This Row],[UNIT S/ IPI C/DESC]]),0)</f>
        <v>0</v>
      </c>
      <c r="V88" s="437">
        <f>MateriaisCampo[[#This Row],[UNIT S/ IPI C/DESC]]*MateriaisCampo[[#This Row],[ICMS %]]</f>
        <v>26.704800000000002</v>
      </c>
      <c r="W88" s="437">
        <f>MateriaisCampo[[#This Row],[ICMS $]]*MateriaisCampo[[#This Row],[QUANTIDADE]]</f>
        <v>267.048</v>
      </c>
      <c r="X88" s="446">
        <f>MateriaisCampo[[#This Row],[UNIT S/ IPI C/DESC]]+MateriaisCampo[[#This Row],[DIFERENCIAL ICMS]]</f>
        <v>148.36000000000001</v>
      </c>
      <c r="Y88" s="446">
        <f>(MateriaisCampo[[#This Row],[PIS]]*MateriaisCampo[[#This Row],[UNIT S/ IPI C/DESC]])/2</f>
        <v>1.2239700000000002</v>
      </c>
      <c r="Z88" s="446">
        <f>(MateriaisCampo[[#This Row],[COFINS]]*MateriaisCampo[[#This Row],[UNIT S/ IPI C/DESC]])/2</f>
        <v>5.6376800000000005</v>
      </c>
      <c r="AA88" s="445">
        <f>MateriaisCampo[[#This Row],[UNIT S/ IP + DIF ICMS]]+(MateriaisCampo[[#This Row],[UNIT S/ IP + DIF ICMS]]*MateriaisCampo[[#This Row],[IPI %]])</f>
        <v>148.36000000000001</v>
      </c>
      <c r="AB88" s="448">
        <f>_xlfn.XLOOKUP(MateriaisCampo[[#This Row],[FATURAMENTO]],BASE!$U$48:$U$50,BASE!$W$48:$W$50,0,0,1)</f>
        <v>0.79709863947533133</v>
      </c>
      <c r="AC88" s="510" t="str">
        <f>RESUMO!$E$56</f>
        <v>SIM</v>
      </c>
      <c r="AD88" s="449" t="str">
        <f>RESUMO!$E$57</f>
        <v>SIM</v>
      </c>
      <c r="AE8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114.79355000000001</v>
      </c>
      <c r="AF88" s="450">
        <f>MateriaisCampo[[#This Row],[UNIT CRED]]*MateriaisCampo[[#This Row],[QUANTIDADE]]</f>
        <v>1147.9355</v>
      </c>
      <c r="AG88" s="451">
        <f>MateriaisCampo[[#This Row],[TOT CRED]]</f>
        <v>1147.9355</v>
      </c>
      <c r="AH88" s="452">
        <f>IF(MateriaisCampo[[#This Row],[QUANTIDADE]]&lt;&gt;0,((MateriaisCampo[[#This Row],[TOT CUSTO]]/MateriaisCampo[[#This Row],[QUANTIDADE]])/MateriaisCampo[[#This Row],[MARK-UP]]),0)</f>
        <v>144.01423401695902</v>
      </c>
      <c r="AI88" s="453">
        <f>MateriaisCampo[[#This Row],[UNIT VENDA]]*MateriaisCampo[[#This Row],[QUANTIDADE]]</f>
        <v>1440.1423401695902</v>
      </c>
      <c r="AJ88" s="453">
        <f>IFERROR(MateriaisCampo[[#This Row],[VENDA]]*(RESUMO!$F$55/RESUMO!$F$45),0)</f>
        <v>1828.7521779931303</v>
      </c>
      <c r="AK88" s="453">
        <f>IFERROR(MateriaisCampo[[#This Row],[VENDA]]*(RESUMO!$F$58/RESUMO!$F$45),0)</f>
        <v>1828.7521779931303</v>
      </c>
      <c r="AL88" s="454">
        <f>IF(MateriaisCampo[[#This Row],[FATURAMENTO]]="NORMAL",MateriaisCampo[[#This Row],[VENDA]],0)</f>
        <v>1440.1423401695902</v>
      </c>
    </row>
    <row r="89" spans="1:38" ht="34.5" x14ac:dyDescent="0.25">
      <c r="A89" s="113" t="s">
        <v>652</v>
      </c>
      <c r="B89" s="113" t="s">
        <v>652</v>
      </c>
      <c r="C89" s="113" t="s">
        <v>656</v>
      </c>
      <c r="D89" s="113" t="s">
        <v>675</v>
      </c>
      <c r="E89" s="434" t="s">
        <v>655</v>
      </c>
      <c r="F89" s="434">
        <f t="shared" si="0"/>
        <v>0</v>
      </c>
      <c r="G89" s="113"/>
      <c r="H89" s="435" t="s">
        <v>603</v>
      </c>
      <c r="I89" s="436">
        <v>6</v>
      </c>
      <c r="J89" s="437">
        <v>296.07</v>
      </c>
      <c r="K89" s="438">
        <v>0.18</v>
      </c>
      <c r="L89" s="438">
        <v>0</v>
      </c>
      <c r="M89" s="458"/>
      <c r="N89" s="445">
        <f>MateriaisCampo[[#This Row],[UNIT S/IPI S/DESC]]-MateriaisCampo[[#This Row],[UNIT S/IPI S/DESC]]*MateriaisCampo[[#This Row],[% DESC]]</f>
        <v>296.07</v>
      </c>
      <c r="O89" s="441" t="s">
        <v>295</v>
      </c>
      <c r="P89" s="442" t="s">
        <v>155</v>
      </c>
      <c r="Q89" s="438">
        <v>1.6500000000000001E-2</v>
      </c>
      <c r="R89" s="438">
        <v>7.5999999999999998E-2</v>
      </c>
      <c r="S89" s="443">
        <f>MateriaisCampo[[#This Row],[UNIT S/ IP + DIF ICMS]]*MateriaisCampo[[#This Row],[QUANTIDADE]]</f>
        <v>1776.42</v>
      </c>
      <c r="T89" s="444">
        <f>MateriaisCampo[[#This Row],[TOTAL S/ IPI]]+(MateriaisCampo[[#This Row],[TOTAL S/ IPI]]*MateriaisCampo[[#This Row],[IPI %]])</f>
        <v>1776.42</v>
      </c>
      <c r="U89" s="445">
        <f>IF(AND(MateriaisCampo[[#This Row],[ICMS %]]&lt;&gt;18%,MateriaisCampo[[#This Row],[ORIGEM]]&lt;&gt;"SÃO PAULO"),((18%-MateriaisCampo[[#This Row],[ICMS %]])*MateriaisCampo[[#This Row],[UNIT S/ IPI C/DESC]]),0)</f>
        <v>0</v>
      </c>
      <c r="V89" s="437">
        <f>MateriaisCampo[[#This Row],[UNIT S/ IPI C/DESC]]*MateriaisCampo[[#This Row],[ICMS %]]</f>
        <v>53.2926</v>
      </c>
      <c r="W89" s="437">
        <f>MateriaisCampo[[#This Row],[ICMS $]]*MateriaisCampo[[#This Row],[QUANTIDADE]]</f>
        <v>319.75560000000002</v>
      </c>
      <c r="X89" s="446">
        <f>MateriaisCampo[[#This Row],[UNIT S/ IPI C/DESC]]+MateriaisCampo[[#This Row],[DIFERENCIAL ICMS]]</f>
        <v>296.07</v>
      </c>
      <c r="Y89" s="446">
        <f>(MateriaisCampo[[#This Row],[PIS]]*MateriaisCampo[[#This Row],[UNIT S/ IPI C/DESC]])/2</f>
        <v>2.4425775000000001</v>
      </c>
      <c r="Z89" s="446">
        <f>(MateriaisCampo[[#This Row],[COFINS]]*MateriaisCampo[[#This Row],[UNIT S/ IPI C/DESC]])/2</f>
        <v>11.25066</v>
      </c>
      <c r="AA89" s="445">
        <f>MateriaisCampo[[#This Row],[UNIT S/ IP + DIF ICMS]]+(MateriaisCampo[[#This Row],[UNIT S/ IP + DIF ICMS]]*MateriaisCampo[[#This Row],[IPI %]])</f>
        <v>296.07</v>
      </c>
      <c r="AB89" s="448">
        <f>_xlfn.XLOOKUP(MateriaisCampo[[#This Row],[FATURAMENTO]],BASE!$U$48:$U$50,BASE!$W$48:$W$50,0,0,1)</f>
        <v>0.79709863947533133</v>
      </c>
      <c r="AC89" s="510" t="str">
        <f>RESUMO!$E$56</f>
        <v>SIM</v>
      </c>
      <c r="AD89" s="449" t="str">
        <f>RESUMO!$E$57</f>
        <v>SIM</v>
      </c>
      <c r="AE8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229.08416249999999</v>
      </c>
      <c r="AF89" s="450">
        <f>MateriaisCampo[[#This Row],[UNIT CRED]]*MateriaisCampo[[#This Row],[QUANTIDADE]]</f>
        <v>1374.5049749999998</v>
      </c>
      <c r="AG89" s="451">
        <f>MateriaisCampo[[#This Row],[TOT CRED]]</f>
        <v>1374.5049749999998</v>
      </c>
      <c r="AH89" s="452">
        <f>IF(MateriaisCampo[[#This Row],[QUANTIDADE]]&lt;&gt;0,((MateriaisCampo[[#This Row],[TOT CUSTO]]/MateriaisCampo[[#This Row],[QUANTIDADE]])/MateriaisCampo[[#This Row],[MARK-UP]]),0)</f>
        <v>287.39750785522409</v>
      </c>
      <c r="AI89" s="453">
        <f>MateriaisCampo[[#This Row],[UNIT VENDA]]*MateriaisCampo[[#This Row],[QUANTIDADE]]</f>
        <v>1724.3850471313444</v>
      </c>
      <c r="AJ89" s="453">
        <f>IFERROR(MateriaisCampo[[#This Row],[VENDA]]*(RESUMO!$F$55/RESUMO!$F$45),0)</f>
        <v>2189.6952979445641</v>
      </c>
      <c r="AK89" s="453">
        <f>IFERROR(MateriaisCampo[[#This Row],[VENDA]]*(RESUMO!$F$58/RESUMO!$F$45),0)</f>
        <v>2189.6952979445641</v>
      </c>
      <c r="AL89" s="454">
        <f>IF(MateriaisCampo[[#This Row],[FATURAMENTO]]="NORMAL",MateriaisCampo[[#This Row],[VENDA]],0)</f>
        <v>1724.3850471313444</v>
      </c>
    </row>
    <row r="90" spans="1:38" x14ac:dyDescent="0.25">
      <c r="A90" s="113" t="s">
        <v>652</v>
      </c>
      <c r="B90" s="113" t="s">
        <v>652</v>
      </c>
      <c r="C90" s="113" t="s">
        <v>657</v>
      </c>
      <c r="D90" s="113" t="s">
        <v>675</v>
      </c>
      <c r="E90" s="434" t="s">
        <v>655</v>
      </c>
      <c r="F90" s="434">
        <f t="shared" si="0"/>
        <v>0</v>
      </c>
      <c r="G90" s="113"/>
      <c r="H90" s="435" t="s">
        <v>603</v>
      </c>
      <c r="I90" s="436">
        <f>I89</f>
        <v>6</v>
      </c>
      <c r="J90" s="437">
        <v>261.32</v>
      </c>
      <c r="K90" s="438">
        <v>0.18</v>
      </c>
      <c r="L90" s="438">
        <v>0</v>
      </c>
      <c r="M90" s="458"/>
      <c r="N90" s="445">
        <f>MateriaisCampo[[#This Row],[UNIT S/IPI S/DESC]]-MateriaisCampo[[#This Row],[UNIT S/IPI S/DESC]]*MateriaisCampo[[#This Row],[% DESC]]</f>
        <v>261.32</v>
      </c>
      <c r="O90" s="441" t="s">
        <v>295</v>
      </c>
      <c r="P90" s="442" t="s">
        <v>155</v>
      </c>
      <c r="Q90" s="438">
        <v>1.6500000000000001E-2</v>
      </c>
      <c r="R90" s="438">
        <v>7.5999999999999998E-2</v>
      </c>
      <c r="S90" s="443">
        <f>MateriaisCampo[[#This Row],[UNIT S/ IP + DIF ICMS]]*MateriaisCampo[[#This Row],[QUANTIDADE]]</f>
        <v>1567.92</v>
      </c>
      <c r="T90" s="444">
        <f>MateriaisCampo[[#This Row],[TOTAL S/ IPI]]+(MateriaisCampo[[#This Row],[TOTAL S/ IPI]]*MateriaisCampo[[#This Row],[IPI %]])</f>
        <v>1567.92</v>
      </c>
      <c r="U90" s="445">
        <f>IF(AND(MateriaisCampo[[#This Row],[ICMS %]]&lt;&gt;18%,MateriaisCampo[[#This Row],[ORIGEM]]&lt;&gt;"SÃO PAULO"),((18%-MateriaisCampo[[#This Row],[ICMS %]])*MateriaisCampo[[#This Row],[UNIT S/ IPI C/DESC]]),0)</f>
        <v>0</v>
      </c>
      <c r="V90" s="437">
        <f>MateriaisCampo[[#This Row],[UNIT S/ IPI C/DESC]]*MateriaisCampo[[#This Row],[ICMS %]]</f>
        <v>47.037599999999998</v>
      </c>
      <c r="W90" s="437">
        <f>MateriaisCampo[[#This Row],[ICMS $]]*MateriaisCampo[[#This Row],[QUANTIDADE]]</f>
        <v>282.22559999999999</v>
      </c>
      <c r="X90" s="446">
        <f>MateriaisCampo[[#This Row],[UNIT S/ IPI C/DESC]]+MateriaisCampo[[#This Row],[DIFERENCIAL ICMS]]</f>
        <v>261.32</v>
      </c>
      <c r="Y90" s="446">
        <f>(MateriaisCampo[[#This Row],[PIS]]*MateriaisCampo[[#This Row],[UNIT S/ IPI C/DESC]])/2</f>
        <v>2.1558899999999999</v>
      </c>
      <c r="Z90" s="446">
        <f>(MateriaisCampo[[#This Row],[COFINS]]*MateriaisCampo[[#This Row],[UNIT S/ IPI C/DESC]])/2</f>
        <v>9.930159999999999</v>
      </c>
      <c r="AA90" s="445">
        <f>MateriaisCampo[[#This Row],[UNIT S/ IP + DIF ICMS]]+(MateriaisCampo[[#This Row],[UNIT S/ IP + DIF ICMS]]*MateriaisCampo[[#This Row],[IPI %]])</f>
        <v>261.32</v>
      </c>
      <c r="AB90" s="448">
        <f>_xlfn.XLOOKUP(MateriaisCampo[[#This Row],[FATURAMENTO]],BASE!$U$48:$U$50,BASE!$W$48:$W$50,0,0,1)</f>
        <v>0.79709863947533133</v>
      </c>
      <c r="AC90" s="510" t="str">
        <f>RESUMO!$E$56</f>
        <v>SIM</v>
      </c>
      <c r="AD90" s="449" t="str">
        <f>RESUMO!$E$57</f>
        <v>SIM</v>
      </c>
      <c r="AE9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202.19635</v>
      </c>
      <c r="AF90" s="450">
        <f>MateriaisCampo[[#This Row],[UNIT CRED]]*MateriaisCampo[[#This Row],[QUANTIDADE]]</f>
        <v>1213.1781000000001</v>
      </c>
      <c r="AG90" s="451">
        <f>MateriaisCampo[[#This Row],[TOT CRED]]</f>
        <v>1213.1781000000001</v>
      </c>
      <c r="AH90" s="452">
        <f>IF(MateriaisCampo[[#This Row],[QUANTIDADE]]&lt;&gt;0,((MateriaisCampo[[#This Row],[TOT CUSTO]]/MateriaisCampo[[#This Row],[QUANTIDADE]])/MateriaisCampo[[#This Row],[MARK-UP]]),0)</f>
        <v>253.66540599428237</v>
      </c>
      <c r="AI90" s="453">
        <f>MateriaisCampo[[#This Row],[UNIT VENDA]]*MateriaisCampo[[#This Row],[QUANTIDADE]]</f>
        <v>1521.9924359656943</v>
      </c>
      <c r="AJ90" s="453">
        <f>IFERROR(MateriaisCampo[[#This Row],[VENDA]]*(RESUMO!$F$55/RESUMO!$F$45),0)</f>
        <v>1932.6888075754848</v>
      </c>
      <c r="AK90" s="453">
        <f>IFERROR(MateriaisCampo[[#This Row],[VENDA]]*(RESUMO!$F$58/RESUMO!$F$45),0)</f>
        <v>1932.6888075754848</v>
      </c>
      <c r="AL90" s="454">
        <f>IF(MateriaisCampo[[#This Row],[FATURAMENTO]]="NORMAL",MateriaisCampo[[#This Row],[VENDA]],0)</f>
        <v>1521.9924359656943</v>
      </c>
    </row>
    <row r="91" spans="1:38" ht="34.5" x14ac:dyDescent="0.25">
      <c r="A91" s="113" t="s">
        <v>652</v>
      </c>
      <c r="B91" s="113" t="s">
        <v>652</v>
      </c>
      <c r="C91" s="113" t="s">
        <v>667</v>
      </c>
      <c r="D91" s="113" t="s">
        <v>674</v>
      </c>
      <c r="E91" s="434" t="s">
        <v>655</v>
      </c>
      <c r="F91" s="434">
        <f t="shared" si="0"/>
        <v>0</v>
      </c>
      <c r="G91" s="113"/>
      <c r="H91" s="435" t="s">
        <v>603</v>
      </c>
      <c r="I91" s="436">
        <v>4</v>
      </c>
      <c r="J91" s="437">
        <v>68.31</v>
      </c>
      <c r="K91" s="438">
        <v>0.18</v>
      </c>
      <c r="L91" s="438">
        <v>0</v>
      </c>
      <c r="M91" s="458"/>
      <c r="N91" s="445">
        <f>MateriaisCampo[[#This Row],[UNIT S/IPI S/DESC]]-MateriaisCampo[[#This Row],[UNIT S/IPI S/DESC]]*MateriaisCampo[[#This Row],[% DESC]]</f>
        <v>68.31</v>
      </c>
      <c r="O91" s="441" t="s">
        <v>295</v>
      </c>
      <c r="P91" s="442" t="s">
        <v>155</v>
      </c>
      <c r="Q91" s="438">
        <v>1.6500000000000001E-2</v>
      </c>
      <c r="R91" s="438">
        <v>7.5999999999999998E-2</v>
      </c>
      <c r="S91" s="443">
        <f>MateriaisCampo[[#This Row],[UNIT S/ IP + DIF ICMS]]*MateriaisCampo[[#This Row],[QUANTIDADE]]</f>
        <v>273.24</v>
      </c>
      <c r="T91" s="444">
        <f>MateriaisCampo[[#This Row],[TOTAL S/ IPI]]+(MateriaisCampo[[#This Row],[TOTAL S/ IPI]]*MateriaisCampo[[#This Row],[IPI %]])</f>
        <v>273.24</v>
      </c>
      <c r="U91" s="445">
        <f>IF(AND(MateriaisCampo[[#This Row],[ICMS %]]&lt;&gt;18%,MateriaisCampo[[#This Row],[ORIGEM]]&lt;&gt;"SÃO PAULO"),((18%-MateriaisCampo[[#This Row],[ICMS %]])*MateriaisCampo[[#This Row],[UNIT S/ IPI C/DESC]]),0)</f>
        <v>0</v>
      </c>
      <c r="V91" s="437">
        <f>MateriaisCampo[[#This Row],[UNIT S/ IPI C/DESC]]*MateriaisCampo[[#This Row],[ICMS %]]</f>
        <v>12.2958</v>
      </c>
      <c r="W91" s="437">
        <f>MateriaisCampo[[#This Row],[ICMS $]]*MateriaisCampo[[#This Row],[QUANTIDADE]]</f>
        <v>49.183199999999999</v>
      </c>
      <c r="X91" s="446">
        <f>MateriaisCampo[[#This Row],[UNIT S/ IPI C/DESC]]+MateriaisCampo[[#This Row],[DIFERENCIAL ICMS]]</f>
        <v>68.31</v>
      </c>
      <c r="Y91" s="446">
        <f>(MateriaisCampo[[#This Row],[PIS]]*MateriaisCampo[[#This Row],[UNIT S/ IPI C/DESC]])/2</f>
        <v>0.56355750000000004</v>
      </c>
      <c r="Z91" s="446">
        <f>(MateriaisCampo[[#This Row],[COFINS]]*MateriaisCampo[[#This Row],[UNIT S/ IPI C/DESC]])/2</f>
        <v>2.59578</v>
      </c>
      <c r="AA91" s="445">
        <f>MateriaisCampo[[#This Row],[UNIT S/ IP + DIF ICMS]]+(MateriaisCampo[[#This Row],[UNIT S/ IP + DIF ICMS]]*MateriaisCampo[[#This Row],[IPI %]])</f>
        <v>68.31</v>
      </c>
      <c r="AB91" s="448">
        <f>_xlfn.XLOOKUP(MateriaisCampo[[#This Row],[FATURAMENTO]],BASE!$U$48:$U$50,BASE!$W$48:$W$50,0,0,1)</f>
        <v>0.79709863947533133</v>
      </c>
      <c r="AC91" s="510" t="str">
        <f>RESUMO!$E$56</f>
        <v>SIM</v>
      </c>
      <c r="AD91" s="449" t="str">
        <f>RESUMO!$E$57</f>
        <v>SIM</v>
      </c>
      <c r="AE9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52.854862500000003</v>
      </c>
      <c r="AF91" s="450">
        <f>MateriaisCampo[[#This Row],[UNIT CRED]]*MateriaisCampo[[#This Row],[QUANTIDADE]]</f>
        <v>211.41945000000001</v>
      </c>
      <c r="AG91" s="451">
        <f>MateriaisCampo[[#This Row],[TOT CRED]]</f>
        <v>211.41945000000001</v>
      </c>
      <c r="AH91" s="452">
        <f>IF(MateriaisCampo[[#This Row],[QUANTIDADE]]&lt;&gt;0,((MateriaisCampo[[#This Row],[TOT CUSTO]]/MateriaisCampo[[#This Row],[QUANTIDADE]])/MateriaisCampo[[#This Row],[MARK-UP]]),0)</f>
        <v>66.309061240890202</v>
      </c>
      <c r="AI91" s="453">
        <f>MateriaisCampo[[#This Row],[UNIT VENDA]]*MateriaisCampo[[#This Row],[QUANTIDADE]]</f>
        <v>265.23624496356081</v>
      </c>
      <c r="AJ91" s="453">
        <f>IFERROR(MateriaisCampo[[#This Row],[VENDA]]*(RESUMO!$F$55/RESUMO!$F$45),0)</f>
        <v>336.80793011245817</v>
      </c>
      <c r="AK91" s="453">
        <f>IFERROR(MateriaisCampo[[#This Row],[VENDA]]*(RESUMO!$F$58/RESUMO!$F$45),0)</f>
        <v>336.80793011245817</v>
      </c>
      <c r="AL91" s="454">
        <f>IF(MateriaisCampo[[#This Row],[FATURAMENTO]]="NORMAL",MateriaisCampo[[#This Row],[VENDA]],0)</f>
        <v>265.23624496356081</v>
      </c>
    </row>
    <row r="92" spans="1:38" x14ac:dyDescent="0.25">
      <c r="A92" s="113" t="s">
        <v>652</v>
      </c>
      <c r="B92" s="113" t="s">
        <v>652</v>
      </c>
      <c r="C92" s="113" t="s">
        <v>658</v>
      </c>
      <c r="D92" s="113" t="s">
        <v>674</v>
      </c>
      <c r="E92" s="434" t="s">
        <v>655</v>
      </c>
      <c r="F92" s="434">
        <f t="shared" si="0"/>
        <v>0</v>
      </c>
      <c r="G92" s="113"/>
      <c r="H92" s="435" t="s">
        <v>603</v>
      </c>
      <c r="I92" s="436">
        <f>I91</f>
        <v>4</v>
      </c>
      <c r="J92" s="437">
        <v>51.85</v>
      </c>
      <c r="K92" s="438">
        <v>0.18</v>
      </c>
      <c r="L92" s="438">
        <v>0</v>
      </c>
      <c r="M92" s="458"/>
      <c r="N92" s="445">
        <f>MateriaisCampo[[#This Row],[UNIT S/IPI S/DESC]]-MateriaisCampo[[#This Row],[UNIT S/IPI S/DESC]]*MateriaisCampo[[#This Row],[% DESC]]</f>
        <v>51.85</v>
      </c>
      <c r="O92" s="441" t="s">
        <v>295</v>
      </c>
      <c r="P92" s="442" t="s">
        <v>155</v>
      </c>
      <c r="Q92" s="438">
        <v>1.6500000000000001E-2</v>
      </c>
      <c r="R92" s="438">
        <v>7.5999999999999998E-2</v>
      </c>
      <c r="S92" s="443">
        <f>MateriaisCampo[[#This Row],[UNIT S/ IP + DIF ICMS]]*MateriaisCampo[[#This Row],[QUANTIDADE]]</f>
        <v>207.4</v>
      </c>
      <c r="T92" s="444">
        <f>MateriaisCampo[[#This Row],[TOTAL S/ IPI]]+(MateriaisCampo[[#This Row],[TOTAL S/ IPI]]*MateriaisCampo[[#This Row],[IPI %]])</f>
        <v>207.4</v>
      </c>
      <c r="U92" s="445">
        <f>IF(AND(MateriaisCampo[[#This Row],[ICMS %]]&lt;&gt;18%,MateriaisCampo[[#This Row],[ORIGEM]]&lt;&gt;"SÃO PAULO"),((18%-MateriaisCampo[[#This Row],[ICMS %]])*MateriaisCampo[[#This Row],[UNIT S/ IPI C/DESC]]),0)</f>
        <v>0</v>
      </c>
      <c r="V92" s="437">
        <f>MateriaisCampo[[#This Row],[UNIT S/ IPI C/DESC]]*MateriaisCampo[[#This Row],[ICMS %]]</f>
        <v>9.3330000000000002</v>
      </c>
      <c r="W92" s="437">
        <f>MateriaisCampo[[#This Row],[ICMS $]]*MateriaisCampo[[#This Row],[QUANTIDADE]]</f>
        <v>37.332000000000001</v>
      </c>
      <c r="X92" s="446">
        <f>MateriaisCampo[[#This Row],[UNIT S/ IPI C/DESC]]+MateriaisCampo[[#This Row],[DIFERENCIAL ICMS]]</f>
        <v>51.85</v>
      </c>
      <c r="Y92" s="446">
        <f>(MateriaisCampo[[#This Row],[PIS]]*MateriaisCampo[[#This Row],[UNIT S/ IPI C/DESC]])/2</f>
        <v>0.42776250000000005</v>
      </c>
      <c r="Z92" s="446">
        <f>(MateriaisCampo[[#This Row],[COFINS]]*MateriaisCampo[[#This Row],[UNIT S/ IPI C/DESC]])/2</f>
        <v>1.9702999999999999</v>
      </c>
      <c r="AA92" s="445">
        <f>MateriaisCampo[[#This Row],[UNIT S/ IP + DIF ICMS]]+(MateriaisCampo[[#This Row],[UNIT S/ IP + DIF ICMS]]*MateriaisCampo[[#This Row],[IPI %]])</f>
        <v>51.85</v>
      </c>
      <c r="AB92" s="448">
        <f>_xlfn.XLOOKUP(MateriaisCampo[[#This Row],[FATURAMENTO]],BASE!$U$48:$U$50,BASE!$W$48:$W$50,0,0,1)</f>
        <v>0.79709863947533133</v>
      </c>
      <c r="AC92" s="510" t="str">
        <f>RESUMO!$E$56</f>
        <v>SIM</v>
      </c>
      <c r="AD92" s="449" t="str">
        <f>RESUMO!$E$57</f>
        <v>SIM</v>
      </c>
      <c r="AE9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40.118937500000001</v>
      </c>
      <c r="AF92" s="450">
        <f>MateriaisCampo[[#This Row],[UNIT CRED]]*MateriaisCampo[[#This Row],[QUANTIDADE]]</f>
        <v>160.47575000000001</v>
      </c>
      <c r="AG92" s="451">
        <f>MateriaisCampo[[#This Row],[TOT CRED]]</f>
        <v>160.47575000000001</v>
      </c>
      <c r="AH92" s="452">
        <f>IF(MateriaisCampo[[#This Row],[QUANTIDADE]]&lt;&gt;0,((MateriaisCampo[[#This Row],[TOT CUSTO]]/MateriaisCampo[[#This Row],[QUANTIDADE]])/MateriaisCampo[[#This Row],[MARK-UP]]),0)</f>
        <v>50.331208100426828</v>
      </c>
      <c r="AI92" s="453">
        <f>MateriaisCampo[[#This Row],[UNIT VENDA]]*MateriaisCampo[[#This Row],[QUANTIDADE]]</f>
        <v>201.32483240170731</v>
      </c>
      <c r="AJ92" s="453">
        <f>IFERROR(MateriaisCampo[[#This Row],[VENDA]]*(RESUMO!$F$55/RESUMO!$F$45),0)</f>
        <v>255.65058082756482</v>
      </c>
      <c r="AK92" s="453">
        <f>IFERROR(MateriaisCampo[[#This Row],[VENDA]]*(RESUMO!$F$58/RESUMO!$F$45),0)</f>
        <v>255.65058082756482</v>
      </c>
      <c r="AL92" s="454">
        <f>IF(MateriaisCampo[[#This Row],[FATURAMENTO]]="NORMAL",MateriaisCampo[[#This Row],[VENDA]],0)</f>
        <v>201.32483240170731</v>
      </c>
    </row>
    <row r="93" spans="1:38" ht="34.5" x14ac:dyDescent="0.25">
      <c r="A93" s="113" t="s">
        <v>652</v>
      </c>
      <c r="B93" s="113" t="s">
        <v>652</v>
      </c>
      <c r="C93" s="113" t="s">
        <v>668</v>
      </c>
      <c r="D93" s="113" t="s">
        <v>675</v>
      </c>
      <c r="E93" s="434" t="s">
        <v>655</v>
      </c>
      <c r="F93" s="434">
        <f t="shared" si="0"/>
        <v>0</v>
      </c>
      <c r="G93" s="113"/>
      <c r="H93" s="435" t="s">
        <v>603</v>
      </c>
      <c r="I93" s="436">
        <v>0</v>
      </c>
      <c r="J93" s="437">
        <f>85.23*2</f>
        <v>170.46</v>
      </c>
      <c r="K93" s="438">
        <v>0.18</v>
      </c>
      <c r="L93" s="438">
        <v>0</v>
      </c>
      <c r="M93" s="458"/>
      <c r="N93" s="445">
        <f>MateriaisCampo[[#This Row],[UNIT S/IPI S/DESC]]-MateriaisCampo[[#This Row],[UNIT S/IPI S/DESC]]*MateriaisCampo[[#This Row],[% DESC]]</f>
        <v>170.46</v>
      </c>
      <c r="O93" s="441" t="s">
        <v>295</v>
      </c>
      <c r="P93" s="442" t="s">
        <v>155</v>
      </c>
      <c r="Q93" s="438">
        <v>1.6500000000000001E-2</v>
      </c>
      <c r="R93" s="438">
        <v>7.5999999999999998E-2</v>
      </c>
      <c r="S93" s="443">
        <f>MateriaisCampo[[#This Row],[UNIT S/ IP + DIF ICMS]]*MateriaisCampo[[#This Row],[QUANTIDADE]]</f>
        <v>0</v>
      </c>
      <c r="T93" s="444">
        <f>MateriaisCampo[[#This Row],[TOTAL S/ IPI]]+(MateriaisCampo[[#This Row],[TOTAL S/ IPI]]*MateriaisCampo[[#This Row],[IPI %]])</f>
        <v>0</v>
      </c>
      <c r="U93" s="445">
        <f>IF(AND(MateriaisCampo[[#This Row],[ICMS %]]&lt;&gt;18%,MateriaisCampo[[#This Row],[ORIGEM]]&lt;&gt;"SÃO PAULO"),((18%-MateriaisCampo[[#This Row],[ICMS %]])*MateriaisCampo[[#This Row],[UNIT S/ IPI C/DESC]]),0)</f>
        <v>0</v>
      </c>
      <c r="V93" s="437">
        <f>MateriaisCampo[[#This Row],[UNIT S/ IPI C/DESC]]*MateriaisCampo[[#This Row],[ICMS %]]</f>
        <v>30.6828</v>
      </c>
      <c r="W93" s="437">
        <f>MateriaisCampo[[#This Row],[ICMS $]]*MateriaisCampo[[#This Row],[QUANTIDADE]]</f>
        <v>0</v>
      </c>
      <c r="X93" s="446">
        <f>MateriaisCampo[[#This Row],[UNIT S/ IPI C/DESC]]+MateriaisCampo[[#This Row],[DIFERENCIAL ICMS]]</f>
        <v>170.46</v>
      </c>
      <c r="Y93" s="446">
        <f>(MateriaisCampo[[#This Row],[PIS]]*MateriaisCampo[[#This Row],[UNIT S/ IPI C/DESC]])/2</f>
        <v>1.4062950000000001</v>
      </c>
      <c r="Z93" s="446">
        <f>(MateriaisCampo[[#This Row],[COFINS]]*MateriaisCampo[[#This Row],[UNIT S/ IPI C/DESC]])/2</f>
        <v>6.4774799999999999</v>
      </c>
      <c r="AA93" s="445">
        <f>MateriaisCampo[[#This Row],[UNIT S/ IP + DIF ICMS]]+(MateriaisCampo[[#This Row],[UNIT S/ IP + DIF ICMS]]*MateriaisCampo[[#This Row],[IPI %]])</f>
        <v>170.46</v>
      </c>
      <c r="AB93" s="448">
        <f>_xlfn.XLOOKUP(MateriaisCampo[[#This Row],[FATURAMENTO]],BASE!$U$48:$U$50,BASE!$W$48:$W$50,0,0,1)</f>
        <v>0.79709863947533133</v>
      </c>
      <c r="AC93" s="510" t="str">
        <f>RESUMO!$E$56</f>
        <v>SIM</v>
      </c>
      <c r="AD93" s="449" t="str">
        <f>RESUMO!$E$57</f>
        <v>SIM</v>
      </c>
      <c r="AE9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131.89342499999998</v>
      </c>
      <c r="AF93" s="450">
        <f>MateriaisCampo[[#This Row],[UNIT CRED]]*MateriaisCampo[[#This Row],[QUANTIDADE]]</f>
        <v>0</v>
      </c>
      <c r="AG93" s="451">
        <f>MateriaisCampo[[#This Row],[TOT CRED]]</f>
        <v>0</v>
      </c>
      <c r="AH93" s="452">
        <f>IF(MateriaisCampo[[#This Row],[QUANTIDADE]]&lt;&gt;0,((MateriaisCampo[[#This Row],[TOT CUSTO]]/MateriaisCampo[[#This Row],[QUANTIDADE]])/MateriaisCampo[[#This Row],[MARK-UP]]),0)</f>
        <v>0</v>
      </c>
      <c r="AI93" s="453">
        <f>MateriaisCampo[[#This Row],[UNIT VENDA]]*MateriaisCampo[[#This Row],[QUANTIDADE]]</f>
        <v>0</v>
      </c>
      <c r="AJ93" s="453">
        <f>IFERROR(MateriaisCampo[[#This Row],[VENDA]]*(RESUMO!$F$55/RESUMO!$F$45),0)</f>
        <v>0</v>
      </c>
      <c r="AK93" s="453">
        <f>IFERROR(MateriaisCampo[[#This Row],[VENDA]]*(RESUMO!$F$58/RESUMO!$F$45),0)</f>
        <v>0</v>
      </c>
      <c r="AL93" s="454">
        <f>IF(MateriaisCampo[[#This Row],[FATURAMENTO]]="NORMAL",MateriaisCampo[[#This Row],[VENDA]],0)</f>
        <v>0</v>
      </c>
    </row>
    <row r="94" spans="1:38" x14ac:dyDescent="0.25">
      <c r="A94" s="113" t="s">
        <v>652</v>
      </c>
      <c r="B94" s="113" t="s">
        <v>652</v>
      </c>
      <c r="C94" s="113" t="s">
        <v>659</v>
      </c>
      <c r="D94" s="113" t="s">
        <v>675</v>
      </c>
      <c r="E94" s="434" t="s">
        <v>655</v>
      </c>
      <c r="F94" s="434">
        <f t="shared" si="0"/>
        <v>0</v>
      </c>
      <c r="G94" s="113"/>
      <c r="H94" s="435" t="s">
        <v>603</v>
      </c>
      <c r="I94" s="436">
        <f>I93</f>
        <v>0</v>
      </c>
      <c r="J94" s="437">
        <f>103.58*2</f>
        <v>207.16</v>
      </c>
      <c r="K94" s="438">
        <v>0.18</v>
      </c>
      <c r="L94" s="438">
        <v>0</v>
      </c>
      <c r="M94" s="458"/>
      <c r="N94" s="445">
        <f>MateriaisCampo[[#This Row],[UNIT S/IPI S/DESC]]-MateriaisCampo[[#This Row],[UNIT S/IPI S/DESC]]*MateriaisCampo[[#This Row],[% DESC]]</f>
        <v>207.16</v>
      </c>
      <c r="O94" s="441" t="s">
        <v>295</v>
      </c>
      <c r="P94" s="442" t="s">
        <v>155</v>
      </c>
      <c r="Q94" s="438">
        <v>1.6500000000000001E-2</v>
      </c>
      <c r="R94" s="438">
        <v>7.5999999999999998E-2</v>
      </c>
      <c r="S94" s="443">
        <f>MateriaisCampo[[#This Row],[UNIT S/ IP + DIF ICMS]]*MateriaisCampo[[#This Row],[QUANTIDADE]]</f>
        <v>0</v>
      </c>
      <c r="T94" s="444">
        <f>MateriaisCampo[[#This Row],[TOTAL S/ IPI]]+(MateriaisCampo[[#This Row],[TOTAL S/ IPI]]*MateriaisCampo[[#This Row],[IPI %]])</f>
        <v>0</v>
      </c>
      <c r="U94" s="445">
        <f>IF(AND(MateriaisCampo[[#This Row],[ICMS %]]&lt;&gt;18%,MateriaisCampo[[#This Row],[ORIGEM]]&lt;&gt;"SÃO PAULO"),((18%-MateriaisCampo[[#This Row],[ICMS %]])*MateriaisCampo[[#This Row],[UNIT S/ IPI C/DESC]]),0)</f>
        <v>0</v>
      </c>
      <c r="V94" s="437">
        <f>MateriaisCampo[[#This Row],[UNIT S/ IPI C/DESC]]*MateriaisCampo[[#This Row],[ICMS %]]</f>
        <v>37.288799999999995</v>
      </c>
      <c r="W94" s="437">
        <f>MateriaisCampo[[#This Row],[ICMS $]]*MateriaisCampo[[#This Row],[QUANTIDADE]]</f>
        <v>0</v>
      </c>
      <c r="X94" s="446">
        <f>MateriaisCampo[[#This Row],[UNIT S/ IPI C/DESC]]+MateriaisCampo[[#This Row],[DIFERENCIAL ICMS]]</f>
        <v>207.16</v>
      </c>
      <c r="Y94" s="446">
        <f>(MateriaisCampo[[#This Row],[PIS]]*MateriaisCampo[[#This Row],[UNIT S/ IPI C/DESC]])/2</f>
        <v>1.7090700000000001</v>
      </c>
      <c r="Z94" s="446">
        <f>(MateriaisCampo[[#This Row],[COFINS]]*MateriaisCampo[[#This Row],[UNIT S/ IPI C/DESC]])/2</f>
        <v>7.8720799999999995</v>
      </c>
      <c r="AA94" s="445">
        <f>MateriaisCampo[[#This Row],[UNIT S/ IP + DIF ICMS]]+(MateriaisCampo[[#This Row],[UNIT S/ IP + DIF ICMS]]*MateriaisCampo[[#This Row],[IPI %]])</f>
        <v>207.16</v>
      </c>
      <c r="AB94" s="448">
        <f>_xlfn.XLOOKUP(MateriaisCampo[[#This Row],[FATURAMENTO]],BASE!$U$48:$U$50,BASE!$W$48:$W$50,0,0,1)</f>
        <v>0.79709863947533133</v>
      </c>
      <c r="AC94" s="510" t="str">
        <f>RESUMO!$E$56</f>
        <v>SIM</v>
      </c>
      <c r="AD94" s="449" t="str">
        <f>RESUMO!$E$57</f>
        <v>SIM</v>
      </c>
      <c r="AE9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160.29004999999998</v>
      </c>
      <c r="AF94" s="450">
        <f>MateriaisCampo[[#This Row],[UNIT CRED]]*MateriaisCampo[[#This Row],[QUANTIDADE]]</f>
        <v>0</v>
      </c>
      <c r="AG94" s="451">
        <f>MateriaisCampo[[#This Row],[TOT CRED]]</f>
        <v>0</v>
      </c>
      <c r="AH94" s="452">
        <f>IF(MateriaisCampo[[#This Row],[QUANTIDADE]]&lt;&gt;0,((MateriaisCampo[[#This Row],[TOT CUSTO]]/MateriaisCampo[[#This Row],[QUANTIDADE]])/MateriaisCampo[[#This Row],[MARK-UP]]),0)</f>
        <v>0</v>
      </c>
      <c r="AI94" s="453">
        <f>MateriaisCampo[[#This Row],[UNIT VENDA]]*MateriaisCampo[[#This Row],[QUANTIDADE]]</f>
        <v>0</v>
      </c>
      <c r="AJ94" s="453">
        <f>IFERROR(MateriaisCampo[[#This Row],[VENDA]]*(RESUMO!$F$55/RESUMO!$F$45),0)</f>
        <v>0</v>
      </c>
      <c r="AK94" s="453">
        <f>IFERROR(MateriaisCampo[[#This Row],[VENDA]]*(RESUMO!$F$58/RESUMO!$F$45),0)</f>
        <v>0</v>
      </c>
      <c r="AL94" s="454">
        <f>IF(MateriaisCampo[[#This Row],[FATURAMENTO]]="NORMAL",MateriaisCampo[[#This Row],[VENDA]],0)</f>
        <v>0</v>
      </c>
    </row>
    <row r="95" spans="1:38" ht="34.5" x14ac:dyDescent="0.25">
      <c r="A95" s="113" t="s">
        <v>652</v>
      </c>
      <c r="B95" s="113" t="s">
        <v>652</v>
      </c>
      <c r="C95" s="113" t="s">
        <v>669</v>
      </c>
      <c r="D95" s="113" t="s">
        <v>674</v>
      </c>
      <c r="E95" s="434" t="s">
        <v>655</v>
      </c>
      <c r="F95" s="434">
        <f t="shared" si="0"/>
        <v>0</v>
      </c>
      <c r="G95" s="113"/>
      <c r="H95" s="435" t="s">
        <v>603</v>
      </c>
      <c r="I95" s="436">
        <v>1</v>
      </c>
      <c r="J95" s="437">
        <v>68.31</v>
      </c>
      <c r="K95" s="438">
        <v>0.18</v>
      </c>
      <c r="L95" s="438">
        <v>0</v>
      </c>
      <c r="M95" s="458"/>
      <c r="N95" s="445">
        <f>MateriaisCampo[[#This Row],[UNIT S/IPI S/DESC]]-MateriaisCampo[[#This Row],[UNIT S/IPI S/DESC]]*MateriaisCampo[[#This Row],[% DESC]]</f>
        <v>68.31</v>
      </c>
      <c r="O95" s="441" t="s">
        <v>295</v>
      </c>
      <c r="P95" s="442" t="s">
        <v>155</v>
      </c>
      <c r="Q95" s="438">
        <v>1.6500000000000001E-2</v>
      </c>
      <c r="R95" s="438">
        <v>7.5999999999999998E-2</v>
      </c>
      <c r="S95" s="443">
        <f>MateriaisCampo[[#This Row],[UNIT S/ IP + DIF ICMS]]*MateriaisCampo[[#This Row],[QUANTIDADE]]</f>
        <v>68.31</v>
      </c>
      <c r="T95" s="444">
        <f>MateriaisCampo[[#This Row],[TOTAL S/ IPI]]+(MateriaisCampo[[#This Row],[TOTAL S/ IPI]]*MateriaisCampo[[#This Row],[IPI %]])</f>
        <v>68.31</v>
      </c>
      <c r="U95" s="445">
        <f>IF(AND(MateriaisCampo[[#This Row],[ICMS %]]&lt;&gt;18%,MateriaisCampo[[#This Row],[ORIGEM]]&lt;&gt;"SÃO PAULO"),((18%-MateriaisCampo[[#This Row],[ICMS %]])*MateriaisCampo[[#This Row],[UNIT S/ IPI C/DESC]]),0)</f>
        <v>0</v>
      </c>
      <c r="V95" s="437">
        <f>MateriaisCampo[[#This Row],[UNIT S/ IPI C/DESC]]*MateriaisCampo[[#This Row],[ICMS %]]</f>
        <v>12.2958</v>
      </c>
      <c r="W95" s="437">
        <f>MateriaisCampo[[#This Row],[ICMS $]]*MateriaisCampo[[#This Row],[QUANTIDADE]]</f>
        <v>12.2958</v>
      </c>
      <c r="X95" s="446">
        <f>MateriaisCampo[[#This Row],[UNIT S/ IPI C/DESC]]+MateriaisCampo[[#This Row],[DIFERENCIAL ICMS]]</f>
        <v>68.31</v>
      </c>
      <c r="Y95" s="446">
        <f>(MateriaisCampo[[#This Row],[PIS]]*MateriaisCampo[[#This Row],[UNIT S/ IPI C/DESC]])/2</f>
        <v>0.56355750000000004</v>
      </c>
      <c r="Z95" s="446">
        <f>(MateriaisCampo[[#This Row],[COFINS]]*MateriaisCampo[[#This Row],[UNIT S/ IPI C/DESC]])/2</f>
        <v>2.59578</v>
      </c>
      <c r="AA95" s="445">
        <f>MateriaisCampo[[#This Row],[UNIT S/ IP + DIF ICMS]]+(MateriaisCampo[[#This Row],[UNIT S/ IP + DIF ICMS]]*MateriaisCampo[[#This Row],[IPI %]])</f>
        <v>68.31</v>
      </c>
      <c r="AB95" s="448">
        <f>_xlfn.XLOOKUP(MateriaisCampo[[#This Row],[FATURAMENTO]],BASE!$U$48:$U$50,BASE!$W$48:$W$50,0,0,1)</f>
        <v>0.79709863947533133</v>
      </c>
      <c r="AC95" s="510" t="str">
        <f>RESUMO!$E$56</f>
        <v>SIM</v>
      </c>
      <c r="AD95" s="449" t="str">
        <f>RESUMO!$E$57</f>
        <v>SIM</v>
      </c>
      <c r="AE9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52.854862500000003</v>
      </c>
      <c r="AF95" s="450">
        <f>MateriaisCampo[[#This Row],[UNIT CRED]]*MateriaisCampo[[#This Row],[QUANTIDADE]]</f>
        <v>52.854862500000003</v>
      </c>
      <c r="AG95" s="451">
        <f>MateriaisCampo[[#This Row],[TOT CRED]]</f>
        <v>52.854862500000003</v>
      </c>
      <c r="AH95" s="452">
        <f>IF(MateriaisCampo[[#This Row],[QUANTIDADE]]&lt;&gt;0,((MateriaisCampo[[#This Row],[TOT CUSTO]]/MateriaisCampo[[#This Row],[QUANTIDADE]])/MateriaisCampo[[#This Row],[MARK-UP]]),0)</f>
        <v>66.309061240890202</v>
      </c>
      <c r="AI95" s="453">
        <f>MateriaisCampo[[#This Row],[UNIT VENDA]]*MateriaisCampo[[#This Row],[QUANTIDADE]]</f>
        <v>66.309061240890202</v>
      </c>
      <c r="AJ95" s="453">
        <f>IFERROR(MateriaisCampo[[#This Row],[VENDA]]*(RESUMO!$F$55/RESUMO!$F$45),0)</f>
        <v>84.201982528114542</v>
      </c>
      <c r="AK95" s="453">
        <f>IFERROR(MateriaisCampo[[#This Row],[VENDA]]*(RESUMO!$F$58/RESUMO!$F$45),0)</f>
        <v>84.201982528114542</v>
      </c>
      <c r="AL95" s="454">
        <f>IF(MateriaisCampo[[#This Row],[FATURAMENTO]]="NORMAL",MateriaisCampo[[#This Row],[VENDA]],0)</f>
        <v>66.309061240890202</v>
      </c>
    </row>
    <row r="96" spans="1:38" x14ac:dyDescent="0.25">
      <c r="A96" s="113" t="s">
        <v>652</v>
      </c>
      <c r="B96" s="113" t="s">
        <v>652</v>
      </c>
      <c r="C96" s="113" t="s">
        <v>660</v>
      </c>
      <c r="D96" s="113" t="s">
        <v>674</v>
      </c>
      <c r="E96" s="434" t="s">
        <v>655</v>
      </c>
      <c r="F96" s="434">
        <f t="shared" si="0"/>
        <v>0</v>
      </c>
      <c r="G96" s="113"/>
      <c r="H96" s="435" t="s">
        <v>603</v>
      </c>
      <c r="I96" s="436">
        <f>I95</f>
        <v>1</v>
      </c>
      <c r="J96" s="437">
        <v>51.85</v>
      </c>
      <c r="K96" s="438">
        <v>0.18</v>
      </c>
      <c r="L96" s="438">
        <v>0</v>
      </c>
      <c r="M96" s="458"/>
      <c r="N96" s="445">
        <f>MateriaisCampo[[#This Row],[UNIT S/IPI S/DESC]]-MateriaisCampo[[#This Row],[UNIT S/IPI S/DESC]]*MateriaisCampo[[#This Row],[% DESC]]</f>
        <v>51.85</v>
      </c>
      <c r="O96" s="441" t="s">
        <v>295</v>
      </c>
      <c r="P96" s="442" t="s">
        <v>155</v>
      </c>
      <c r="Q96" s="438">
        <v>1.6500000000000001E-2</v>
      </c>
      <c r="R96" s="438">
        <v>7.5999999999999998E-2</v>
      </c>
      <c r="S96" s="443">
        <f>MateriaisCampo[[#This Row],[UNIT S/ IP + DIF ICMS]]*MateriaisCampo[[#This Row],[QUANTIDADE]]</f>
        <v>51.85</v>
      </c>
      <c r="T96" s="444">
        <f>MateriaisCampo[[#This Row],[TOTAL S/ IPI]]+(MateriaisCampo[[#This Row],[TOTAL S/ IPI]]*MateriaisCampo[[#This Row],[IPI %]])</f>
        <v>51.85</v>
      </c>
      <c r="U96" s="445">
        <f>IF(AND(MateriaisCampo[[#This Row],[ICMS %]]&lt;&gt;18%,MateriaisCampo[[#This Row],[ORIGEM]]&lt;&gt;"SÃO PAULO"),((18%-MateriaisCampo[[#This Row],[ICMS %]])*MateriaisCampo[[#This Row],[UNIT S/ IPI C/DESC]]),0)</f>
        <v>0</v>
      </c>
      <c r="V96" s="437">
        <f>MateriaisCampo[[#This Row],[UNIT S/ IPI C/DESC]]*MateriaisCampo[[#This Row],[ICMS %]]</f>
        <v>9.3330000000000002</v>
      </c>
      <c r="W96" s="437">
        <f>MateriaisCampo[[#This Row],[ICMS $]]*MateriaisCampo[[#This Row],[QUANTIDADE]]</f>
        <v>9.3330000000000002</v>
      </c>
      <c r="X96" s="446">
        <f>MateriaisCampo[[#This Row],[UNIT S/ IPI C/DESC]]+MateriaisCampo[[#This Row],[DIFERENCIAL ICMS]]</f>
        <v>51.85</v>
      </c>
      <c r="Y96" s="446">
        <f>(MateriaisCampo[[#This Row],[PIS]]*MateriaisCampo[[#This Row],[UNIT S/ IPI C/DESC]])/2</f>
        <v>0.42776250000000005</v>
      </c>
      <c r="Z96" s="446">
        <f>(MateriaisCampo[[#This Row],[COFINS]]*MateriaisCampo[[#This Row],[UNIT S/ IPI C/DESC]])/2</f>
        <v>1.9702999999999999</v>
      </c>
      <c r="AA96" s="445">
        <f>MateriaisCampo[[#This Row],[UNIT S/ IP + DIF ICMS]]+(MateriaisCampo[[#This Row],[UNIT S/ IP + DIF ICMS]]*MateriaisCampo[[#This Row],[IPI %]])</f>
        <v>51.85</v>
      </c>
      <c r="AB96" s="448">
        <f>_xlfn.XLOOKUP(MateriaisCampo[[#This Row],[FATURAMENTO]],BASE!$U$48:$U$50,BASE!$W$48:$W$50,0,0,1)</f>
        <v>0.79709863947533133</v>
      </c>
      <c r="AC96" s="510" t="str">
        <f>RESUMO!$E$56</f>
        <v>SIM</v>
      </c>
      <c r="AD96" s="449" t="str">
        <f>RESUMO!$E$57</f>
        <v>SIM</v>
      </c>
      <c r="AE9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40.118937500000001</v>
      </c>
      <c r="AF96" s="450">
        <f>MateriaisCampo[[#This Row],[UNIT CRED]]*MateriaisCampo[[#This Row],[QUANTIDADE]]</f>
        <v>40.118937500000001</v>
      </c>
      <c r="AG96" s="451">
        <f>MateriaisCampo[[#This Row],[TOT CRED]]</f>
        <v>40.118937500000001</v>
      </c>
      <c r="AH96" s="452">
        <f>IF(MateriaisCampo[[#This Row],[QUANTIDADE]]&lt;&gt;0,((MateriaisCampo[[#This Row],[TOT CUSTO]]/MateriaisCampo[[#This Row],[QUANTIDADE]])/MateriaisCampo[[#This Row],[MARK-UP]]),0)</f>
        <v>50.331208100426828</v>
      </c>
      <c r="AI96" s="453">
        <f>MateriaisCampo[[#This Row],[UNIT VENDA]]*MateriaisCampo[[#This Row],[QUANTIDADE]]</f>
        <v>50.331208100426828</v>
      </c>
      <c r="AJ96" s="453">
        <f>IFERROR(MateriaisCampo[[#This Row],[VENDA]]*(RESUMO!$F$55/RESUMO!$F$45),0)</f>
        <v>63.912645206891206</v>
      </c>
      <c r="AK96" s="453">
        <f>IFERROR(MateriaisCampo[[#This Row],[VENDA]]*(RESUMO!$F$58/RESUMO!$F$45),0)</f>
        <v>63.912645206891206</v>
      </c>
      <c r="AL96" s="454">
        <f>IF(MateriaisCampo[[#This Row],[FATURAMENTO]]="NORMAL",MateriaisCampo[[#This Row],[VENDA]],0)</f>
        <v>50.331208100426828</v>
      </c>
    </row>
    <row r="97" spans="1:38" ht="34.5" x14ac:dyDescent="0.25">
      <c r="A97" s="113" t="s">
        <v>652</v>
      </c>
      <c r="B97" s="113" t="s">
        <v>652</v>
      </c>
      <c r="C97" s="113" t="s">
        <v>670</v>
      </c>
      <c r="D97" s="113" t="s">
        <v>675</v>
      </c>
      <c r="E97" s="434" t="s">
        <v>655</v>
      </c>
      <c r="F97" s="434">
        <f t="shared" si="0"/>
        <v>0</v>
      </c>
      <c r="G97" s="113"/>
      <c r="H97" s="435" t="s">
        <v>603</v>
      </c>
      <c r="I97" s="436">
        <v>2</v>
      </c>
      <c r="J97" s="437">
        <v>85.47</v>
      </c>
      <c r="K97" s="438">
        <v>0.18</v>
      </c>
      <c r="L97" s="438">
        <v>0</v>
      </c>
      <c r="M97" s="458"/>
      <c r="N97" s="445">
        <f>MateriaisCampo[[#This Row],[UNIT S/IPI S/DESC]]-MateriaisCampo[[#This Row],[UNIT S/IPI S/DESC]]*MateriaisCampo[[#This Row],[% DESC]]</f>
        <v>85.47</v>
      </c>
      <c r="O97" s="441" t="s">
        <v>295</v>
      </c>
      <c r="P97" s="442" t="s">
        <v>155</v>
      </c>
      <c r="Q97" s="438">
        <v>1.6500000000000001E-2</v>
      </c>
      <c r="R97" s="438">
        <v>7.5999999999999998E-2</v>
      </c>
      <c r="S97" s="443">
        <f>MateriaisCampo[[#This Row],[UNIT S/ IP + DIF ICMS]]*MateriaisCampo[[#This Row],[QUANTIDADE]]</f>
        <v>170.94</v>
      </c>
      <c r="T97" s="444">
        <f>MateriaisCampo[[#This Row],[TOTAL S/ IPI]]+(MateriaisCampo[[#This Row],[TOTAL S/ IPI]]*MateriaisCampo[[#This Row],[IPI %]])</f>
        <v>170.94</v>
      </c>
      <c r="U97" s="445">
        <f>IF(AND(MateriaisCampo[[#This Row],[ICMS %]]&lt;&gt;18%,MateriaisCampo[[#This Row],[ORIGEM]]&lt;&gt;"SÃO PAULO"),((18%-MateriaisCampo[[#This Row],[ICMS %]])*MateriaisCampo[[#This Row],[UNIT S/ IPI C/DESC]]),0)</f>
        <v>0</v>
      </c>
      <c r="V97" s="437">
        <f>MateriaisCampo[[#This Row],[UNIT S/ IPI C/DESC]]*MateriaisCampo[[#This Row],[ICMS %]]</f>
        <v>15.384599999999999</v>
      </c>
      <c r="W97" s="437">
        <f>MateriaisCampo[[#This Row],[ICMS $]]*MateriaisCampo[[#This Row],[QUANTIDADE]]</f>
        <v>30.769199999999998</v>
      </c>
      <c r="X97" s="446">
        <f>MateriaisCampo[[#This Row],[UNIT S/ IPI C/DESC]]+MateriaisCampo[[#This Row],[DIFERENCIAL ICMS]]</f>
        <v>85.47</v>
      </c>
      <c r="Y97" s="446">
        <f>(MateriaisCampo[[#This Row],[PIS]]*MateriaisCampo[[#This Row],[UNIT S/ IPI C/DESC]])/2</f>
        <v>0.70512750000000002</v>
      </c>
      <c r="Z97" s="446">
        <f>(MateriaisCampo[[#This Row],[COFINS]]*MateriaisCampo[[#This Row],[UNIT S/ IPI C/DESC]])/2</f>
        <v>3.2478599999999997</v>
      </c>
      <c r="AA97" s="445">
        <f>MateriaisCampo[[#This Row],[UNIT S/ IP + DIF ICMS]]+(MateriaisCampo[[#This Row],[UNIT S/ IP + DIF ICMS]]*MateriaisCampo[[#This Row],[IPI %]])</f>
        <v>85.47</v>
      </c>
      <c r="AB97" s="448">
        <f>_xlfn.XLOOKUP(MateriaisCampo[[#This Row],[FATURAMENTO]],BASE!$U$48:$U$50,BASE!$W$48:$W$50,0,0,1)</f>
        <v>0.79709863947533133</v>
      </c>
      <c r="AC97" s="510" t="str">
        <f>RESUMO!$E$56</f>
        <v>SIM</v>
      </c>
      <c r="AD97" s="449" t="str">
        <f>RESUMO!$E$57</f>
        <v>SIM</v>
      </c>
      <c r="AE9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66.132412499999987</v>
      </c>
      <c r="AF97" s="450">
        <f>MateriaisCampo[[#This Row],[UNIT CRED]]*MateriaisCampo[[#This Row],[QUANTIDADE]]</f>
        <v>132.26482499999997</v>
      </c>
      <c r="AG97" s="451">
        <f>MateriaisCampo[[#This Row],[TOT CRED]]</f>
        <v>132.26482499999997</v>
      </c>
      <c r="AH97" s="452">
        <f>IF(MateriaisCampo[[#This Row],[QUANTIDADE]]&lt;&gt;0,((MateriaisCampo[[#This Row],[TOT CUSTO]]/MateriaisCampo[[#This Row],[QUANTIDADE]])/MateriaisCampo[[#This Row],[MARK-UP]]),0)</f>
        <v>82.966409958408491</v>
      </c>
      <c r="AI97" s="453">
        <f>MateriaisCampo[[#This Row],[UNIT VENDA]]*MateriaisCampo[[#This Row],[QUANTIDADE]]</f>
        <v>165.93281991681698</v>
      </c>
      <c r="AJ97" s="453">
        <f>IFERROR(MateriaisCampo[[#This Row],[VENDA]]*(RESUMO!$F$55/RESUMO!$F$45),0)</f>
        <v>210.70834275151361</v>
      </c>
      <c r="AK97" s="453">
        <f>IFERROR(MateriaisCampo[[#This Row],[VENDA]]*(RESUMO!$F$58/RESUMO!$F$45),0)</f>
        <v>210.70834275151361</v>
      </c>
      <c r="AL97" s="454">
        <f>IF(MateriaisCampo[[#This Row],[FATURAMENTO]]="NORMAL",MateriaisCampo[[#This Row],[VENDA]],0)</f>
        <v>165.93281991681698</v>
      </c>
    </row>
    <row r="98" spans="1:38" x14ac:dyDescent="0.25">
      <c r="A98" s="113" t="s">
        <v>652</v>
      </c>
      <c r="B98" s="113" t="s">
        <v>652</v>
      </c>
      <c r="C98" s="113" t="s">
        <v>661</v>
      </c>
      <c r="D98" s="113" t="s">
        <v>675</v>
      </c>
      <c r="E98" s="434" t="s">
        <v>655</v>
      </c>
      <c r="F98" s="434">
        <f t="shared" si="0"/>
        <v>0</v>
      </c>
      <c r="G98" s="113"/>
      <c r="H98" s="435" t="s">
        <v>603</v>
      </c>
      <c r="I98" s="436">
        <f>I97</f>
        <v>2</v>
      </c>
      <c r="J98" s="437">
        <v>91.22</v>
      </c>
      <c r="K98" s="438">
        <v>0.18</v>
      </c>
      <c r="L98" s="438">
        <v>0</v>
      </c>
      <c r="M98" s="458"/>
      <c r="N98" s="445">
        <f>MateriaisCampo[[#This Row],[UNIT S/IPI S/DESC]]-MateriaisCampo[[#This Row],[UNIT S/IPI S/DESC]]*MateriaisCampo[[#This Row],[% DESC]]</f>
        <v>91.22</v>
      </c>
      <c r="O98" s="441" t="s">
        <v>295</v>
      </c>
      <c r="P98" s="442" t="s">
        <v>155</v>
      </c>
      <c r="Q98" s="438">
        <v>1.6500000000000001E-2</v>
      </c>
      <c r="R98" s="438">
        <v>7.5999999999999998E-2</v>
      </c>
      <c r="S98" s="443">
        <f>MateriaisCampo[[#This Row],[UNIT S/ IP + DIF ICMS]]*MateriaisCampo[[#This Row],[QUANTIDADE]]</f>
        <v>182.44</v>
      </c>
      <c r="T98" s="444">
        <f>MateriaisCampo[[#This Row],[TOTAL S/ IPI]]+(MateriaisCampo[[#This Row],[TOTAL S/ IPI]]*MateriaisCampo[[#This Row],[IPI %]])</f>
        <v>182.44</v>
      </c>
      <c r="U98" s="445">
        <f>IF(AND(MateriaisCampo[[#This Row],[ICMS %]]&lt;&gt;18%,MateriaisCampo[[#This Row],[ORIGEM]]&lt;&gt;"SÃO PAULO"),((18%-MateriaisCampo[[#This Row],[ICMS %]])*MateriaisCampo[[#This Row],[UNIT S/ IPI C/DESC]]),0)</f>
        <v>0</v>
      </c>
      <c r="V98" s="437">
        <f>MateriaisCampo[[#This Row],[UNIT S/ IPI C/DESC]]*MateriaisCampo[[#This Row],[ICMS %]]</f>
        <v>16.419599999999999</v>
      </c>
      <c r="W98" s="437">
        <f>MateriaisCampo[[#This Row],[ICMS $]]*MateriaisCampo[[#This Row],[QUANTIDADE]]</f>
        <v>32.839199999999998</v>
      </c>
      <c r="X98" s="446">
        <f>MateriaisCampo[[#This Row],[UNIT S/ IPI C/DESC]]+MateriaisCampo[[#This Row],[DIFERENCIAL ICMS]]</f>
        <v>91.22</v>
      </c>
      <c r="Y98" s="446">
        <f>(MateriaisCampo[[#This Row],[PIS]]*MateriaisCampo[[#This Row],[UNIT S/ IPI C/DESC]])/2</f>
        <v>0.75256500000000004</v>
      </c>
      <c r="Z98" s="446">
        <f>(MateriaisCampo[[#This Row],[COFINS]]*MateriaisCampo[[#This Row],[UNIT S/ IPI C/DESC]])/2</f>
        <v>3.4663599999999999</v>
      </c>
      <c r="AA98" s="445">
        <f>MateriaisCampo[[#This Row],[UNIT S/ IP + DIF ICMS]]+(MateriaisCampo[[#This Row],[UNIT S/ IP + DIF ICMS]]*MateriaisCampo[[#This Row],[IPI %]])</f>
        <v>91.22</v>
      </c>
      <c r="AB98" s="448">
        <f>_xlfn.XLOOKUP(MateriaisCampo[[#This Row],[FATURAMENTO]],BASE!$U$48:$U$50,BASE!$W$48:$W$50,0,0,1)</f>
        <v>0.79709863947533133</v>
      </c>
      <c r="AC98" s="510" t="str">
        <f>RESUMO!$E$56</f>
        <v>SIM</v>
      </c>
      <c r="AD98" s="449" t="str">
        <f>RESUMO!$E$57</f>
        <v>SIM</v>
      </c>
      <c r="AE9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70.581474999999998</v>
      </c>
      <c r="AF98" s="450">
        <f>MateriaisCampo[[#This Row],[UNIT CRED]]*MateriaisCampo[[#This Row],[QUANTIDADE]]</f>
        <v>141.16295</v>
      </c>
      <c r="AG98" s="451">
        <f>MateriaisCampo[[#This Row],[TOT CRED]]</f>
        <v>141.16295</v>
      </c>
      <c r="AH98" s="452">
        <f>IF(MateriaisCampo[[#This Row],[QUANTIDADE]]&lt;&gt;0,((MateriaisCampo[[#This Row],[TOT CUSTO]]/MateriaisCampo[[#This Row],[QUANTIDADE]])/MateriaisCampo[[#This Row],[MARK-UP]]),0)</f>
        <v>88.547980769931243</v>
      </c>
      <c r="AI98" s="453">
        <f>MateriaisCampo[[#This Row],[UNIT VENDA]]*MateriaisCampo[[#This Row],[QUANTIDADE]]</f>
        <v>177.09596153986249</v>
      </c>
      <c r="AJ98" s="453">
        <f>IFERROR(MateriaisCampo[[#This Row],[VENDA]]*(RESUMO!$F$55/RESUMO!$F$45),0)</f>
        <v>224.88376068553964</v>
      </c>
      <c r="AK98" s="453">
        <f>IFERROR(MateriaisCampo[[#This Row],[VENDA]]*(RESUMO!$F$58/RESUMO!$F$45),0)</f>
        <v>224.88376068553964</v>
      </c>
      <c r="AL98" s="454">
        <f>IF(MateriaisCampo[[#This Row],[FATURAMENTO]]="NORMAL",MateriaisCampo[[#This Row],[VENDA]],0)</f>
        <v>177.09596153986249</v>
      </c>
    </row>
    <row r="99" spans="1:38" ht="34.5" x14ac:dyDescent="0.25">
      <c r="A99" s="113" t="s">
        <v>652</v>
      </c>
      <c r="B99" s="113" t="s">
        <v>652</v>
      </c>
      <c r="C99" s="113" t="s">
        <v>671</v>
      </c>
      <c r="D99" s="113" t="s">
        <v>674</v>
      </c>
      <c r="E99" s="434" t="s">
        <v>655</v>
      </c>
      <c r="F99" s="434">
        <f t="shared" si="0"/>
        <v>0</v>
      </c>
      <c r="G99" s="113"/>
      <c r="H99" s="435" t="s">
        <v>603</v>
      </c>
      <c r="I99" s="436">
        <v>1</v>
      </c>
      <c r="J99" s="437">
        <v>68.31</v>
      </c>
      <c r="K99" s="438">
        <v>0.18</v>
      </c>
      <c r="L99" s="438">
        <v>0</v>
      </c>
      <c r="M99" s="458"/>
      <c r="N99" s="445">
        <f>MateriaisCampo[[#This Row],[UNIT S/IPI S/DESC]]-MateriaisCampo[[#This Row],[UNIT S/IPI S/DESC]]*MateriaisCampo[[#This Row],[% DESC]]</f>
        <v>68.31</v>
      </c>
      <c r="O99" s="441" t="s">
        <v>295</v>
      </c>
      <c r="P99" s="442" t="s">
        <v>155</v>
      </c>
      <c r="Q99" s="438">
        <v>1.6500000000000001E-2</v>
      </c>
      <c r="R99" s="438">
        <v>7.5999999999999998E-2</v>
      </c>
      <c r="S99" s="443">
        <f>MateriaisCampo[[#This Row],[UNIT S/ IP + DIF ICMS]]*MateriaisCampo[[#This Row],[QUANTIDADE]]</f>
        <v>68.31</v>
      </c>
      <c r="T99" s="444">
        <f>MateriaisCampo[[#This Row],[TOTAL S/ IPI]]+(MateriaisCampo[[#This Row],[TOTAL S/ IPI]]*MateriaisCampo[[#This Row],[IPI %]])</f>
        <v>68.31</v>
      </c>
      <c r="U99" s="445">
        <f>IF(AND(MateriaisCampo[[#This Row],[ICMS %]]&lt;&gt;18%,MateriaisCampo[[#This Row],[ORIGEM]]&lt;&gt;"SÃO PAULO"),((18%-MateriaisCampo[[#This Row],[ICMS %]])*MateriaisCampo[[#This Row],[UNIT S/ IPI C/DESC]]),0)</f>
        <v>0</v>
      </c>
      <c r="V99" s="437">
        <f>MateriaisCampo[[#This Row],[UNIT S/ IPI C/DESC]]*MateriaisCampo[[#This Row],[ICMS %]]</f>
        <v>12.2958</v>
      </c>
      <c r="W99" s="437">
        <f>MateriaisCampo[[#This Row],[ICMS $]]*MateriaisCampo[[#This Row],[QUANTIDADE]]</f>
        <v>12.2958</v>
      </c>
      <c r="X99" s="446">
        <f>MateriaisCampo[[#This Row],[UNIT S/ IPI C/DESC]]+MateriaisCampo[[#This Row],[DIFERENCIAL ICMS]]</f>
        <v>68.31</v>
      </c>
      <c r="Y99" s="446">
        <f>(MateriaisCampo[[#This Row],[PIS]]*MateriaisCampo[[#This Row],[UNIT S/ IPI C/DESC]])/2</f>
        <v>0.56355750000000004</v>
      </c>
      <c r="Z99" s="446">
        <f>(MateriaisCampo[[#This Row],[COFINS]]*MateriaisCampo[[#This Row],[UNIT S/ IPI C/DESC]])/2</f>
        <v>2.59578</v>
      </c>
      <c r="AA99" s="445">
        <f>MateriaisCampo[[#This Row],[UNIT S/ IP + DIF ICMS]]+(MateriaisCampo[[#This Row],[UNIT S/ IP + DIF ICMS]]*MateriaisCampo[[#This Row],[IPI %]])</f>
        <v>68.31</v>
      </c>
      <c r="AB99" s="448">
        <f>_xlfn.XLOOKUP(MateriaisCampo[[#This Row],[FATURAMENTO]],BASE!$U$48:$U$50,BASE!$W$48:$W$50,0,0,1)</f>
        <v>0.79709863947533133</v>
      </c>
      <c r="AC99" s="510" t="str">
        <f>RESUMO!$E$56</f>
        <v>SIM</v>
      </c>
      <c r="AD99" s="449" t="str">
        <f>RESUMO!$E$57</f>
        <v>SIM</v>
      </c>
      <c r="AE9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52.854862500000003</v>
      </c>
      <c r="AF99" s="450">
        <f>MateriaisCampo[[#This Row],[UNIT CRED]]*MateriaisCampo[[#This Row],[QUANTIDADE]]</f>
        <v>52.854862500000003</v>
      </c>
      <c r="AG99" s="451">
        <f>MateriaisCampo[[#This Row],[TOT CRED]]</f>
        <v>52.854862500000003</v>
      </c>
      <c r="AH99" s="452">
        <f>IF(MateriaisCampo[[#This Row],[QUANTIDADE]]&lt;&gt;0,((MateriaisCampo[[#This Row],[TOT CUSTO]]/MateriaisCampo[[#This Row],[QUANTIDADE]])/MateriaisCampo[[#This Row],[MARK-UP]]),0)</f>
        <v>66.309061240890202</v>
      </c>
      <c r="AI99" s="453">
        <f>MateriaisCampo[[#This Row],[UNIT VENDA]]*MateriaisCampo[[#This Row],[QUANTIDADE]]</f>
        <v>66.309061240890202</v>
      </c>
      <c r="AJ99" s="453">
        <f>IFERROR(MateriaisCampo[[#This Row],[VENDA]]*(RESUMO!$F$55/RESUMO!$F$45),0)</f>
        <v>84.201982528114542</v>
      </c>
      <c r="AK99" s="453">
        <f>IFERROR(MateriaisCampo[[#This Row],[VENDA]]*(RESUMO!$F$58/RESUMO!$F$45),0)</f>
        <v>84.201982528114542</v>
      </c>
      <c r="AL99" s="454">
        <f>IF(MateriaisCampo[[#This Row],[FATURAMENTO]]="NORMAL",MateriaisCampo[[#This Row],[VENDA]],0)</f>
        <v>66.309061240890202</v>
      </c>
    </row>
    <row r="100" spans="1:38" x14ac:dyDescent="0.25">
      <c r="A100" s="113" t="s">
        <v>652</v>
      </c>
      <c r="B100" s="113" t="s">
        <v>652</v>
      </c>
      <c r="C100" s="113" t="s">
        <v>662</v>
      </c>
      <c r="D100" s="113" t="s">
        <v>674</v>
      </c>
      <c r="E100" s="434" t="s">
        <v>655</v>
      </c>
      <c r="F100" s="434">
        <f t="shared" si="0"/>
        <v>0</v>
      </c>
      <c r="G100" s="113"/>
      <c r="H100" s="435" t="s">
        <v>603</v>
      </c>
      <c r="I100" s="436">
        <f>I99</f>
        <v>1</v>
      </c>
      <c r="J100" s="437">
        <v>51.85</v>
      </c>
      <c r="K100" s="438">
        <v>0.18</v>
      </c>
      <c r="L100" s="438">
        <v>0</v>
      </c>
      <c r="M100" s="458"/>
      <c r="N100" s="445">
        <f>MateriaisCampo[[#This Row],[UNIT S/IPI S/DESC]]-MateriaisCampo[[#This Row],[UNIT S/IPI S/DESC]]*MateriaisCampo[[#This Row],[% DESC]]</f>
        <v>51.85</v>
      </c>
      <c r="O100" s="441" t="s">
        <v>295</v>
      </c>
      <c r="P100" s="442" t="s">
        <v>155</v>
      </c>
      <c r="Q100" s="438">
        <v>1.6500000000000001E-2</v>
      </c>
      <c r="R100" s="438">
        <v>7.5999999999999998E-2</v>
      </c>
      <c r="S100" s="443">
        <f>MateriaisCampo[[#This Row],[UNIT S/ IP + DIF ICMS]]*MateriaisCampo[[#This Row],[QUANTIDADE]]</f>
        <v>51.85</v>
      </c>
      <c r="T100" s="444">
        <f>MateriaisCampo[[#This Row],[TOTAL S/ IPI]]+(MateriaisCampo[[#This Row],[TOTAL S/ IPI]]*MateriaisCampo[[#This Row],[IPI %]])</f>
        <v>51.85</v>
      </c>
      <c r="U100" s="445">
        <f>IF(AND(MateriaisCampo[[#This Row],[ICMS %]]&lt;&gt;18%,MateriaisCampo[[#This Row],[ORIGEM]]&lt;&gt;"SÃO PAULO"),((18%-MateriaisCampo[[#This Row],[ICMS %]])*MateriaisCampo[[#This Row],[UNIT S/ IPI C/DESC]]),0)</f>
        <v>0</v>
      </c>
      <c r="V100" s="437">
        <f>MateriaisCampo[[#This Row],[UNIT S/ IPI C/DESC]]*MateriaisCampo[[#This Row],[ICMS %]]</f>
        <v>9.3330000000000002</v>
      </c>
      <c r="W100" s="437">
        <f>MateriaisCampo[[#This Row],[ICMS $]]*MateriaisCampo[[#This Row],[QUANTIDADE]]</f>
        <v>9.3330000000000002</v>
      </c>
      <c r="X100" s="446">
        <f>MateriaisCampo[[#This Row],[UNIT S/ IPI C/DESC]]+MateriaisCampo[[#This Row],[DIFERENCIAL ICMS]]</f>
        <v>51.85</v>
      </c>
      <c r="Y100" s="446">
        <f>(MateriaisCampo[[#This Row],[PIS]]*MateriaisCampo[[#This Row],[UNIT S/ IPI C/DESC]])/2</f>
        <v>0.42776250000000005</v>
      </c>
      <c r="Z100" s="446">
        <f>(MateriaisCampo[[#This Row],[COFINS]]*MateriaisCampo[[#This Row],[UNIT S/ IPI C/DESC]])/2</f>
        <v>1.9702999999999999</v>
      </c>
      <c r="AA100" s="445">
        <f>MateriaisCampo[[#This Row],[UNIT S/ IP + DIF ICMS]]+(MateriaisCampo[[#This Row],[UNIT S/ IP + DIF ICMS]]*MateriaisCampo[[#This Row],[IPI %]])</f>
        <v>51.85</v>
      </c>
      <c r="AB100" s="448">
        <f>_xlfn.XLOOKUP(MateriaisCampo[[#This Row],[FATURAMENTO]],BASE!$U$48:$U$50,BASE!$W$48:$W$50,0,0,1)</f>
        <v>0.79709863947533133</v>
      </c>
      <c r="AC100" s="510" t="str">
        <f>RESUMO!$E$56</f>
        <v>SIM</v>
      </c>
      <c r="AD100" s="449" t="str">
        <f>RESUMO!$E$57</f>
        <v>SIM</v>
      </c>
      <c r="AE10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40.118937500000001</v>
      </c>
      <c r="AF100" s="450">
        <f>MateriaisCampo[[#This Row],[UNIT CRED]]*MateriaisCampo[[#This Row],[QUANTIDADE]]</f>
        <v>40.118937500000001</v>
      </c>
      <c r="AG100" s="451">
        <f>MateriaisCampo[[#This Row],[TOT CRED]]</f>
        <v>40.118937500000001</v>
      </c>
      <c r="AH100" s="452">
        <f>IF(MateriaisCampo[[#This Row],[QUANTIDADE]]&lt;&gt;0,((MateriaisCampo[[#This Row],[TOT CUSTO]]/MateriaisCampo[[#This Row],[QUANTIDADE]])/MateriaisCampo[[#This Row],[MARK-UP]]),0)</f>
        <v>50.331208100426828</v>
      </c>
      <c r="AI100" s="453">
        <f>MateriaisCampo[[#This Row],[UNIT VENDA]]*MateriaisCampo[[#This Row],[QUANTIDADE]]</f>
        <v>50.331208100426828</v>
      </c>
      <c r="AJ100" s="453">
        <f>IFERROR(MateriaisCampo[[#This Row],[VENDA]]*(RESUMO!$F$55/RESUMO!$F$45),0)</f>
        <v>63.912645206891206</v>
      </c>
      <c r="AK100" s="453">
        <f>IFERROR(MateriaisCampo[[#This Row],[VENDA]]*(RESUMO!$F$58/RESUMO!$F$45),0)</f>
        <v>63.912645206891206</v>
      </c>
      <c r="AL100" s="454">
        <f>IF(MateriaisCampo[[#This Row],[FATURAMENTO]]="NORMAL",MateriaisCampo[[#This Row],[VENDA]],0)</f>
        <v>50.331208100426828</v>
      </c>
    </row>
    <row r="101" spans="1:38" ht="34.5" x14ac:dyDescent="0.25">
      <c r="A101" s="113" t="s">
        <v>652</v>
      </c>
      <c r="B101" s="113" t="s">
        <v>652</v>
      </c>
      <c r="C101" s="113" t="s">
        <v>672</v>
      </c>
      <c r="D101" s="113" t="s">
        <v>675</v>
      </c>
      <c r="E101" s="434" t="s">
        <v>655</v>
      </c>
      <c r="F101" s="434">
        <f t="shared" si="0"/>
        <v>0</v>
      </c>
      <c r="G101" s="113"/>
      <c r="H101" s="435" t="s">
        <v>603</v>
      </c>
      <c r="I101" s="436">
        <v>2</v>
      </c>
      <c r="J101" s="437">
        <v>85.47</v>
      </c>
      <c r="K101" s="438">
        <v>0.18</v>
      </c>
      <c r="L101" s="438">
        <v>0</v>
      </c>
      <c r="M101" s="458"/>
      <c r="N101" s="445">
        <f>MateriaisCampo[[#This Row],[UNIT S/IPI S/DESC]]-MateriaisCampo[[#This Row],[UNIT S/IPI S/DESC]]*MateriaisCampo[[#This Row],[% DESC]]</f>
        <v>85.47</v>
      </c>
      <c r="O101" s="441" t="s">
        <v>295</v>
      </c>
      <c r="P101" s="442" t="s">
        <v>155</v>
      </c>
      <c r="Q101" s="438">
        <v>1.6500000000000001E-2</v>
      </c>
      <c r="R101" s="438">
        <v>7.5999999999999998E-2</v>
      </c>
      <c r="S101" s="443">
        <f>MateriaisCampo[[#This Row],[UNIT S/ IP + DIF ICMS]]*MateriaisCampo[[#This Row],[QUANTIDADE]]</f>
        <v>170.94</v>
      </c>
      <c r="T101" s="444">
        <f>MateriaisCampo[[#This Row],[TOTAL S/ IPI]]+(MateriaisCampo[[#This Row],[TOTAL S/ IPI]]*MateriaisCampo[[#This Row],[IPI %]])</f>
        <v>170.94</v>
      </c>
      <c r="U101" s="445">
        <f>IF(AND(MateriaisCampo[[#This Row],[ICMS %]]&lt;&gt;18%,MateriaisCampo[[#This Row],[ORIGEM]]&lt;&gt;"SÃO PAULO"),((18%-MateriaisCampo[[#This Row],[ICMS %]])*MateriaisCampo[[#This Row],[UNIT S/ IPI C/DESC]]),0)</f>
        <v>0</v>
      </c>
      <c r="V101" s="437">
        <f>MateriaisCampo[[#This Row],[UNIT S/ IPI C/DESC]]*MateriaisCampo[[#This Row],[ICMS %]]</f>
        <v>15.384599999999999</v>
      </c>
      <c r="W101" s="437">
        <f>MateriaisCampo[[#This Row],[ICMS $]]*MateriaisCampo[[#This Row],[QUANTIDADE]]</f>
        <v>30.769199999999998</v>
      </c>
      <c r="X101" s="446">
        <f>MateriaisCampo[[#This Row],[UNIT S/ IPI C/DESC]]+MateriaisCampo[[#This Row],[DIFERENCIAL ICMS]]</f>
        <v>85.47</v>
      </c>
      <c r="Y101" s="446">
        <f>(MateriaisCampo[[#This Row],[PIS]]*MateriaisCampo[[#This Row],[UNIT S/ IPI C/DESC]])/2</f>
        <v>0.70512750000000002</v>
      </c>
      <c r="Z101" s="446">
        <f>(MateriaisCampo[[#This Row],[COFINS]]*MateriaisCampo[[#This Row],[UNIT S/ IPI C/DESC]])/2</f>
        <v>3.2478599999999997</v>
      </c>
      <c r="AA101" s="445">
        <f>MateriaisCampo[[#This Row],[UNIT S/ IP + DIF ICMS]]+(MateriaisCampo[[#This Row],[UNIT S/ IP + DIF ICMS]]*MateriaisCampo[[#This Row],[IPI %]])</f>
        <v>85.47</v>
      </c>
      <c r="AB101" s="448">
        <f>_xlfn.XLOOKUP(MateriaisCampo[[#This Row],[FATURAMENTO]],BASE!$U$48:$U$50,BASE!$W$48:$W$50,0,0,1)</f>
        <v>0.79709863947533133</v>
      </c>
      <c r="AC101" s="510" t="str">
        <f>RESUMO!$E$56</f>
        <v>SIM</v>
      </c>
      <c r="AD101" s="449" t="str">
        <f>RESUMO!$E$57</f>
        <v>SIM</v>
      </c>
      <c r="AE10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66.132412499999987</v>
      </c>
      <c r="AF101" s="450">
        <f>MateriaisCampo[[#This Row],[UNIT CRED]]*MateriaisCampo[[#This Row],[QUANTIDADE]]</f>
        <v>132.26482499999997</v>
      </c>
      <c r="AG101" s="451">
        <f>MateriaisCampo[[#This Row],[TOT CRED]]</f>
        <v>132.26482499999997</v>
      </c>
      <c r="AH101" s="452">
        <f>IF(MateriaisCampo[[#This Row],[QUANTIDADE]]&lt;&gt;0,((MateriaisCampo[[#This Row],[TOT CUSTO]]/MateriaisCampo[[#This Row],[QUANTIDADE]])/MateriaisCampo[[#This Row],[MARK-UP]]),0)</f>
        <v>82.966409958408491</v>
      </c>
      <c r="AI101" s="453">
        <f>MateriaisCampo[[#This Row],[UNIT VENDA]]*MateriaisCampo[[#This Row],[QUANTIDADE]]</f>
        <v>165.93281991681698</v>
      </c>
      <c r="AJ101" s="453">
        <f>IFERROR(MateriaisCampo[[#This Row],[VENDA]]*(RESUMO!$F$55/RESUMO!$F$45),0)</f>
        <v>210.70834275151361</v>
      </c>
      <c r="AK101" s="453">
        <f>IFERROR(MateriaisCampo[[#This Row],[VENDA]]*(RESUMO!$F$58/RESUMO!$F$45),0)</f>
        <v>210.70834275151361</v>
      </c>
      <c r="AL101" s="454">
        <f>IF(MateriaisCampo[[#This Row],[FATURAMENTO]]="NORMAL",MateriaisCampo[[#This Row],[VENDA]],0)</f>
        <v>165.93281991681698</v>
      </c>
    </row>
    <row r="102" spans="1:38" x14ac:dyDescent="0.25">
      <c r="A102" s="113" t="s">
        <v>652</v>
      </c>
      <c r="B102" s="113" t="s">
        <v>652</v>
      </c>
      <c r="C102" s="113" t="s">
        <v>663</v>
      </c>
      <c r="D102" s="113" t="s">
        <v>675</v>
      </c>
      <c r="E102" s="434" t="s">
        <v>655</v>
      </c>
      <c r="F102" s="434">
        <f t="shared" si="0"/>
        <v>0</v>
      </c>
      <c r="G102" s="113"/>
      <c r="H102" s="435" t="s">
        <v>603</v>
      </c>
      <c r="I102" s="436">
        <f>I101</f>
        <v>2</v>
      </c>
      <c r="J102" s="437">
        <v>91.22</v>
      </c>
      <c r="K102" s="438">
        <v>0.18</v>
      </c>
      <c r="L102" s="438">
        <v>0</v>
      </c>
      <c r="M102" s="458"/>
      <c r="N102" s="445">
        <f>MateriaisCampo[[#This Row],[UNIT S/IPI S/DESC]]-MateriaisCampo[[#This Row],[UNIT S/IPI S/DESC]]*MateriaisCampo[[#This Row],[% DESC]]</f>
        <v>91.22</v>
      </c>
      <c r="O102" s="441" t="s">
        <v>295</v>
      </c>
      <c r="P102" s="442" t="s">
        <v>155</v>
      </c>
      <c r="Q102" s="438">
        <v>1.6500000000000001E-2</v>
      </c>
      <c r="R102" s="438">
        <v>7.5999999999999998E-2</v>
      </c>
      <c r="S102" s="443">
        <f>MateriaisCampo[[#This Row],[UNIT S/ IP + DIF ICMS]]*MateriaisCampo[[#This Row],[QUANTIDADE]]</f>
        <v>182.44</v>
      </c>
      <c r="T102" s="444">
        <f>MateriaisCampo[[#This Row],[TOTAL S/ IPI]]+(MateriaisCampo[[#This Row],[TOTAL S/ IPI]]*MateriaisCampo[[#This Row],[IPI %]])</f>
        <v>182.44</v>
      </c>
      <c r="U102" s="445">
        <f>IF(AND(MateriaisCampo[[#This Row],[ICMS %]]&lt;&gt;18%,MateriaisCampo[[#This Row],[ORIGEM]]&lt;&gt;"SÃO PAULO"),((18%-MateriaisCampo[[#This Row],[ICMS %]])*MateriaisCampo[[#This Row],[UNIT S/ IPI C/DESC]]),0)</f>
        <v>0</v>
      </c>
      <c r="V102" s="437">
        <f>MateriaisCampo[[#This Row],[UNIT S/ IPI C/DESC]]*MateriaisCampo[[#This Row],[ICMS %]]</f>
        <v>16.419599999999999</v>
      </c>
      <c r="W102" s="437">
        <f>MateriaisCampo[[#This Row],[ICMS $]]*MateriaisCampo[[#This Row],[QUANTIDADE]]</f>
        <v>32.839199999999998</v>
      </c>
      <c r="X102" s="446">
        <f>MateriaisCampo[[#This Row],[UNIT S/ IPI C/DESC]]+MateriaisCampo[[#This Row],[DIFERENCIAL ICMS]]</f>
        <v>91.22</v>
      </c>
      <c r="Y102" s="446">
        <f>(MateriaisCampo[[#This Row],[PIS]]*MateriaisCampo[[#This Row],[UNIT S/ IPI C/DESC]])/2</f>
        <v>0.75256500000000004</v>
      </c>
      <c r="Z102" s="446">
        <f>(MateriaisCampo[[#This Row],[COFINS]]*MateriaisCampo[[#This Row],[UNIT S/ IPI C/DESC]])/2</f>
        <v>3.4663599999999999</v>
      </c>
      <c r="AA102" s="445">
        <f>MateriaisCampo[[#This Row],[UNIT S/ IP + DIF ICMS]]+(MateriaisCampo[[#This Row],[UNIT S/ IP + DIF ICMS]]*MateriaisCampo[[#This Row],[IPI %]])</f>
        <v>91.22</v>
      </c>
      <c r="AB102" s="448">
        <f>_xlfn.XLOOKUP(MateriaisCampo[[#This Row],[FATURAMENTO]],BASE!$U$48:$U$50,BASE!$W$48:$W$50,0,0,1)</f>
        <v>0.79709863947533133</v>
      </c>
      <c r="AC102" s="510" t="str">
        <f>RESUMO!$E$56</f>
        <v>SIM</v>
      </c>
      <c r="AD102" s="449" t="str">
        <f>RESUMO!$E$57</f>
        <v>SIM</v>
      </c>
      <c r="AE10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70.581474999999998</v>
      </c>
      <c r="AF102" s="450">
        <f>MateriaisCampo[[#This Row],[UNIT CRED]]*MateriaisCampo[[#This Row],[QUANTIDADE]]</f>
        <v>141.16295</v>
      </c>
      <c r="AG102" s="451">
        <f>MateriaisCampo[[#This Row],[TOT CRED]]</f>
        <v>141.16295</v>
      </c>
      <c r="AH102" s="452">
        <f>IF(MateriaisCampo[[#This Row],[QUANTIDADE]]&lt;&gt;0,((MateriaisCampo[[#This Row],[TOT CUSTO]]/MateriaisCampo[[#This Row],[QUANTIDADE]])/MateriaisCampo[[#This Row],[MARK-UP]]),0)</f>
        <v>88.547980769931243</v>
      </c>
      <c r="AI102" s="453">
        <f>MateriaisCampo[[#This Row],[UNIT VENDA]]*MateriaisCampo[[#This Row],[QUANTIDADE]]</f>
        <v>177.09596153986249</v>
      </c>
      <c r="AJ102" s="453">
        <f>IFERROR(MateriaisCampo[[#This Row],[VENDA]]*(RESUMO!$F$55/RESUMO!$F$45),0)</f>
        <v>224.88376068553964</v>
      </c>
      <c r="AK102" s="453">
        <f>IFERROR(MateriaisCampo[[#This Row],[VENDA]]*(RESUMO!$F$58/RESUMO!$F$45),0)</f>
        <v>224.88376068553964</v>
      </c>
      <c r="AL102" s="454">
        <f>IF(MateriaisCampo[[#This Row],[FATURAMENTO]]="NORMAL",MateriaisCampo[[#This Row],[VENDA]],0)</f>
        <v>177.09596153986249</v>
      </c>
    </row>
    <row r="103" spans="1:38" ht="34.5" x14ac:dyDescent="0.25">
      <c r="A103" s="113" t="s">
        <v>652</v>
      </c>
      <c r="B103" s="113" t="s">
        <v>652</v>
      </c>
      <c r="C103" s="113" t="s">
        <v>664</v>
      </c>
      <c r="D103" s="113" t="s">
        <v>674</v>
      </c>
      <c r="E103" s="434" t="s">
        <v>655</v>
      </c>
      <c r="F103" s="434">
        <f t="shared" si="0"/>
        <v>0</v>
      </c>
      <c r="G103" s="113"/>
      <c r="H103" s="435" t="s">
        <v>603</v>
      </c>
      <c r="I103" s="436">
        <v>1</v>
      </c>
      <c r="J103" s="437">
        <f>(J$87/J$89)*J105</f>
        <v>178.04238862431185</v>
      </c>
      <c r="K103" s="438">
        <v>0.18</v>
      </c>
      <c r="L103" s="438">
        <v>0</v>
      </c>
      <c r="M103" s="458"/>
      <c r="N103" s="445">
        <f>MateriaisCampo[[#This Row],[UNIT S/IPI S/DESC]]-MateriaisCampo[[#This Row],[UNIT S/IPI S/DESC]]*MateriaisCampo[[#This Row],[% DESC]]</f>
        <v>178.04238862431185</v>
      </c>
      <c r="O103" s="441" t="s">
        <v>295</v>
      </c>
      <c r="P103" s="442" t="s">
        <v>155</v>
      </c>
      <c r="Q103" s="438">
        <v>1.6500000000000001E-2</v>
      </c>
      <c r="R103" s="438">
        <v>7.5999999999999998E-2</v>
      </c>
      <c r="S103" s="443">
        <f>MateriaisCampo[[#This Row],[UNIT S/ IP + DIF ICMS]]*MateriaisCampo[[#This Row],[QUANTIDADE]]</f>
        <v>178.04238862431185</v>
      </c>
      <c r="T103" s="444">
        <f>MateriaisCampo[[#This Row],[TOTAL S/ IPI]]+(MateriaisCampo[[#This Row],[TOTAL S/ IPI]]*MateriaisCampo[[#This Row],[IPI %]])</f>
        <v>178.04238862431185</v>
      </c>
      <c r="U103" s="445">
        <f>IF(AND(MateriaisCampo[[#This Row],[ICMS %]]&lt;&gt;18%,MateriaisCampo[[#This Row],[ORIGEM]]&lt;&gt;"SÃO PAULO"),((18%-MateriaisCampo[[#This Row],[ICMS %]])*MateriaisCampo[[#This Row],[UNIT S/ IPI C/DESC]]),0)</f>
        <v>0</v>
      </c>
      <c r="V103" s="437">
        <f>MateriaisCampo[[#This Row],[UNIT S/ IPI C/DESC]]*MateriaisCampo[[#This Row],[ICMS %]]</f>
        <v>32.047629952376134</v>
      </c>
      <c r="W103" s="437">
        <f>MateriaisCampo[[#This Row],[ICMS $]]*MateriaisCampo[[#This Row],[QUANTIDADE]]</f>
        <v>32.047629952376134</v>
      </c>
      <c r="X103" s="446">
        <f>MateriaisCampo[[#This Row],[UNIT S/ IPI C/DESC]]+MateriaisCampo[[#This Row],[DIFERENCIAL ICMS]]</f>
        <v>178.04238862431185</v>
      </c>
      <c r="Y103" s="446">
        <f>(MateriaisCampo[[#This Row],[PIS]]*MateriaisCampo[[#This Row],[UNIT S/ IPI C/DESC]])/2</f>
        <v>1.468849706150573</v>
      </c>
      <c r="Z103" s="446">
        <f>(MateriaisCampo[[#This Row],[COFINS]]*MateriaisCampo[[#This Row],[UNIT S/ IPI C/DESC]])/2</f>
        <v>6.7656107677238504</v>
      </c>
      <c r="AA103" s="445">
        <f>MateriaisCampo[[#This Row],[UNIT S/ IP + DIF ICMS]]+(MateriaisCampo[[#This Row],[UNIT S/ IP + DIF ICMS]]*MateriaisCampo[[#This Row],[IPI %]])</f>
        <v>178.04238862431185</v>
      </c>
      <c r="AB103" s="448">
        <f>_xlfn.XLOOKUP(MateriaisCampo[[#This Row],[FATURAMENTO]],BASE!$U$48:$U$50,BASE!$W$48:$W$50,0,0,1)</f>
        <v>0.79709863947533133</v>
      </c>
      <c r="AC103" s="510" t="str">
        <f>RESUMO!$E$56</f>
        <v>SIM</v>
      </c>
      <c r="AD103" s="449" t="str">
        <f>RESUMO!$E$57</f>
        <v>SIM</v>
      </c>
      <c r="AE10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137.76029819806132</v>
      </c>
      <c r="AF103" s="450">
        <f>MateriaisCampo[[#This Row],[UNIT CRED]]*MateriaisCampo[[#This Row],[QUANTIDADE]]</f>
        <v>137.76029819806132</v>
      </c>
      <c r="AG103" s="451">
        <f>MateriaisCampo[[#This Row],[TOT CRED]]</f>
        <v>137.76029819806132</v>
      </c>
      <c r="AH103" s="452">
        <f>IF(MateriaisCampo[[#This Row],[QUANTIDADE]]&lt;&gt;0,((MateriaisCampo[[#This Row],[TOT CUSTO]]/MateriaisCampo[[#This Row],[QUANTIDADE]])/MateriaisCampo[[#This Row],[MARK-UP]]),0)</f>
        <v>172.82716514073883</v>
      </c>
      <c r="AI103" s="453">
        <f>MateriaisCampo[[#This Row],[UNIT VENDA]]*MateriaisCampo[[#This Row],[QUANTIDADE]]</f>
        <v>172.82716514073883</v>
      </c>
      <c r="AJ103" s="453">
        <f>IFERROR(MateriaisCampo[[#This Row],[VENDA]]*(RESUMO!$F$55/RESUMO!$F$45),0)</f>
        <v>219.46306684538263</v>
      </c>
      <c r="AK103" s="453">
        <f>IFERROR(MateriaisCampo[[#This Row],[VENDA]]*(RESUMO!$F$58/RESUMO!$F$45),0)</f>
        <v>219.46306684538263</v>
      </c>
      <c r="AL103" s="454">
        <f>IF(MateriaisCampo[[#This Row],[FATURAMENTO]]="NORMAL",MateriaisCampo[[#This Row],[VENDA]],0)</f>
        <v>172.82716514073883</v>
      </c>
    </row>
    <row r="104" spans="1:38" x14ac:dyDescent="0.25">
      <c r="A104" s="113" t="s">
        <v>652</v>
      </c>
      <c r="B104" s="113" t="s">
        <v>652</v>
      </c>
      <c r="C104" s="113" t="s">
        <v>665</v>
      </c>
      <c r="D104" s="113" t="s">
        <v>674</v>
      </c>
      <c r="E104" s="434" t="s">
        <v>655</v>
      </c>
      <c r="F104" s="434">
        <f t="shared" si="0"/>
        <v>0</v>
      </c>
      <c r="G104" s="113"/>
      <c r="H104" s="435" t="s">
        <v>603</v>
      </c>
      <c r="I104" s="436">
        <f>I103</f>
        <v>1</v>
      </c>
      <c r="J104" s="437">
        <f>(J$87/J$89)*J106</f>
        <v>192.95234235147097</v>
      </c>
      <c r="K104" s="438">
        <v>0.18</v>
      </c>
      <c r="L104" s="438">
        <v>0</v>
      </c>
      <c r="M104" s="458"/>
      <c r="N104" s="445">
        <f>MateriaisCampo[[#This Row],[UNIT S/IPI S/DESC]]-MateriaisCampo[[#This Row],[UNIT S/IPI S/DESC]]*MateriaisCampo[[#This Row],[% DESC]]</f>
        <v>192.95234235147097</v>
      </c>
      <c r="O104" s="441" t="s">
        <v>295</v>
      </c>
      <c r="P104" s="442" t="s">
        <v>155</v>
      </c>
      <c r="Q104" s="438">
        <v>1.6500000000000001E-2</v>
      </c>
      <c r="R104" s="438">
        <v>7.5999999999999998E-2</v>
      </c>
      <c r="S104" s="443">
        <f>MateriaisCampo[[#This Row],[UNIT S/ IP + DIF ICMS]]*MateriaisCampo[[#This Row],[QUANTIDADE]]</f>
        <v>192.95234235147097</v>
      </c>
      <c r="T104" s="444">
        <f>MateriaisCampo[[#This Row],[TOTAL S/ IPI]]+(MateriaisCampo[[#This Row],[TOTAL S/ IPI]]*MateriaisCampo[[#This Row],[IPI %]])</f>
        <v>192.95234235147097</v>
      </c>
      <c r="U104" s="445">
        <f>IF(AND(MateriaisCampo[[#This Row],[ICMS %]]&lt;&gt;18%,MateriaisCampo[[#This Row],[ORIGEM]]&lt;&gt;"SÃO PAULO"),((18%-MateriaisCampo[[#This Row],[ICMS %]])*MateriaisCampo[[#This Row],[UNIT S/ IPI C/DESC]]),0)</f>
        <v>0</v>
      </c>
      <c r="V104" s="437">
        <f>MateriaisCampo[[#This Row],[UNIT S/ IPI C/DESC]]*MateriaisCampo[[#This Row],[ICMS %]]</f>
        <v>34.731421623264772</v>
      </c>
      <c r="W104" s="437">
        <f>MateriaisCampo[[#This Row],[ICMS $]]*MateriaisCampo[[#This Row],[QUANTIDADE]]</f>
        <v>34.731421623264772</v>
      </c>
      <c r="X104" s="446">
        <f>MateriaisCampo[[#This Row],[UNIT S/ IPI C/DESC]]+MateriaisCampo[[#This Row],[DIFERENCIAL ICMS]]</f>
        <v>192.95234235147097</v>
      </c>
      <c r="Y104" s="446">
        <f>(MateriaisCampo[[#This Row],[PIS]]*MateriaisCampo[[#This Row],[UNIT S/ IPI C/DESC]])/2</f>
        <v>1.5918568243996356</v>
      </c>
      <c r="Z104" s="446">
        <f>(MateriaisCampo[[#This Row],[COFINS]]*MateriaisCampo[[#This Row],[UNIT S/ IPI C/DESC]])/2</f>
        <v>7.332189009355897</v>
      </c>
      <c r="AA104" s="445">
        <f>MateriaisCampo[[#This Row],[UNIT S/ IP + DIF ICMS]]+(MateriaisCampo[[#This Row],[UNIT S/ IP + DIF ICMS]]*MateriaisCampo[[#This Row],[IPI %]])</f>
        <v>192.95234235147097</v>
      </c>
      <c r="AB104" s="448">
        <f>_xlfn.XLOOKUP(MateriaisCampo[[#This Row],[FATURAMENTO]],BASE!$U$48:$U$50,BASE!$W$48:$W$50,0,0,1)</f>
        <v>0.79709863947533133</v>
      </c>
      <c r="AC104" s="510" t="str">
        <f>RESUMO!$E$56</f>
        <v>SIM</v>
      </c>
      <c r="AD104" s="449" t="str">
        <f>RESUMO!$E$57</f>
        <v>SIM</v>
      </c>
      <c r="AE10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149.2968748944507</v>
      </c>
      <c r="AF104" s="450">
        <f>MateriaisCampo[[#This Row],[UNIT CRED]]*MateriaisCampo[[#This Row],[QUANTIDADE]]</f>
        <v>149.2968748944507</v>
      </c>
      <c r="AG104" s="451">
        <f>MateriaisCampo[[#This Row],[TOT CRED]]</f>
        <v>149.2968748944507</v>
      </c>
      <c r="AH104" s="452">
        <f>IF(MateriaisCampo[[#This Row],[QUANTIDADE]]&lt;&gt;0,((MateriaisCampo[[#This Row],[TOT CUSTO]]/MateriaisCampo[[#This Row],[QUANTIDADE]])/MateriaisCampo[[#This Row],[MARK-UP]]),0)</f>
        <v>187.30037601459381</v>
      </c>
      <c r="AI104" s="453">
        <f>MateriaisCampo[[#This Row],[UNIT VENDA]]*MateriaisCampo[[#This Row],[QUANTIDADE]]</f>
        <v>187.30037601459381</v>
      </c>
      <c r="AJ104" s="453">
        <f>IFERROR(MateriaisCampo[[#This Row],[VENDA]]*(RESUMO!$F$55/RESUMO!$F$45),0)</f>
        <v>237.84174732011911</v>
      </c>
      <c r="AK104" s="453">
        <f>IFERROR(MateriaisCampo[[#This Row],[VENDA]]*(RESUMO!$F$58/RESUMO!$F$45),0)</f>
        <v>237.84174732011911</v>
      </c>
      <c r="AL104" s="454">
        <f>IF(MateriaisCampo[[#This Row],[FATURAMENTO]]="NORMAL",MateriaisCampo[[#This Row],[VENDA]],0)</f>
        <v>187.30037601459381</v>
      </c>
    </row>
    <row r="105" spans="1:38" ht="34.5" x14ac:dyDescent="0.25">
      <c r="A105" s="113" t="s">
        <v>652</v>
      </c>
      <c r="B105" s="113" t="s">
        <v>652</v>
      </c>
      <c r="C105" s="113" t="s">
        <v>673</v>
      </c>
      <c r="D105" s="113" t="s">
        <v>675</v>
      </c>
      <c r="E105" s="434" t="s">
        <v>655</v>
      </c>
      <c r="F105" s="434">
        <f t="shared" si="0"/>
        <v>0</v>
      </c>
      <c r="G105" s="113"/>
      <c r="H105" s="435" t="s">
        <v>603</v>
      </c>
      <c r="I105" s="436">
        <v>2</v>
      </c>
      <c r="J105" s="437">
        <v>203</v>
      </c>
      <c r="K105" s="438">
        <v>0.18</v>
      </c>
      <c r="L105" s="438">
        <v>0</v>
      </c>
      <c r="M105" s="458"/>
      <c r="N105" s="445">
        <f>MateriaisCampo[[#This Row],[UNIT S/IPI S/DESC]]-MateriaisCampo[[#This Row],[UNIT S/IPI S/DESC]]*MateriaisCampo[[#This Row],[% DESC]]</f>
        <v>203</v>
      </c>
      <c r="O105" s="441" t="s">
        <v>295</v>
      </c>
      <c r="P105" s="442" t="s">
        <v>155</v>
      </c>
      <c r="Q105" s="438">
        <v>1.6500000000000001E-2</v>
      </c>
      <c r="R105" s="438">
        <v>7.5999999999999998E-2</v>
      </c>
      <c r="S105" s="443">
        <f>MateriaisCampo[[#This Row],[UNIT S/ IP + DIF ICMS]]*MateriaisCampo[[#This Row],[QUANTIDADE]]</f>
        <v>406</v>
      </c>
      <c r="T105" s="444">
        <f>MateriaisCampo[[#This Row],[TOTAL S/ IPI]]+(MateriaisCampo[[#This Row],[TOTAL S/ IPI]]*MateriaisCampo[[#This Row],[IPI %]])</f>
        <v>406</v>
      </c>
      <c r="U105" s="445">
        <f>IF(AND(MateriaisCampo[[#This Row],[ICMS %]]&lt;&gt;18%,MateriaisCampo[[#This Row],[ORIGEM]]&lt;&gt;"SÃO PAULO"),((18%-MateriaisCampo[[#This Row],[ICMS %]])*MateriaisCampo[[#This Row],[UNIT S/ IPI C/DESC]]),0)</f>
        <v>0</v>
      </c>
      <c r="V105" s="437">
        <f>MateriaisCampo[[#This Row],[UNIT S/ IPI C/DESC]]*MateriaisCampo[[#This Row],[ICMS %]]</f>
        <v>36.54</v>
      </c>
      <c r="W105" s="437">
        <f>MateriaisCampo[[#This Row],[ICMS $]]*MateriaisCampo[[#This Row],[QUANTIDADE]]</f>
        <v>73.08</v>
      </c>
      <c r="X105" s="446">
        <f>MateriaisCampo[[#This Row],[UNIT S/ IPI C/DESC]]+MateriaisCampo[[#This Row],[DIFERENCIAL ICMS]]</f>
        <v>203</v>
      </c>
      <c r="Y105" s="446">
        <f>(MateriaisCampo[[#This Row],[PIS]]*MateriaisCampo[[#This Row],[UNIT S/ IPI C/DESC]])/2</f>
        <v>1.6747500000000002</v>
      </c>
      <c r="Z105" s="446">
        <f>(MateriaisCampo[[#This Row],[COFINS]]*MateriaisCampo[[#This Row],[UNIT S/ IPI C/DESC]])/2</f>
        <v>7.7139999999999995</v>
      </c>
      <c r="AA105" s="445">
        <f>MateriaisCampo[[#This Row],[UNIT S/ IP + DIF ICMS]]+(MateriaisCampo[[#This Row],[UNIT S/ IP + DIF ICMS]]*MateriaisCampo[[#This Row],[IPI %]])</f>
        <v>203</v>
      </c>
      <c r="AB105" s="448">
        <f>_xlfn.XLOOKUP(MateriaisCampo[[#This Row],[FATURAMENTO]],BASE!$U$48:$U$50,BASE!$W$48:$W$50,0,0,1)</f>
        <v>0.79709863947533133</v>
      </c>
      <c r="AC105" s="510" t="str">
        <f>RESUMO!$E$56</f>
        <v>SIM</v>
      </c>
      <c r="AD105" s="449" t="str">
        <f>RESUMO!$E$57</f>
        <v>SIM</v>
      </c>
      <c r="AE10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157.07125000000002</v>
      </c>
      <c r="AF105" s="450">
        <f>MateriaisCampo[[#This Row],[UNIT CRED]]*MateriaisCampo[[#This Row],[QUANTIDADE]]</f>
        <v>314.14250000000004</v>
      </c>
      <c r="AG105" s="451">
        <f>MateriaisCampo[[#This Row],[TOT CRED]]</f>
        <v>314.14250000000004</v>
      </c>
      <c r="AH105" s="452">
        <f>IF(MateriaisCampo[[#This Row],[QUANTIDADE]]&lt;&gt;0,((MateriaisCampo[[#This Row],[TOT CUSTO]]/MateriaisCampo[[#This Row],[QUANTIDADE]])/MateriaisCampo[[#This Row],[MARK-UP]]),0)</f>
        <v>197.05371734593342</v>
      </c>
      <c r="AI105" s="453">
        <f>MateriaisCampo[[#This Row],[UNIT VENDA]]*MateriaisCampo[[#This Row],[QUANTIDADE]]</f>
        <v>394.10743469186684</v>
      </c>
      <c r="AJ105" s="453">
        <f>IFERROR(MateriaisCampo[[#This Row],[VENDA]]*(RESUMO!$F$55/RESUMO!$F$45),0)</f>
        <v>500.45388532300547</v>
      </c>
      <c r="AK105" s="453">
        <f>IFERROR(MateriaisCampo[[#This Row],[VENDA]]*(RESUMO!$F$58/RESUMO!$F$45),0)</f>
        <v>500.45388532300547</v>
      </c>
      <c r="AL105" s="454">
        <f>IF(MateriaisCampo[[#This Row],[FATURAMENTO]]="NORMAL",MateriaisCampo[[#This Row],[VENDA]],0)</f>
        <v>394.10743469186684</v>
      </c>
    </row>
    <row r="106" spans="1:38" x14ac:dyDescent="0.25">
      <c r="A106" s="113" t="s">
        <v>652</v>
      </c>
      <c r="B106" s="113" t="s">
        <v>652</v>
      </c>
      <c r="C106" s="113" t="s">
        <v>666</v>
      </c>
      <c r="D106" s="113" t="s">
        <v>675</v>
      </c>
      <c r="E106" s="434" t="s">
        <v>655</v>
      </c>
      <c r="F106" s="434">
        <f t="shared" si="0"/>
        <v>0</v>
      </c>
      <c r="G106" s="113"/>
      <c r="H106" s="435" t="s">
        <v>603</v>
      </c>
      <c r="I106" s="436">
        <f>I105</f>
        <v>2</v>
      </c>
      <c r="J106" s="437">
        <v>220</v>
      </c>
      <c r="K106" s="438">
        <v>0.18</v>
      </c>
      <c r="L106" s="438">
        <v>0</v>
      </c>
      <c r="M106" s="458"/>
      <c r="N106" s="445">
        <f>MateriaisCampo[[#This Row],[UNIT S/IPI S/DESC]]-MateriaisCampo[[#This Row],[UNIT S/IPI S/DESC]]*MateriaisCampo[[#This Row],[% DESC]]</f>
        <v>220</v>
      </c>
      <c r="O106" s="441" t="s">
        <v>295</v>
      </c>
      <c r="P106" s="442" t="s">
        <v>155</v>
      </c>
      <c r="Q106" s="438">
        <v>1.6500000000000001E-2</v>
      </c>
      <c r="R106" s="438">
        <v>7.5999999999999998E-2</v>
      </c>
      <c r="S106" s="443">
        <f>MateriaisCampo[[#This Row],[UNIT S/ IP + DIF ICMS]]*MateriaisCampo[[#This Row],[QUANTIDADE]]</f>
        <v>440</v>
      </c>
      <c r="T106" s="444">
        <f>MateriaisCampo[[#This Row],[TOTAL S/ IPI]]+(MateriaisCampo[[#This Row],[TOTAL S/ IPI]]*MateriaisCampo[[#This Row],[IPI %]])</f>
        <v>440</v>
      </c>
      <c r="U106" s="445">
        <f>IF(AND(MateriaisCampo[[#This Row],[ICMS %]]&lt;&gt;18%,MateriaisCampo[[#This Row],[ORIGEM]]&lt;&gt;"SÃO PAULO"),((18%-MateriaisCampo[[#This Row],[ICMS %]])*MateriaisCampo[[#This Row],[UNIT S/ IPI C/DESC]]),0)</f>
        <v>0</v>
      </c>
      <c r="V106" s="437">
        <f>MateriaisCampo[[#This Row],[UNIT S/ IPI C/DESC]]*MateriaisCampo[[#This Row],[ICMS %]]</f>
        <v>39.6</v>
      </c>
      <c r="W106" s="437">
        <f>MateriaisCampo[[#This Row],[ICMS $]]*MateriaisCampo[[#This Row],[QUANTIDADE]]</f>
        <v>79.2</v>
      </c>
      <c r="X106" s="446">
        <f>MateriaisCampo[[#This Row],[UNIT S/ IPI C/DESC]]+MateriaisCampo[[#This Row],[DIFERENCIAL ICMS]]</f>
        <v>220</v>
      </c>
      <c r="Y106" s="446">
        <f>(MateriaisCampo[[#This Row],[PIS]]*MateriaisCampo[[#This Row],[UNIT S/ IPI C/DESC]])/2</f>
        <v>1.8150000000000002</v>
      </c>
      <c r="Z106" s="446">
        <f>(MateriaisCampo[[#This Row],[COFINS]]*MateriaisCampo[[#This Row],[UNIT S/ IPI C/DESC]])/2</f>
        <v>8.36</v>
      </c>
      <c r="AA106" s="445">
        <f>MateriaisCampo[[#This Row],[UNIT S/ IP + DIF ICMS]]+(MateriaisCampo[[#This Row],[UNIT S/ IP + DIF ICMS]]*MateriaisCampo[[#This Row],[IPI %]])</f>
        <v>220</v>
      </c>
      <c r="AB106" s="448">
        <f>_xlfn.XLOOKUP(MateriaisCampo[[#This Row],[FATURAMENTO]],BASE!$U$48:$U$50,BASE!$W$48:$W$50,0,0,1)</f>
        <v>0.79709863947533133</v>
      </c>
      <c r="AC106" s="510" t="str">
        <f>RESUMO!$E$56</f>
        <v>SIM</v>
      </c>
      <c r="AD106" s="449" t="str">
        <f>RESUMO!$E$57</f>
        <v>SIM</v>
      </c>
      <c r="AE10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170.22500000000002</v>
      </c>
      <c r="AF106" s="450">
        <f>MateriaisCampo[[#This Row],[UNIT CRED]]*MateriaisCampo[[#This Row],[QUANTIDADE]]</f>
        <v>340.45000000000005</v>
      </c>
      <c r="AG106" s="451">
        <f>MateriaisCampo[[#This Row],[TOT CRED]]</f>
        <v>340.45000000000005</v>
      </c>
      <c r="AH106" s="452">
        <f>IF(MateriaisCampo[[#This Row],[QUANTIDADE]]&lt;&gt;0,((MateriaisCampo[[#This Row],[TOT CUSTO]]/MateriaisCampo[[#This Row],[QUANTIDADE]])/MateriaisCampo[[#This Row],[MARK-UP]]),0)</f>
        <v>213.55575278869631</v>
      </c>
      <c r="AI106" s="453">
        <f>MateriaisCampo[[#This Row],[UNIT VENDA]]*MateriaisCampo[[#This Row],[QUANTIDADE]]</f>
        <v>427.11150557739262</v>
      </c>
      <c r="AJ106" s="453">
        <f>IFERROR(MateriaisCampo[[#This Row],[VENDA]]*(RESUMO!$F$55/RESUMO!$F$45),0)</f>
        <v>542.36381660621282</v>
      </c>
      <c r="AK106" s="453">
        <f>IFERROR(MateriaisCampo[[#This Row],[VENDA]]*(RESUMO!$F$58/RESUMO!$F$45),0)</f>
        <v>542.36381660621282</v>
      </c>
      <c r="AL106" s="454">
        <f>IF(MateriaisCampo[[#This Row],[FATURAMENTO]]="NORMAL",MateriaisCampo[[#This Row],[VENDA]],0)</f>
        <v>427.11150557739262</v>
      </c>
    </row>
    <row r="107" spans="1:38" ht="23" x14ac:dyDescent="0.25">
      <c r="A107" s="113" t="s">
        <v>652</v>
      </c>
      <c r="B107" s="113" t="s">
        <v>652</v>
      </c>
      <c r="C107" s="113" t="s">
        <v>676</v>
      </c>
      <c r="D107" s="113" t="s">
        <v>685</v>
      </c>
      <c r="E107" s="434" t="s">
        <v>655</v>
      </c>
      <c r="F107" s="434">
        <f t="shared" si="0"/>
        <v>0</v>
      </c>
      <c r="G107" s="113"/>
      <c r="H107" s="435" t="s">
        <v>603</v>
      </c>
      <c r="I107" s="436">
        <f>SUM(I105,I103,I101,I99,I97,I95,I93,I91,I89,I87)*1.5</f>
        <v>43.5</v>
      </c>
      <c r="J107" s="437">
        <v>4.21</v>
      </c>
      <c r="K107" s="438">
        <v>0.18</v>
      </c>
      <c r="L107" s="438">
        <v>0</v>
      </c>
      <c r="M107" s="458"/>
      <c r="N107" s="445">
        <f>MateriaisCampo[[#This Row],[UNIT S/IPI S/DESC]]-MateriaisCampo[[#This Row],[UNIT S/IPI S/DESC]]*MateriaisCampo[[#This Row],[% DESC]]</f>
        <v>4.21</v>
      </c>
      <c r="O107" s="441" t="s">
        <v>295</v>
      </c>
      <c r="P107" s="442" t="s">
        <v>155</v>
      </c>
      <c r="Q107" s="438">
        <v>1.6500000000000001E-2</v>
      </c>
      <c r="R107" s="438">
        <v>7.5999999999999998E-2</v>
      </c>
      <c r="S107" s="443">
        <f>MateriaisCampo[[#This Row],[UNIT S/ IP + DIF ICMS]]*MateriaisCampo[[#This Row],[QUANTIDADE]]</f>
        <v>183.13499999999999</v>
      </c>
      <c r="T107" s="444">
        <f>MateriaisCampo[[#This Row],[TOTAL S/ IPI]]+(MateriaisCampo[[#This Row],[TOTAL S/ IPI]]*MateriaisCampo[[#This Row],[IPI %]])</f>
        <v>183.13499999999999</v>
      </c>
      <c r="U107" s="445">
        <f>IF(AND(MateriaisCampo[[#This Row],[ICMS %]]&lt;&gt;18%,MateriaisCampo[[#This Row],[ORIGEM]]&lt;&gt;"SÃO PAULO"),((18%-MateriaisCampo[[#This Row],[ICMS %]])*MateriaisCampo[[#This Row],[UNIT S/ IPI C/DESC]]),0)</f>
        <v>0</v>
      </c>
      <c r="V107" s="437">
        <f>MateriaisCampo[[#This Row],[UNIT S/ IPI C/DESC]]*MateriaisCampo[[#This Row],[ICMS %]]</f>
        <v>0.75779999999999992</v>
      </c>
      <c r="W107" s="437">
        <f>MateriaisCampo[[#This Row],[ICMS $]]*MateriaisCampo[[#This Row],[QUANTIDADE]]</f>
        <v>32.964299999999994</v>
      </c>
      <c r="X107" s="446">
        <f>MateriaisCampo[[#This Row],[UNIT S/ IPI C/DESC]]+MateriaisCampo[[#This Row],[DIFERENCIAL ICMS]]</f>
        <v>4.21</v>
      </c>
      <c r="Y107" s="446">
        <f>(MateriaisCampo[[#This Row],[PIS]]*MateriaisCampo[[#This Row],[UNIT S/ IPI C/DESC]])/2</f>
        <v>3.4732499999999999E-2</v>
      </c>
      <c r="Z107" s="446">
        <f>(MateriaisCampo[[#This Row],[COFINS]]*MateriaisCampo[[#This Row],[UNIT S/ IPI C/DESC]])/2</f>
        <v>0.15997999999999998</v>
      </c>
      <c r="AA107" s="445">
        <f>MateriaisCampo[[#This Row],[UNIT S/ IP + DIF ICMS]]+(MateriaisCampo[[#This Row],[UNIT S/ IP + DIF ICMS]]*MateriaisCampo[[#This Row],[IPI %]])</f>
        <v>4.21</v>
      </c>
      <c r="AB107" s="448">
        <f>_xlfn.XLOOKUP(MateriaisCampo[[#This Row],[FATURAMENTO]],BASE!$U$48:$U$50,BASE!$W$48:$W$50,0,0,1)</f>
        <v>0.79709863947533133</v>
      </c>
      <c r="AC107" s="510" t="str">
        <f>RESUMO!$E$56</f>
        <v>SIM</v>
      </c>
      <c r="AD107" s="449" t="str">
        <f>RESUMO!$E$57</f>
        <v>SIM</v>
      </c>
      <c r="AE10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3.2574874999999999</v>
      </c>
      <c r="AF107" s="450">
        <f>MateriaisCampo[[#This Row],[UNIT CRED]]*MateriaisCampo[[#This Row],[QUANTIDADE]]</f>
        <v>141.70070625</v>
      </c>
      <c r="AG107" s="451">
        <f>MateriaisCampo[[#This Row],[TOT CRED]]</f>
        <v>141.70070625</v>
      </c>
      <c r="AH107" s="452">
        <f>IF(MateriaisCampo[[#This Row],[QUANTIDADE]]&lt;&gt;0,((MateriaisCampo[[#This Row],[TOT CUSTO]]/MateriaisCampo[[#This Row],[QUANTIDADE]])/MateriaisCampo[[#This Row],[MARK-UP]]),0)</f>
        <v>4.0866805420018695</v>
      </c>
      <c r="AI107" s="453">
        <f>MateriaisCampo[[#This Row],[UNIT VENDA]]*MateriaisCampo[[#This Row],[QUANTIDADE]]</f>
        <v>177.77060357708132</v>
      </c>
      <c r="AJ107" s="453">
        <f>IFERROR(MateriaisCampo[[#This Row],[VENDA]]*(RESUMO!$F$55/RESUMO!$F$45),0)</f>
        <v>225.74044898676991</v>
      </c>
      <c r="AK107" s="453">
        <f>IFERROR(MateriaisCampo[[#This Row],[VENDA]]*(RESUMO!$F$58/RESUMO!$F$45),0)</f>
        <v>225.74044898676991</v>
      </c>
      <c r="AL107" s="454">
        <f>IF(MateriaisCampo[[#This Row],[FATURAMENTO]]="NORMAL",MateriaisCampo[[#This Row],[VENDA]],0)</f>
        <v>177.77060357708132</v>
      </c>
    </row>
    <row r="108" spans="1:38" ht="23" x14ac:dyDescent="0.25">
      <c r="A108" s="113" t="s">
        <v>652</v>
      </c>
      <c r="B108" s="113" t="s">
        <v>652</v>
      </c>
      <c r="C108" s="113" t="s">
        <v>677</v>
      </c>
      <c r="D108" s="113" t="s">
        <v>685</v>
      </c>
      <c r="E108" s="434" t="s">
        <v>655</v>
      </c>
      <c r="F108" s="434">
        <f t="shared" si="0"/>
        <v>0</v>
      </c>
      <c r="G108" s="113"/>
      <c r="H108" s="435" t="s">
        <v>603</v>
      </c>
      <c r="I108" s="436">
        <f>I107*8+I116</f>
        <v>464</v>
      </c>
      <c r="J108" s="437">
        <v>0.36409999999999998</v>
      </c>
      <c r="K108" s="438">
        <v>0.18</v>
      </c>
      <c r="L108" s="438">
        <v>6.5000000000000002E-2</v>
      </c>
      <c r="M108" s="458"/>
      <c r="N108" s="445">
        <f>MateriaisCampo[[#This Row],[UNIT S/IPI S/DESC]]-MateriaisCampo[[#This Row],[UNIT S/IPI S/DESC]]*MateriaisCampo[[#This Row],[% DESC]]</f>
        <v>0.36409999999999998</v>
      </c>
      <c r="O108" s="441" t="s">
        <v>295</v>
      </c>
      <c r="P108" s="442" t="s">
        <v>155</v>
      </c>
      <c r="Q108" s="438">
        <v>1.6500000000000001E-2</v>
      </c>
      <c r="R108" s="438">
        <v>7.5999999999999998E-2</v>
      </c>
      <c r="S108" s="443">
        <f>MateriaisCampo[[#This Row],[UNIT S/ IP + DIF ICMS]]*MateriaisCampo[[#This Row],[QUANTIDADE]]</f>
        <v>168.94239999999999</v>
      </c>
      <c r="T108" s="444">
        <f>MateriaisCampo[[#This Row],[TOTAL S/ IPI]]+(MateriaisCampo[[#This Row],[TOTAL S/ IPI]]*MateriaisCampo[[#This Row],[IPI %]])</f>
        <v>179.92365599999999</v>
      </c>
      <c r="U108" s="445">
        <f>IF(AND(MateriaisCampo[[#This Row],[ICMS %]]&lt;&gt;18%,MateriaisCampo[[#This Row],[ORIGEM]]&lt;&gt;"SÃO PAULO"),((18%-MateriaisCampo[[#This Row],[ICMS %]])*MateriaisCampo[[#This Row],[UNIT S/ IPI C/DESC]]),0)</f>
        <v>0</v>
      </c>
      <c r="V108" s="437">
        <f>MateriaisCampo[[#This Row],[UNIT S/ IPI C/DESC]]*MateriaisCampo[[#This Row],[ICMS %]]</f>
        <v>6.5537999999999999E-2</v>
      </c>
      <c r="W108" s="437">
        <f>MateriaisCampo[[#This Row],[ICMS $]]*MateriaisCampo[[#This Row],[QUANTIDADE]]</f>
        <v>30.409631999999998</v>
      </c>
      <c r="X108" s="446">
        <f>MateriaisCampo[[#This Row],[UNIT S/ IPI C/DESC]]+MateriaisCampo[[#This Row],[DIFERENCIAL ICMS]]</f>
        <v>0.36409999999999998</v>
      </c>
      <c r="Y108" s="446">
        <f>(MateriaisCampo[[#This Row],[PIS]]*MateriaisCampo[[#This Row],[UNIT S/ IPI C/DESC]])/2</f>
        <v>3.0038249999999999E-3</v>
      </c>
      <c r="Z108" s="446">
        <f>(MateriaisCampo[[#This Row],[COFINS]]*MateriaisCampo[[#This Row],[UNIT S/ IPI C/DESC]])/2</f>
        <v>1.3835799999999999E-2</v>
      </c>
      <c r="AA108" s="445">
        <f>MateriaisCampo[[#This Row],[UNIT S/ IP + DIF ICMS]]+(MateriaisCampo[[#This Row],[UNIT S/ IP + DIF ICMS]]*MateriaisCampo[[#This Row],[IPI %]])</f>
        <v>0.38776649999999996</v>
      </c>
      <c r="AB108" s="448">
        <f>_xlfn.XLOOKUP(MateriaisCampo[[#This Row],[FATURAMENTO]],BASE!$U$48:$U$50,BASE!$W$48:$W$50,0,0,1)</f>
        <v>0.79709863947533133</v>
      </c>
      <c r="AC108" s="510" t="str">
        <f>RESUMO!$E$56</f>
        <v>SIM</v>
      </c>
      <c r="AD108" s="449" t="str">
        <f>RESUMO!$E$57</f>
        <v>SIM</v>
      </c>
      <c r="AE10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0.28172237499999997</v>
      </c>
      <c r="AF108" s="450">
        <f>MateriaisCampo[[#This Row],[UNIT CRED]]*MateriaisCampo[[#This Row],[QUANTIDADE]]</f>
        <v>130.71918199999999</v>
      </c>
      <c r="AG108" s="451">
        <f>MateriaisCampo[[#This Row],[TOT CRED]]</f>
        <v>130.71918199999999</v>
      </c>
      <c r="AH108" s="452">
        <f>IF(MateriaisCampo[[#This Row],[QUANTIDADE]]&lt;&gt;0,((MateriaisCampo[[#This Row],[TOT CUSTO]]/MateriaisCampo[[#This Row],[QUANTIDADE]])/MateriaisCampo[[#This Row],[MARK-UP]]),0)</f>
        <v>0.35343477086529229</v>
      </c>
      <c r="AI108" s="453">
        <f>MateriaisCampo[[#This Row],[UNIT VENDA]]*MateriaisCampo[[#This Row],[QUANTIDADE]]</f>
        <v>163.99373368149563</v>
      </c>
      <c r="AJ108" s="453">
        <f>IFERROR(MateriaisCampo[[#This Row],[VENDA]]*(RESUMO!$F$55/RESUMO!$F$45),0)</f>
        <v>208.24601102412143</v>
      </c>
      <c r="AK108" s="453">
        <f>IFERROR(MateriaisCampo[[#This Row],[VENDA]]*(RESUMO!$F$58/RESUMO!$F$45),0)</f>
        <v>208.24601102412143</v>
      </c>
      <c r="AL108" s="454">
        <f>IF(MateriaisCampo[[#This Row],[FATURAMENTO]]="NORMAL",MateriaisCampo[[#This Row],[VENDA]],0)</f>
        <v>163.99373368149563</v>
      </c>
    </row>
    <row r="109" spans="1:38" x14ac:dyDescent="0.25">
      <c r="A109" s="113" t="s">
        <v>652</v>
      </c>
      <c r="B109" s="113" t="s">
        <v>652</v>
      </c>
      <c r="C109" s="113" t="s">
        <v>678</v>
      </c>
      <c r="D109" s="113" t="s">
        <v>685</v>
      </c>
      <c r="E109" s="434" t="s">
        <v>655</v>
      </c>
      <c r="F109" s="434">
        <f t="shared" si="0"/>
        <v>0</v>
      </c>
      <c r="G109" s="113"/>
      <c r="H109" s="435" t="s">
        <v>603</v>
      </c>
      <c r="I109" s="436">
        <f>I108</f>
        <v>464</v>
      </c>
      <c r="J109" s="437">
        <f>16.22/100</f>
        <v>0.16219999999999998</v>
      </c>
      <c r="K109" s="438">
        <v>0.18</v>
      </c>
      <c r="L109" s="438">
        <v>6.5000000000000002E-2</v>
      </c>
      <c r="M109" s="458"/>
      <c r="N109" s="445">
        <f>MateriaisCampo[[#This Row],[UNIT S/IPI S/DESC]]-MateriaisCampo[[#This Row],[UNIT S/IPI S/DESC]]*MateriaisCampo[[#This Row],[% DESC]]</f>
        <v>0.16219999999999998</v>
      </c>
      <c r="O109" s="441" t="s">
        <v>295</v>
      </c>
      <c r="P109" s="442" t="s">
        <v>155</v>
      </c>
      <c r="Q109" s="438">
        <v>1.6500000000000001E-2</v>
      </c>
      <c r="R109" s="438">
        <v>7.5999999999999998E-2</v>
      </c>
      <c r="S109" s="443">
        <f>MateriaisCampo[[#This Row],[UNIT S/ IP + DIF ICMS]]*MateriaisCampo[[#This Row],[QUANTIDADE]]</f>
        <v>75.260799999999989</v>
      </c>
      <c r="T109" s="444">
        <f>MateriaisCampo[[#This Row],[TOTAL S/ IPI]]+(MateriaisCampo[[#This Row],[TOTAL S/ IPI]]*MateriaisCampo[[#This Row],[IPI %]])</f>
        <v>80.152751999999992</v>
      </c>
      <c r="U109" s="445">
        <f>IF(AND(MateriaisCampo[[#This Row],[ICMS %]]&lt;&gt;18%,MateriaisCampo[[#This Row],[ORIGEM]]&lt;&gt;"SÃO PAULO"),((18%-MateriaisCampo[[#This Row],[ICMS %]])*MateriaisCampo[[#This Row],[UNIT S/ IPI C/DESC]]),0)</f>
        <v>0</v>
      </c>
      <c r="V109" s="437">
        <f>MateriaisCampo[[#This Row],[UNIT S/ IPI C/DESC]]*MateriaisCampo[[#This Row],[ICMS %]]</f>
        <v>2.9195999999999996E-2</v>
      </c>
      <c r="W109" s="437">
        <f>MateriaisCampo[[#This Row],[ICMS $]]*MateriaisCampo[[#This Row],[QUANTIDADE]]</f>
        <v>13.546943999999998</v>
      </c>
      <c r="X109" s="446">
        <f>MateriaisCampo[[#This Row],[UNIT S/ IPI C/DESC]]+MateriaisCampo[[#This Row],[DIFERENCIAL ICMS]]</f>
        <v>0.16219999999999998</v>
      </c>
      <c r="Y109" s="446">
        <f>(MateriaisCampo[[#This Row],[PIS]]*MateriaisCampo[[#This Row],[UNIT S/ IPI C/DESC]])/2</f>
        <v>1.33815E-3</v>
      </c>
      <c r="Z109" s="446">
        <f>(MateriaisCampo[[#This Row],[COFINS]]*MateriaisCampo[[#This Row],[UNIT S/ IPI C/DESC]])/2</f>
        <v>6.1635999999999991E-3</v>
      </c>
      <c r="AA109" s="445">
        <f>MateriaisCampo[[#This Row],[UNIT S/ IP + DIF ICMS]]+(MateriaisCampo[[#This Row],[UNIT S/ IP + DIF ICMS]]*MateriaisCampo[[#This Row],[IPI %]])</f>
        <v>0.17274299999999998</v>
      </c>
      <c r="AB109" s="448">
        <f>_xlfn.XLOOKUP(MateriaisCampo[[#This Row],[FATURAMENTO]],BASE!$U$48:$U$50,BASE!$W$48:$W$50,0,0,1)</f>
        <v>0.79709863947533133</v>
      </c>
      <c r="AC109" s="510" t="str">
        <f>RESUMO!$E$56</f>
        <v>SIM</v>
      </c>
      <c r="AD109" s="449" t="str">
        <f>RESUMO!$E$57</f>
        <v>SIM</v>
      </c>
      <c r="AE10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0.12550224999999998</v>
      </c>
      <c r="AF109" s="450">
        <f>MateriaisCampo[[#This Row],[UNIT CRED]]*MateriaisCampo[[#This Row],[QUANTIDADE]]</f>
        <v>58.233043999999992</v>
      </c>
      <c r="AG109" s="451">
        <f>MateriaisCampo[[#This Row],[TOT CRED]]</f>
        <v>58.233043999999992</v>
      </c>
      <c r="AH109" s="452">
        <f>IF(MateriaisCampo[[#This Row],[QUANTIDADE]]&lt;&gt;0,((MateriaisCampo[[#This Row],[TOT CUSTO]]/MateriaisCampo[[#This Row],[QUANTIDADE]])/MateriaisCampo[[#This Row],[MARK-UP]]),0)</f>
        <v>0.15744883228330242</v>
      </c>
      <c r="AI109" s="453">
        <f>MateriaisCampo[[#This Row],[UNIT VENDA]]*MateriaisCampo[[#This Row],[QUANTIDADE]]</f>
        <v>73.056258179452328</v>
      </c>
      <c r="AJ109" s="453">
        <f>IFERROR(MateriaisCampo[[#This Row],[VENDA]]*(RESUMO!$F$55/RESUMO!$F$45),0)</f>
        <v>92.769851656447401</v>
      </c>
      <c r="AK109" s="453">
        <f>IFERROR(MateriaisCampo[[#This Row],[VENDA]]*(RESUMO!$F$58/RESUMO!$F$45),0)</f>
        <v>92.769851656447401</v>
      </c>
      <c r="AL109" s="454">
        <f>IF(MateriaisCampo[[#This Row],[FATURAMENTO]]="NORMAL",MateriaisCampo[[#This Row],[VENDA]],0)</f>
        <v>73.056258179452328</v>
      </c>
    </row>
    <row r="110" spans="1:38" x14ac:dyDescent="0.25">
      <c r="A110" s="113" t="s">
        <v>652</v>
      </c>
      <c r="B110" s="113" t="s">
        <v>652</v>
      </c>
      <c r="C110" s="113" t="s">
        <v>679</v>
      </c>
      <c r="D110" s="113" t="s">
        <v>685</v>
      </c>
      <c r="E110" s="434" t="s">
        <v>655</v>
      </c>
      <c r="F110" s="434">
        <f t="shared" si="0"/>
        <v>0</v>
      </c>
      <c r="G110" s="113"/>
      <c r="H110" s="435" t="s">
        <v>603</v>
      </c>
      <c r="I110" s="436">
        <f>I109</f>
        <v>464</v>
      </c>
      <c r="J110" s="437">
        <f>12.15/100</f>
        <v>0.1215</v>
      </c>
      <c r="K110" s="438">
        <v>0.18</v>
      </c>
      <c r="L110" s="438">
        <v>6.5000000000000002E-2</v>
      </c>
      <c r="M110" s="458"/>
      <c r="N110" s="445">
        <f>MateriaisCampo[[#This Row],[UNIT S/IPI S/DESC]]-MateriaisCampo[[#This Row],[UNIT S/IPI S/DESC]]*MateriaisCampo[[#This Row],[% DESC]]</f>
        <v>0.1215</v>
      </c>
      <c r="O110" s="441" t="s">
        <v>295</v>
      </c>
      <c r="P110" s="442" t="s">
        <v>155</v>
      </c>
      <c r="Q110" s="438">
        <v>1.6500000000000001E-2</v>
      </c>
      <c r="R110" s="438">
        <v>7.5999999999999998E-2</v>
      </c>
      <c r="S110" s="443">
        <f>MateriaisCampo[[#This Row],[UNIT S/ IP + DIF ICMS]]*MateriaisCampo[[#This Row],[QUANTIDADE]]</f>
        <v>56.375999999999998</v>
      </c>
      <c r="T110" s="444">
        <f>MateriaisCampo[[#This Row],[TOTAL S/ IPI]]+(MateriaisCampo[[#This Row],[TOTAL S/ IPI]]*MateriaisCampo[[#This Row],[IPI %]])</f>
        <v>60.040439999999997</v>
      </c>
      <c r="U110" s="445">
        <f>IF(AND(MateriaisCampo[[#This Row],[ICMS %]]&lt;&gt;18%,MateriaisCampo[[#This Row],[ORIGEM]]&lt;&gt;"SÃO PAULO"),((18%-MateriaisCampo[[#This Row],[ICMS %]])*MateriaisCampo[[#This Row],[UNIT S/ IPI C/DESC]]),0)</f>
        <v>0</v>
      </c>
      <c r="V110" s="437">
        <f>MateriaisCampo[[#This Row],[UNIT S/ IPI C/DESC]]*MateriaisCampo[[#This Row],[ICMS %]]</f>
        <v>2.1869999999999997E-2</v>
      </c>
      <c r="W110" s="437">
        <f>MateriaisCampo[[#This Row],[ICMS $]]*MateriaisCampo[[#This Row],[QUANTIDADE]]</f>
        <v>10.147679999999999</v>
      </c>
      <c r="X110" s="446">
        <f>MateriaisCampo[[#This Row],[UNIT S/ IPI C/DESC]]+MateriaisCampo[[#This Row],[DIFERENCIAL ICMS]]</f>
        <v>0.1215</v>
      </c>
      <c r="Y110" s="446">
        <f>(MateriaisCampo[[#This Row],[PIS]]*MateriaisCampo[[#This Row],[UNIT S/ IPI C/DESC]])/2</f>
        <v>1.002375E-3</v>
      </c>
      <c r="Z110" s="446">
        <f>(MateriaisCampo[[#This Row],[COFINS]]*MateriaisCampo[[#This Row],[UNIT S/ IPI C/DESC]])/2</f>
        <v>4.6169999999999996E-3</v>
      </c>
      <c r="AA110" s="445">
        <f>MateriaisCampo[[#This Row],[UNIT S/ IP + DIF ICMS]]+(MateriaisCampo[[#This Row],[UNIT S/ IP + DIF ICMS]]*MateriaisCampo[[#This Row],[IPI %]])</f>
        <v>0.1293975</v>
      </c>
      <c r="AB110" s="448">
        <f>_xlfn.XLOOKUP(MateriaisCampo[[#This Row],[FATURAMENTO]],BASE!$U$48:$U$50,BASE!$W$48:$W$50,0,0,1)</f>
        <v>0.79709863947533133</v>
      </c>
      <c r="AC110" s="510" t="str">
        <f>RESUMO!$E$56</f>
        <v>SIM</v>
      </c>
      <c r="AD110" s="449" t="str">
        <f>RESUMO!$E$57</f>
        <v>SIM</v>
      </c>
      <c r="AE11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9.4010625E-2</v>
      </c>
      <c r="AF110" s="450">
        <f>MateriaisCampo[[#This Row],[UNIT CRED]]*MateriaisCampo[[#This Row],[QUANTIDADE]]</f>
        <v>43.620930000000001</v>
      </c>
      <c r="AG110" s="451">
        <f>MateriaisCampo[[#This Row],[TOT CRED]]</f>
        <v>43.620930000000001</v>
      </c>
      <c r="AH110" s="452">
        <f>IF(MateriaisCampo[[#This Row],[QUANTIDADE]]&lt;&gt;0,((MateriaisCampo[[#This Row],[TOT CUSTO]]/MateriaisCampo[[#This Row],[QUANTIDADE]])/MateriaisCampo[[#This Row],[MARK-UP]]),0)</f>
        <v>0.11794101801739362</v>
      </c>
      <c r="AI110" s="453">
        <f>MateriaisCampo[[#This Row],[UNIT VENDA]]*MateriaisCampo[[#This Row],[QUANTIDADE]]</f>
        <v>54.724632360070643</v>
      </c>
      <c r="AJ110" s="453">
        <f>IFERROR(MateriaisCampo[[#This Row],[VENDA]]*(RESUMO!$F$55/RESUMO!$F$45),0)</f>
        <v>69.491596647708747</v>
      </c>
      <c r="AK110" s="453">
        <f>IFERROR(MateriaisCampo[[#This Row],[VENDA]]*(RESUMO!$F$58/RESUMO!$F$45),0)</f>
        <v>69.491596647708747</v>
      </c>
      <c r="AL110" s="454">
        <f>IF(MateriaisCampo[[#This Row],[FATURAMENTO]]="NORMAL",MateriaisCampo[[#This Row],[VENDA]],0)</f>
        <v>54.724632360070643</v>
      </c>
    </row>
    <row r="111" spans="1:38" x14ac:dyDescent="0.25">
      <c r="A111" s="113" t="s">
        <v>652</v>
      </c>
      <c r="B111" s="113" t="s">
        <v>652</v>
      </c>
      <c r="C111" s="113" t="s">
        <v>680</v>
      </c>
      <c r="D111" s="113" t="s">
        <v>685</v>
      </c>
      <c r="E111" s="434" t="s">
        <v>655</v>
      </c>
      <c r="F111" s="434">
        <f t="shared" si="0"/>
        <v>0</v>
      </c>
      <c r="G111" s="113"/>
      <c r="H111" s="435" t="s">
        <v>603</v>
      </c>
      <c r="I111" s="436">
        <f>SUM(I105,I103,I101,I99,I97,I95,I93,I91,I89,I87)*4</f>
        <v>116</v>
      </c>
      <c r="J111" s="437">
        <v>1.1100000000000001</v>
      </c>
      <c r="K111" s="438">
        <v>0.18</v>
      </c>
      <c r="L111" s="438"/>
      <c r="M111" s="458"/>
      <c r="N111" s="445">
        <f>MateriaisCampo[[#This Row],[UNIT S/IPI S/DESC]]-MateriaisCampo[[#This Row],[UNIT S/IPI S/DESC]]*MateriaisCampo[[#This Row],[% DESC]]</f>
        <v>1.1100000000000001</v>
      </c>
      <c r="O111" s="441" t="s">
        <v>295</v>
      </c>
      <c r="P111" s="442" t="s">
        <v>155</v>
      </c>
      <c r="Q111" s="438">
        <v>1.6500000000000001E-2</v>
      </c>
      <c r="R111" s="438">
        <v>7.5999999999999998E-2</v>
      </c>
      <c r="S111" s="443">
        <f>MateriaisCampo[[#This Row],[UNIT S/ IP + DIF ICMS]]*MateriaisCampo[[#This Row],[QUANTIDADE]]</f>
        <v>128.76000000000002</v>
      </c>
      <c r="T111" s="444">
        <f>MateriaisCampo[[#This Row],[TOTAL S/ IPI]]+(MateriaisCampo[[#This Row],[TOTAL S/ IPI]]*MateriaisCampo[[#This Row],[IPI %]])</f>
        <v>128.76000000000002</v>
      </c>
      <c r="U111" s="445">
        <f>IF(AND(MateriaisCampo[[#This Row],[ICMS %]]&lt;&gt;18%,MateriaisCampo[[#This Row],[ORIGEM]]&lt;&gt;"SÃO PAULO"),((18%-MateriaisCampo[[#This Row],[ICMS %]])*MateriaisCampo[[#This Row],[UNIT S/ IPI C/DESC]]),0)</f>
        <v>0</v>
      </c>
      <c r="V111" s="437">
        <f>MateriaisCampo[[#This Row],[UNIT S/ IPI C/DESC]]*MateriaisCampo[[#This Row],[ICMS %]]</f>
        <v>0.19980000000000001</v>
      </c>
      <c r="W111" s="437">
        <f>MateriaisCampo[[#This Row],[ICMS $]]*MateriaisCampo[[#This Row],[QUANTIDADE]]</f>
        <v>23.1768</v>
      </c>
      <c r="X111" s="446">
        <f>MateriaisCampo[[#This Row],[UNIT S/ IPI C/DESC]]+MateriaisCampo[[#This Row],[DIFERENCIAL ICMS]]</f>
        <v>1.1100000000000001</v>
      </c>
      <c r="Y111" s="446">
        <f>(MateriaisCampo[[#This Row],[PIS]]*MateriaisCampo[[#This Row],[UNIT S/ IPI C/DESC]])/2</f>
        <v>9.1575000000000007E-3</v>
      </c>
      <c r="Z111" s="446">
        <f>(MateriaisCampo[[#This Row],[COFINS]]*MateriaisCampo[[#This Row],[UNIT S/ IPI C/DESC]])/2</f>
        <v>4.2180000000000002E-2</v>
      </c>
      <c r="AA111" s="445">
        <f>MateriaisCampo[[#This Row],[UNIT S/ IP + DIF ICMS]]+(MateriaisCampo[[#This Row],[UNIT S/ IP + DIF ICMS]]*MateriaisCampo[[#This Row],[IPI %]])</f>
        <v>1.1100000000000001</v>
      </c>
      <c r="AB111" s="448">
        <f>_xlfn.XLOOKUP(MateriaisCampo[[#This Row],[FATURAMENTO]],BASE!$U$48:$U$50,BASE!$W$48:$W$50,0,0,1)</f>
        <v>0.79709863947533133</v>
      </c>
      <c r="AC111" s="510" t="str">
        <f>RESUMO!$E$56</f>
        <v>SIM</v>
      </c>
      <c r="AD111" s="449" t="str">
        <f>RESUMO!$E$57</f>
        <v>SIM</v>
      </c>
      <c r="AE11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0.85886250000000008</v>
      </c>
      <c r="AF111" s="450">
        <f>MateriaisCampo[[#This Row],[UNIT CRED]]*MateriaisCampo[[#This Row],[QUANTIDADE]]</f>
        <v>99.628050000000016</v>
      </c>
      <c r="AG111" s="451">
        <f>MateriaisCampo[[#This Row],[TOT CRED]]</f>
        <v>99.628050000000016</v>
      </c>
      <c r="AH111" s="452">
        <f>IF(MateriaisCampo[[#This Row],[QUANTIDADE]]&lt;&gt;0,((MateriaisCampo[[#This Row],[TOT CUSTO]]/MateriaisCampo[[#This Row],[QUANTIDADE]])/MateriaisCampo[[#This Row],[MARK-UP]]),0)</f>
        <v>1.0774858436156949</v>
      </c>
      <c r="AI111" s="453">
        <f>MateriaisCampo[[#This Row],[UNIT VENDA]]*MateriaisCampo[[#This Row],[QUANTIDADE]]</f>
        <v>124.9883578594206</v>
      </c>
      <c r="AJ111" s="453">
        <f>IFERROR(MateriaisCampo[[#This Row],[VENDA]]*(RESUMO!$F$55/RESUMO!$F$45),0)</f>
        <v>158.7153750595817</v>
      </c>
      <c r="AK111" s="453">
        <f>IFERROR(MateriaisCampo[[#This Row],[VENDA]]*(RESUMO!$F$58/RESUMO!$F$45),0)</f>
        <v>158.7153750595817</v>
      </c>
      <c r="AL111" s="454">
        <f>IF(MateriaisCampo[[#This Row],[FATURAMENTO]]="NORMAL",MateriaisCampo[[#This Row],[VENDA]],0)</f>
        <v>124.9883578594206</v>
      </c>
    </row>
    <row r="112" spans="1:38" ht="23" x14ac:dyDescent="0.25">
      <c r="A112" s="113" t="s">
        <v>652</v>
      </c>
      <c r="B112" s="113" t="s">
        <v>652</v>
      </c>
      <c r="C112" s="113" t="s">
        <v>681</v>
      </c>
      <c r="D112" s="113" t="s">
        <v>685</v>
      </c>
      <c r="E112" s="434" t="s">
        <v>655</v>
      </c>
      <c r="F112" s="434">
        <f t="shared" si="0"/>
        <v>0</v>
      </c>
      <c r="G112" s="113"/>
      <c r="H112" s="435" t="s">
        <v>603</v>
      </c>
      <c r="I112" s="436">
        <f>I111</f>
        <v>116</v>
      </c>
      <c r="J112" s="437">
        <v>0.36409999999999998</v>
      </c>
      <c r="K112" s="438">
        <v>0.18</v>
      </c>
      <c r="L112" s="438">
        <v>6.5000000000000002E-2</v>
      </c>
      <c r="M112" s="458"/>
      <c r="N112" s="445">
        <f>MateriaisCampo[[#This Row],[UNIT S/IPI S/DESC]]-MateriaisCampo[[#This Row],[UNIT S/IPI S/DESC]]*MateriaisCampo[[#This Row],[% DESC]]</f>
        <v>0.36409999999999998</v>
      </c>
      <c r="O112" s="441" t="s">
        <v>295</v>
      </c>
      <c r="P112" s="442" t="s">
        <v>155</v>
      </c>
      <c r="Q112" s="438">
        <v>1.6500000000000001E-2</v>
      </c>
      <c r="R112" s="438">
        <v>7.5999999999999998E-2</v>
      </c>
      <c r="S112" s="443">
        <f>MateriaisCampo[[#This Row],[UNIT S/ IP + DIF ICMS]]*MateriaisCampo[[#This Row],[QUANTIDADE]]</f>
        <v>42.235599999999998</v>
      </c>
      <c r="T112" s="444">
        <f>MateriaisCampo[[#This Row],[TOTAL S/ IPI]]+(MateriaisCampo[[#This Row],[TOTAL S/ IPI]]*MateriaisCampo[[#This Row],[IPI %]])</f>
        <v>44.980913999999999</v>
      </c>
      <c r="U112" s="445">
        <f>IF(AND(MateriaisCampo[[#This Row],[ICMS %]]&lt;&gt;18%,MateriaisCampo[[#This Row],[ORIGEM]]&lt;&gt;"SÃO PAULO"),((18%-MateriaisCampo[[#This Row],[ICMS %]])*MateriaisCampo[[#This Row],[UNIT S/ IPI C/DESC]]),0)</f>
        <v>0</v>
      </c>
      <c r="V112" s="437">
        <f>MateriaisCampo[[#This Row],[UNIT S/ IPI C/DESC]]*MateriaisCampo[[#This Row],[ICMS %]]</f>
        <v>6.5537999999999999E-2</v>
      </c>
      <c r="W112" s="437">
        <f>MateriaisCampo[[#This Row],[ICMS $]]*MateriaisCampo[[#This Row],[QUANTIDADE]]</f>
        <v>7.6024079999999996</v>
      </c>
      <c r="X112" s="446">
        <f>MateriaisCampo[[#This Row],[UNIT S/ IPI C/DESC]]+MateriaisCampo[[#This Row],[DIFERENCIAL ICMS]]</f>
        <v>0.36409999999999998</v>
      </c>
      <c r="Y112" s="446">
        <f>(MateriaisCampo[[#This Row],[PIS]]*MateriaisCampo[[#This Row],[UNIT S/ IPI C/DESC]])/2</f>
        <v>3.0038249999999999E-3</v>
      </c>
      <c r="Z112" s="446">
        <f>(MateriaisCampo[[#This Row],[COFINS]]*MateriaisCampo[[#This Row],[UNIT S/ IPI C/DESC]])/2</f>
        <v>1.3835799999999999E-2</v>
      </c>
      <c r="AA112" s="445">
        <f>MateriaisCampo[[#This Row],[UNIT S/ IP + DIF ICMS]]+(MateriaisCampo[[#This Row],[UNIT S/ IP + DIF ICMS]]*MateriaisCampo[[#This Row],[IPI %]])</f>
        <v>0.38776649999999996</v>
      </c>
      <c r="AB112" s="448">
        <f>_xlfn.XLOOKUP(MateriaisCampo[[#This Row],[FATURAMENTO]],BASE!$U$48:$U$50,BASE!$W$48:$W$50,0,0,1)</f>
        <v>0.79709863947533133</v>
      </c>
      <c r="AC112" s="510" t="str">
        <f>RESUMO!$E$56</f>
        <v>SIM</v>
      </c>
      <c r="AD112" s="449" t="str">
        <f>RESUMO!$E$57</f>
        <v>SIM</v>
      </c>
      <c r="AE11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0.28172237499999997</v>
      </c>
      <c r="AF112" s="450">
        <f>MateriaisCampo[[#This Row],[UNIT CRED]]*MateriaisCampo[[#This Row],[QUANTIDADE]]</f>
        <v>32.679795499999997</v>
      </c>
      <c r="AG112" s="451">
        <f>MateriaisCampo[[#This Row],[TOT CRED]]</f>
        <v>32.679795499999997</v>
      </c>
      <c r="AH112" s="452">
        <f>IF(MateriaisCampo[[#This Row],[QUANTIDADE]]&lt;&gt;0,((MateriaisCampo[[#This Row],[TOT CUSTO]]/MateriaisCampo[[#This Row],[QUANTIDADE]])/MateriaisCampo[[#This Row],[MARK-UP]]),0)</f>
        <v>0.35343477086529229</v>
      </c>
      <c r="AI112" s="453">
        <f>MateriaisCampo[[#This Row],[UNIT VENDA]]*MateriaisCampo[[#This Row],[QUANTIDADE]]</f>
        <v>40.998433420373907</v>
      </c>
      <c r="AJ112" s="453">
        <f>IFERROR(MateriaisCampo[[#This Row],[VENDA]]*(RESUMO!$F$55/RESUMO!$F$45),0)</f>
        <v>52.061502756030357</v>
      </c>
      <c r="AK112" s="453">
        <f>IFERROR(MateriaisCampo[[#This Row],[VENDA]]*(RESUMO!$F$58/RESUMO!$F$45),0)</f>
        <v>52.061502756030357</v>
      </c>
      <c r="AL112" s="454">
        <f>IF(MateriaisCampo[[#This Row],[FATURAMENTO]]="NORMAL",MateriaisCampo[[#This Row],[VENDA]],0)</f>
        <v>40.998433420373907</v>
      </c>
    </row>
    <row r="113" spans="1:38" x14ac:dyDescent="0.25">
      <c r="A113" s="113" t="s">
        <v>652</v>
      </c>
      <c r="B113" s="113" t="s">
        <v>652</v>
      </c>
      <c r="C113" s="113" t="s">
        <v>682</v>
      </c>
      <c r="D113" s="113" t="s">
        <v>685</v>
      </c>
      <c r="E113" s="434" t="s">
        <v>655</v>
      </c>
      <c r="F113" s="434">
        <f t="shared" si="0"/>
        <v>0</v>
      </c>
      <c r="G113" s="113"/>
      <c r="H113" s="435" t="s">
        <v>603</v>
      </c>
      <c r="I113" s="436">
        <f>I112</f>
        <v>116</v>
      </c>
      <c r="J113" s="437">
        <f>16.22/100</f>
        <v>0.16219999999999998</v>
      </c>
      <c r="K113" s="438">
        <v>0.18</v>
      </c>
      <c r="L113" s="438">
        <v>6.5000000000000002E-2</v>
      </c>
      <c r="M113" s="458"/>
      <c r="N113" s="445">
        <f>MateriaisCampo[[#This Row],[UNIT S/IPI S/DESC]]-MateriaisCampo[[#This Row],[UNIT S/IPI S/DESC]]*MateriaisCampo[[#This Row],[% DESC]]</f>
        <v>0.16219999999999998</v>
      </c>
      <c r="O113" s="441" t="s">
        <v>295</v>
      </c>
      <c r="P113" s="442" t="s">
        <v>155</v>
      </c>
      <c r="Q113" s="438">
        <v>1.6500000000000001E-2</v>
      </c>
      <c r="R113" s="438">
        <v>7.5999999999999998E-2</v>
      </c>
      <c r="S113" s="443">
        <f>MateriaisCampo[[#This Row],[UNIT S/ IP + DIF ICMS]]*MateriaisCampo[[#This Row],[QUANTIDADE]]</f>
        <v>18.815199999999997</v>
      </c>
      <c r="T113" s="444">
        <f>MateriaisCampo[[#This Row],[TOTAL S/ IPI]]+(MateriaisCampo[[#This Row],[TOTAL S/ IPI]]*MateriaisCampo[[#This Row],[IPI %]])</f>
        <v>20.038187999999998</v>
      </c>
      <c r="U113" s="445">
        <f>IF(AND(MateriaisCampo[[#This Row],[ICMS %]]&lt;&gt;18%,MateriaisCampo[[#This Row],[ORIGEM]]&lt;&gt;"SÃO PAULO"),((18%-MateriaisCampo[[#This Row],[ICMS %]])*MateriaisCampo[[#This Row],[UNIT S/ IPI C/DESC]]),0)</f>
        <v>0</v>
      </c>
      <c r="V113" s="437">
        <f>MateriaisCampo[[#This Row],[UNIT S/ IPI C/DESC]]*MateriaisCampo[[#This Row],[ICMS %]]</f>
        <v>2.9195999999999996E-2</v>
      </c>
      <c r="W113" s="437">
        <f>MateriaisCampo[[#This Row],[ICMS $]]*MateriaisCampo[[#This Row],[QUANTIDADE]]</f>
        <v>3.3867359999999995</v>
      </c>
      <c r="X113" s="446">
        <f>MateriaisCampo[[#This Row],[UNIT S/ IPI C/DESC]]+MateriaisCampo[[#This Row],[DIFERENCIAL ICMS]]</f>
        <v>0.16219999999999998</v>
      </c>
      <c r="Y113" s="446">
        <f>(MateriaisCampo[[#This Row],[PIS]]*MateriaisCampo[[#This Row],[UNIT S/ IPI C/DESC]])/2</f>
        <v>1.33815E-3</v>
      </c>
      <c r="Z113" s="446">
        <f>(MateriaisCampo[[#This Row],[COFINS]]*MateriaisCampo[[#This Row],[UNIT S/ IPI C/DESC]])/2</f>
        <v>6.1635999999999991E-3</v>
      </c>
      <c r="AA113" s="445">
        <f>MateriaisCampo[[#This Row],[UNIT S/ IP + DIF ICMS]]+(MateriaisCampo[[#This Row],[UNIT S/ IP + DIF ICMS]]*MateriaisCampo[[#This Row],[IPI %]])</f>
        <v>0.17274299999999998</v>
      </c>
      <c r="AB113" s="448">
        <f>_xlfn.XLOOKUP(MateriaisCampo[[#This Row],[FATURAMENTO]],BASE!$U$48:$U$50,BASE!$W$48:$W$50,0,0,1)</f>
        <v>0.79709863947533133</v>
      </c>
      <c r="AC113" s="510" t="str">
        <f>RESUMO!$E$56</f>
        <v>SIM</v>
      </c>
      <c r="AD113" s="449" t="str">
        <f>RESUMO!$E$57</f>
        <v>SIM</v>
      </c>
      <c r="AE11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0.12550224999999998</v>
      </c>
      <c r="AF113" s="450">
        <f>MateriaisCampo[[#This Row],[UNIT CRED]]*MateriaisCampo[[#This Row],[QUANTIDADE]]</f>
        <v>14.558260999999998</v>
      </c>
      <c r="AG113" s="451">
        <f>MateriaisCampo[[#This Row],[TOT CRED]]</f>
        <v>14.558260999999998</v>
      </c>
      <c r="AH113" s="452">
        <f>IF(MateriaisCampo[[#This Row],[QUANTIDADE]]&lt;&gt;0,((MateriaisCampo[[#This Row],[TOT CUSTO]]/MateriaisCampo[[#This Row],[QUANTIDADE]])/MateriaisCampo[[#This Row],[MARK-UP]]),0)</f>
        <v>0.15744883228330242</v>
      </c>
      <c r="AI113" s="453">
        <f>MateriaisCampo[[#This Row],[UNIT VENDA]]*MateriaisCampo[[#This Row],[QUANTIDADE]]</f>
        <v>18.264064544863082</v>
      </c>
      <c r="AJ113" s="453">
        <f>IFERROR(MateriaisCampo[[#This Row],[VENDA]]*(RESUMO!$F$55/RESUMO!$F$45),0)</f>
        <v>23.19246291411185</v>
      </c>
      <c r="AK113" s="453">
        <f>IFERROR(MateriaisCampo[[#This Row],[VENDA]]*(RESUMO!$F$58/RESUMO!$F$45),0)</f>
        <v>23.19246291411185</v>
      </c>
      <c r="AL113" s="454">
        <f>IF(MateriaisCampo[[#This Row],[FATURAMENTO]]="NORMAL",MateriaisCampo[[#This Row],[VENDA]],0)</f>
        <v>18.264064544863082</v>
      </c>
    </row>
    <row r="114" spans="1:38" x14ac:dyDescent="0.25">
      <c r="A114" s="113" t="s">
        <v>652</v>
      </c>
      <c r="B114" s="113" t="s">
        <v>652</v>
      </c>
      <c r="C114" s="113" t="s">
        <v>683</v>
      </c>
      <c r="D114" s="113" t="s">
        <v>685</v>
      </c>
      <c r="E114" s="434" t="s">
        <v>655</v>
      </c>
      <c r="F114" s="434">
        <f t="shared" si="0"/>
        <v>0</v>
      </c>
      <c r="G114" s="113"/>
      <c r="H114" s="435" t="s">
        <v>603</v>
      </c>
      <c r="I114" s="436">
        <f>I113</f>
        <v>116</v>
      </c>
      <c r="J114" s="437">
        <f>12.15/100</f>
        <v>0.1215</v>
      </c>
      <c r="K114" s="438">
        <v>0.18</v>
      </c>
      <c r="L114" s="438">
        <v>6.5000000000000002E-2</v>
      </c>
      <c r="M114" s="458"/>
      <c r="N114" s="445">
        <f>MateriaisCampo[[#This Row],[UNIT S/IPI S/DESC]]-MateriaisCampo[[#This Row],[UNIT S/IPI S/DESC]]*MateriaisCampo[[#This Row],[% DESC]]</f>
        <v>0.1215</v>
      </c>
      <c r="O114" s="441" t="s">
        <v>295</v>
      </c>
      <c r="P114" s="442" t="s">
        <v>155</v>
      </c>
      <c r="Q114" s="438">
        <v>1.6500000000000001E-2</v>
      </c>
      <c r="R114" s="438">
        <v>7.5999999999999998E-2</v>
      </c>
      <c r="S114" s="443">
        <f>MateriaisCampo[[#This Row],[UNIT S/ IP + DIF ICMS]]*MateriaisCampo[[#This Row],[QUANTIDADE]]</f>
        <v>14.093999999999999</v>
      </c>
      <c r="T114" s="444">
        <f>MateriaisCampo[[#This Row],[TOTAL S/ IPI]]+(MateriaisCampo[[#This Row],[TOTAL S/ IPI]]*MateriaisCampo[[#This Row],[IPI %]])</f>
        <v>15.010109999999999</v>
      </c>
      <c r="U114" s="445">
        <f>IF(AND(MateriaisCampo[[#This Row],[ICMS %]]&lt;&gt;18%,MateriaisCampo[[#This Row],[ORIGEM]]&lt;&gt;"SÃO PAULO"),((18%-MateriaisCampo[[#This Row],[ICMS %]])*MateriaisCampo[[#This Row],[UNIT S/ IPI C/DESC]]),0)</f>
        <v>0</v>
      </c>
      <c r="V114" s="437">
        <f>MateriaisCampo[[#This Row],[UNIT S/ IPI C/DESC]]*MateriaisCampo[[#This Row],[ICMS %]]</f>
        <v>2.1869999999999997E-2</v>
      </c>
      <c r="W114" s="437">
        <f>MateriaisCampo[[#This Row],[ICMS $]]*MateriaisCampo[[#This Row],[QUANTIDADE]]</f>
        <v>2.5369199999999998</v>
      </c>
      <c r="X114" s="446">
        <f>MateriaisCampo[[#This Row],[UNIT S/ IPI C/DESC]]+MateriaisCampo[[#This Row],[DIFERENCIAL ICMS]]</f>
        <v>0.1215</v>
      </c>
      <c r="Y114" s="446">
        <f>(MateriaisCampo[[#This Row],[PIS]]*MateriaisCampo[[#This Row],[UNIT S/ IPI C/DESC]])/2</f>
        <v>1.002375E-3</v>
      </c>
      <c r="Z114" s="446">
        <f>(MateriaisCampo[[#This Row],[COFINS]]*MateriaisCampo[[#This Row],[UNIT S/ IPI C/DESC]])/2</f>
        <v>4.6169999999999996E-3</v>
      </c>
      <c r="AA114" s="445">
        <f>MateriaisCampo[[#This Row],[UNIT S/ IP + DIF ICMS]]+(MateriaisCampo[[#This Row],[UNIT S/ IP + DIF ICMS]]*MateriaisCampo[[#This Row],[IPI %]])</f>
        <v>0.1293975</v>
      </c>
      <c r="AB114" s="448">
        <f>_xlfn.XLOOKUP(MateriaisCampo[[#This Row],[FATURAMENTO]],BASE!$U$48:$U$50,BASE!$W$48:$W$50,0,0,1)</f>
        <v>0.79709863947533133</v>
      </c>
      <c r="AC114" s="510" t="str">
        <f>RESUMO!$E$56</f>
        <v>SIM</v>
      </c>
      <c r="AD114" s="449" t="str">
        <f>RESUMO!$E$57</f>
        <v>SIM</v>
      </c>
      <c r="AE11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9.4010625E-2</v>
      </c>
      <c r="AF114" s="450">
        <f>MateriaisCampo[[#This Row],[UNIT CRED]]*MateriaisCampo[[#This Row],[QUANTIDADE]]</f>
        <v>10.9052325</v>
      </c>
      <c r="AG114" s="451">
        <f>MateriaisCampo[[#This Row],[TOT CRED]]</f>
        <v>10.9052325</v>
      </c>
      <c r="AH114" s="452">
        <f>IF(MateriaisCampo[[#This Row],[QUANTIDADE]]&lt;&gt;0,((MateriaisCampo[[#This Row],[TOT CUSTO]]/MateriaisCampo[[#This Row],[QUANTIDADE]])/MateriaisCampo[[#This Row],[MARK-UP]]),0)</f>
        <v>0.11794101801739362</v>
      </c>
      <c r="AI114" s="453">
        <f>MateriaisCampo[[#This Row],[UNIT VENDA]]*MateriaisCampo[[#This Row],[QUANTIDADE]]</f>
        <v>13.681158090017661</v>
      </c>
      <c r="AJ114" s="453">
        <f>IFERROR(MateriaisCampo[[#This Row],[VENDA]]*(RESUMO!$F$55/RESUMO!$F$45),0)</f>
        <v>17.372899161927187</v>
      </c>
      <c r="AK114" s="453">
        <f>IFERROR(MateriaisCampo[[#This Row],[VENDA]]*(RESUMO!$F$58/RESUMO!$F$45),0)</f>
        <v>17.372899161927187</v>
      </c>
      <c r="AL114" s="454">
        <f>IF(MateriaisCampo[[#This Row],[FATURAMENTO]]="NORMAL",MateriaisCampo[[#This Row],[VENDA]],0)</f>
        <v>13.681158090017661</v>
      </c>
    </row>
    <row r="115" spans="1:38" x14ac:dyDescent="0.25">
      <c r="A115" s="113" t="s">
        <v>652</v>
      </c>
      <c r="B115" s="113" t="s">
        <v>652</v>
      </c>
      <c r="C115" s="113" t="s">
        <v>684</v>
      </c>
      <c r="D115" s="113" t="s">
        <v>685</v>
      </c>
      <c r="E115" s="434" t="s">
        <v>655</v>
      </c>
      <c r="F115" s="434">
        <f t="shared" si="0"/>
        <v>0</v>
      </c>
      <c r="G115" s="113"/>
      <c r="H115" s="435" t="s">
        <v>603</v>
      </c>
      <c r="I115" s="436">
        <f>I114</f>
        <v>116</v>
      </c>
      <c r="J115" s="437">
        <v>1.1100000000000001</v>
      </c>
      <c r="K115" s="438">
        <v>0.18</v>
      </c>
      <c r="L115" s="438">
        <v>6.5000000000000002E-2</v>
      </c>
      <c r="M115" s="458"/>
      <c r="N115" s="445">
        <f>MateriaisCampo[[#This Row],[UNIT S/IPI S/DESC]]-MateriaisCampo[[#This Row],[UNIT S/IPI S/DESC]]*MateriaisCampo[[#This Row],[% DESC]]</f>
        <v>1.1100000000000001</v>
      </c>
      <c r="O115" s="441" t="s">
        <v>295</v>
      </c>
      <c r="P115" s="442" t="s">
        <v>155</v>
      </c>
      <c r="Q115" s="438">
        <v>1.6500000000000001E-2</v>
      </c>
      <c r="R115" s="438">
        <v>7.5999999999999998E-2</v>
      </c>
      <c r="S115" s="443">
        <f>MateriaisCampo[[#This Row],[UNIT S/ IP + DIF ICMS]]*MateriaisCampo[[#This Row],[QUANTIDADE]]</f>
        <v>128.76000000000002</v>
      </c>
      <c r="T115" s="444">
        <f>MateriaisCampo[[#This Row],[TOTAL S/ IPI]]+(MateriaisCampo[[#This Row],[TOTAL S/ IPI]]*MateriaisCampo[[#This Row],[IPI %]])</f>
        <v>137.12940000000003</v>
      </c>
      <c r="U115" s="445">
        <f>IF(AND(MateriaisCampo[[#This Row],[ICMS %]]&lt;&gt;18%,MateriaisCampo[[#This Row],[ORIGEM]]&lt;&gt;"SÃO PAULO"),((18%-MateriaisCampo[[#This Row],[ICMS %]])*MateriaisCampo[[#This Row],[UNIT S/ IPI C/DESC]]),0)</f>
        <v>0</v>
      </c>
      <c r="V115" s="437">
        <f>MateriaisCampo[[#This Row],[UNIT S/ IPI C/DESC]]*MateriaisCampo[[#This Row],[ICMS %]]</f>
        <v>0.19980000000000001</v>
      </c>
      <c r="W115" s="437">
        <f>MateriaisCampo[[#This Row],[ICMS $]]*MateriaisCampo[[#This Row],[QUANTIDADE]]</f>
        <v>23.1768</v>
      </c>
      <c r="X115" s="446">
        <f>MateriaisCampo[[#This Row],[UNIT S/ IPI C/DESC]]+MateriaisCampo[[#This Row],[DIFERENCIAL ICMS]]</f>
        <v>1.1100000000000001</v>
      </c>
      <c r="Y115" s="446">
        <f>(MateriaisCampo[[#This Row],[PIS]]*MateriaisCampo[[#This Row],[UNIT S/ IPI C/DESC]])/2</f>
        <v>9.1575000000000007E-3</v>
      </c>
      <c r="Z115" s="446">
        <f>(MateriaisCampo[[#This Row],[COFINS]]*MateriaisCampo[[#This Row],[UNIT S/ IPI C/DESC]])/2</f>
        <v>4.2180000000000002E-2</v>
      </c>
      <c r="AA115" s="445">
        <f>MateriaisCampo[[#This Row],[UNIT S/ IP + DIF ICMS]]+(MateriaisCampo[[#This Row],[UNIT S/ IP + DIF ICMS]]*MateriaisCampo[[#This Row],[IPI %]])</f>
        <v>1.18215</v>
      </c>
      <c r="AB115" s="448">
        <f>_xlfn.XLOOKUP(MateriaisCampo[[#This Row],[FATURAMENTO]],BASE!$U$48:$U$50,BASE!$W$48:$W$50,0,0,1)</f>
        <v>0.79709863947533133</v>
      </c>
      <c r="AC115" s="510" t="str">
        <f>RESUMO!$E$56</f>
        <v>SIM</v>
      </c>
      <c r="AD115" s="449" t="str">
        <f>RESUMO!$E$57</f>
        <v>SIM</v>
      </c>
      <c r="AE11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0.85886250000000008</v>
      </c>
      <c r="AF115" s="450">
        <f>MateriaisCampo[[#This Row],[UNIT CRED]]*MateriaisCampo[[#This Row],[QUANTIDADE]]</f>
        <v>99.628050000000016</v>
      </c>
      <c r="AG115" s="451">
        <f>MateriaisCampo[[#This Row],[TOT CRED]]</f>
        <v>99.628050000000016</v>
      </c>
      <c r="AH115" s="452">
        <f>IF(MateriaisCampo[[#This Row],[QUANTIDADE]]&lt;&gt;0,((MateriaisCampo[[#This Row],[TOT CUSTO]]/MateriaisCampo[[#This Row],[QUANTIDADE]])/MateriaisCampo[[#This Row],[MARK-UP]]),0)</f>
        <v>1.0774858436156949</v>
      </c>
      <c r="AI115" s="453">
        <f>MateriaisCampo[[#This Row],[UNIT VENDA]]*MateriaisCampo[[#This Row],[QUANTIDADE]]</f>
        <v>124.9883578594206</v>
      </c>
      <c r="AJ115" s="453">
        <f>IFERROR(MateriaisCampo[[#This Row],[VENDA]]*(RESUMO!$F$55/RESUMO!$F$45),0)</f>
        <v>158.7153750595817</v>
      </c>
      <c r="AK115" s="453">
        <f>IFERROR(MateriaisCampo[[#This Row],[VENDA]]*(RESUMO!$F$58/RESUMO!$F$45),0)</f>
        <v>158.7153750595817</v>
      </c>
      <c r="AL115" s="454">
        <f>IF(MateriaisCampo[[#This Row],[FATURAMENTO]]="NORMAL",MateriaisCampo[[#This Row],[VENDA]],0)</f>
        <v>124.9883578594206</v>
      </c>
    </row>
    <row r="116" spans="1:38" x14ac:dyDescent="0.25">
      <c r="A116" s="113" t="s">
        <v>652</v>
      </c>
      <c r="B116" s="113" t="s">
        <v>652</v>
      </c>
      <c r="C116" s="113" t="s">
        <v>686</v>
      </c>
      <c r="D116" s="113" t="s">
        <v>685</v>
      </c>
      <c r="E116" s="434" t="s">
        <v>655</v>
      </c>
      <c r="F116" s="434">
        <f t="shared" si="0"/>
        <v>0</v>
      </c>
      <c r="G116" s="113"/>
      <c r="H116" s="435" t="s">
        <v>603</v>
      </c>
      <c r="I116" s="436">
        <f>I111</f>
        <v>116</v>
      </c>
      <c r="J116" s="437">
        <v>1.42</v>
      </c>
      <c r="K116" s="438">
        <v>0.18</v>
      </c>
      <c r="L116" s="438"/>
      <c r="M116" s="458"/>
      <c r="N116" s="445">
        <f>MateriaisCampo[[#This Row],[UNIT S/IPI S/DESC]]-MateriaisCampo[[#This Row],[UNIT S/IPI S/DESC]]*MateriaisCampo[[#This Row],[% DESC]]</f>
        <v>1.42</v>
      </c>
      <c r="O116" s="441" t="s">
        <v>295</v>
      </c>
      <c r="P116" s="442" t="s">
        <v>155</v>
      </c>
      <c r="Q116" s="438">
        <v>1.6500000000000001E-2</v>
      </c>
      <c r="R116" s="438">
        <v>7.5999999999999998E-2</v>
      </c>
      <c r="S116" s="443">
        <f>MateriaisCampo[[#This Row],[UNIT S/ IP + DIF ICMS]]*MateriaisCampo[[#This Row],[QUANTIDADE]]</f>
        <v>164.72</v>
      </c>
      <c r="T116" s="444">
        <f>MateriaisCampo[[#This Row],[TOTAL S/ IPI]]+(MateriaisCampo[[#This Row],[TOTAL S/ IPI]]*MateriaisCampo[[#This Row],[IPI %]])</f>
        <v>164.72</v>
      </c>
      <c r="U116" s="445">
        <f>IF(AND(MateriaisCampo[[#This Row],[ICMS %]]&lt;&gt;18%,MateriaisCampo[[#This Row],[ORIGEM]]&lt;&gt;"SÃO PAULO"),((18%-MateriaisCampo[[#This Row],[ICMS %]])*MateriaisCampo[[#This Row],[UNIT S/ IPI C/DESC]]),0)</f>
        <v>0</v>
      </c>
      <c r="V116" s="437">
        <f>MateriaisCampo[[#This Row],[UNIT S/ IPI C/DESC]]*MateriaisCampo[[#This Row],[ICMS %]]</f>
        <v>0.25559999999999999</v>
      </c>
      <c r="W116" s="437">
        <f>MateriaisCampo[[#This Row],[ICMS $]]*MateriaisCampo[[#This Row],[QUANTIDADE]]</f>
        <v>29.6496</v>
      </c>
      <c r="X116" s="446">
        <f>MateriaisCampo[[#This Row],[UNIT S/ IPI C/DESC]]+MateriaisCampo[[#This Row],[DIFERENCIAL ICMS]]</f>
        <v>1.42</v>
      </c>
      <c r="Y116" s="446">
        <f>(MateriaisCampo[[#This Row],[PIS]]*MateriaisCampo[[#This Row],[UNIT S/ IPI C/DESC]])/2</f>
        <v>1.1715E-2</v>
      </c>
      <c r="Z116" s="446">
        <f>(MateriaisCampo[[#This Row],[COFINS]]*MateriaisCampo[[#This Row],[UNIT S/ IPI C/DESC]])/2</f>
        <v>5.3959999999999994E-2</v>
      </c>
      <c r="AA116" s="445">
        <f>MateriaisCampo[[#This Row],[UNIT S/ IP + DIF ICMS]]+(MateriaisCampo[[#This Row],[UNIT S/ IP + DIF ICMS]]*MateriaisCampo[[#This Row],[IPI %]])</f>
        <v>1.42</v>
      </c>
      <c r="AB116" s="448">
        <f>_xlfn.XLOOKUP(MateriaisCampo[[#This Row],[FATURAMENTO]],BASE!$U$48:$U$50,BASE!$W$48:$W$50,0,0,1)</f>
        <v>0.79709863947533133</v>
      </c>
      <c r="AC116" s="510" t="str">
        <f>RESUMO!$E$56</f>
        <v>SIM</v>
      </c>
      <c r="AD116" s="449" t="str">
        <f>RESUMO!$E$57</f>
        <v>SIM</v>
      </c>
      <c r="AE11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1.098725</v>
      </c>
      <c r="AF116" s="450">
        <f>MateriaisCampo[[#This Row],[UNIT CRED]]*MateriaisCampo[[#This Row],[QUANTIDADE]]</f>
        <v>127.4521</v>
      </c>
      <c r="AG116" s="451">
        <f>MateriaisCampo[[#This Row],[TOT CRED]]</f>
        <v>127.4521</v>
      </c>
      <c r="AH116" s="452">
        <f>IF(MateriaisCampo[[#This Row],[QUANTIDADE]]&lt;&gt;0,((MateriaisCampo[[#This Row],[TOT CUSTO]]/MateriaisCampo[[#This Row],[QUANTIDADE]])/MateriaisCampo[[#This Row],[MARK-UP]]),0)</f>
        <v>1.3784053134543124</v>
      </c>
      <c r="AI116" s="453">
        <f>MateriaisCampo[[#This Row],[UNIT VENDA]]*MateriaisCampo[[#This Row],[QUANTIDADE]]</f>
        <v>159.89501636070023</v>
      </c>
      <c r="AJ116" s="453">
        <f>IFERROR(MateriaisCampo[[#This Row],[VENDA]]*(RESUMO!$F$55/RESUMO!$F$45),0)</f>
        <v>203.04129061676218</v>
      </c>
      <c r="AK116" s="453">
        <f>IFERROR(MateriaisCampo[[#This Row],[VENDA]]*(RESUMO!$F$58/RESUMO!$F$45),0)</f>
        <v>203.04129061676218</v>
      </c>
      <c r="AL116" s="454">
        <f>IF(MateriaisCampo[[#This Row],[FATURAMENTO]]="NORMAL",MateriaisCampo[[#This Row],[VENDA]],0)</f>
        <v>159.89501636070023</v>
      </c>
    </row>
    <row r="117" spans="1:38" x14ac:dyDescent="0.25">
      <c r="A117" s="113" t="s">
        <v>652</v>
      </c>
      <c r="B117" s="113" t="s">
        <v>652</v>
      </c>
      <c r="C117" s="113" t="s">
        <v>816</v>
      </c>
      <c r="D117" s="113" t="s">
        <v>818</v>
      </c>
      <c r="E117" s="434" t="s">
        <v>817</v>
      </c>
      <c r="F117" s="434">
        <f t="shared" si="0"/>
        <v>0</v>
      </c>
      <c r="G117" s="113"/>
      <c r="H117" s="435" t="s">
        <v>603</v>
      </c>
      <c r="I117" s="436">
        <v>32</v>
      </c>
      <c r="J117" s="437">
        <v>140</v>
      </c>
      <c r="K117" s="438">
        <v>0.12</v>
      </c>
      <c r="L117" s="438">
        <v>3.2500000000000001E-2</v>
      </c>
      <c r="M117" s="458"/>
      <c r="N117" s="445">
        <f>MateriaisCampo[[#This Row],[UNIT S/IPI S/DESC]]-MateriaisCampo[[#This Row],[UNIT S/IPI S/DESC]]*MateriaisCampo[[#This Row],[% DESC]]</f>
        <v>140</v>
      </c>
      <c r="O117" s="441" t="s">
        <v>295</v>
      </c>
      <c r="P117" s="442" t="s">
        <v>155</v>
      </c>
      <c r="Q117" s="438">
        <v>1.6500000000000001E-2</v>
      </c>
      <c r="R117" s="438">
        <v>7.5999999999999998E-2</v>
      </c>
      <c r="S117" s="443">
        <f>MateriaisCampo[[#This Row],[UNIT S/ IP + DIF ICMS]]*MateriaisCampo[[#This Row],[QUANTIDADE]]</f>
        <v>4480</v>
      </c>
      <c r="T117" s="444">
        <f>MateriaisCampo[[#This Row],[TOTAL S/ IPI]]+(MateriaisCampo[[#This Row],[TOTAL S/ IPI]]*MateriaisCampo[[#This Row],[IPI %]])</f>
        <v>4625.6000000000004</v>
      </c>
      <c r="U117" s="445">
        <f>IF(AND(MateriaisCampo[[#This Row],[ICMS %]]&lt;&gt;18%,MateriaisCampo[[#This Row],[ORIGEM]]&lt;&gt;"SÃO PAULO"),((18%-MateriaisCampo[[#This Row],[ICMS %]])*MateriaisCampo[[#This Row],[UNIT S/ IPI C/DESC]]),0)</f>
        <v>0</v>
      </c>
      <c r="V117" s="437">
        <f>MateriaisCampo[[#This Row],[UNIT S/ IPI C/DESC]]*MateriaisCampo[[#This Row],[ICMS %]]</f>
        <v>16.8</v>
      </c>
      <c r="W117" s="437">
        <f>MateriaisCampo[[#This Row],[ICMS $]]*MateriaisCampo[[#This Row],[QUANTIDADE]]</f>
        <v>537.6</v>
      </c>
      <c r="X117" s="446">
        <f>MateriaisCampo[[#This Row],[UNIT S/ IPI C/DESC]]+MateriaisCampo[[#This Row],[DIFERENCIAL ICMS]]</f>
        <v>140</v>
      </c>
      <c r="Y117" s="446">
        <f>(MateriaisCampo[[#This Row],[PIS]]*MateriaisCampo[[#This Row],[UNIT S/ IPI C/DESC]])/2</f>
        <v>1.155</v>
      </c>
      <c r="Z117" s="446">
        <f>(MateriaisCampo[[#This Row],[COFINS]]*MateriaisCampo[[#This Row],[UNIT S/ IPI C/DESC]])/2</f>
        <v>5.32</v>
      </c>
      <c r="AA117" s="445">
        <f>MateriaisCampo[[#This Row],[UNIT S/ IP + DIF ICMS]]+(MateriaisCampo[[#This Row],[UNIT S/ IP + DIF ICMS]]*MateriaisCampo[[#This Row],[IPI %]])</f>
        <v>144.55000000000001</v>
      </c>
      <c r="AB117" s="448">
        <f>_xlfn.XLOOKUP(MateriaisCampo[[#This Row],[FATURAMENTO]],BASE!$U$48:$U$50,BASE!$W$48:$W$50,0,0,1)</f>
        <v>0.79709863947533133</v>
      </c>
      <c r="AC117" s="510" t="str">
        <f>RESUMO!$E$56</f>
        <v>SIM</v>
      </c>
      <c r="AD117" s="449" t="str">
        <f>RESUMO!$E$57</f>
        <v>SIM</v>
      </c>
      <c r="AE11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116.72499999999999</v>
      </c>
      <c r="AF117" s="450">
        <f>MateriaisCampo[[#This Row],[UNIT CRED]]*MateriaisCampo[[#This Row],[QUANTIDADE]]</f>
        <v>3735.2</v>
      </c>
      <c r="AG117" s="451">
        <f>MateriaisCampo[[#This Row],[TOT CRED]]</f>
        <v>3735.2</v>
      </c>
      <c r="AH117" s="452">
        <f>IF(MateriaisCampo[[#This Row],[QUANTIDADE]]&lt;&gt;0,((MateriaisCampo[[#This Row],[TOT CUSTO]]/MateriaisCampo[[#This Row],[QUANTIDADE]])/MateriaisCampo[[#This Row],[MARK-UP]]),0)</f>
        <v>146.43733437662254</v>
      </c>
      <c r="AI117" s="453">
        <f>MateriaisCampo[[#This Row],[UNIT VENDA]]*MateriaisCampo[[#This Row],[QUANTIDADE]]</f>
        <v>4685.9947000519214</v>
      </c>
      <c r="AJ117" s="453">
        <f>IFERROR(MateriaisCampo[[#This Row],[VENDA]]*(RESUMO!$F$55/RESUMO!$F$45),0)</f>
        <v>5950.4694603833923</v>
      </c>
      <c r="AK117" s="453">
        <f>IFERROR(MateriaisCampo[[#This Row],[VENDA]]*(RESUMO!$F$58/RESUMO!$F$45),0)</f>
        <v>5950.4694603833923</v>
      </c>
      <c r="AL117" s="454">
        <f>IF(MateriaisCampo[[#This Row],[FATURAMENTO]]="NORMAL",MateriaisCampo[[#This Row],[VENDA]],0)</f>
        <v>4685.9947000519214</v>
      </c>
    </row>
    <row r="118" spans="1:38" x14ac:dyDescent="0.25">
      <c r="A118" s="113"/>
      <c r="B118" s="113"/>
      <c r="C118" s="113"/>
      <c r="D118" s="113"/>
      <c r="E118" s="434"/>
      <c r="F118" s="434">
        <f t="shared" si="0"/>
        <v>0</v>
      </c>
      <c r="G118" s="113"/>
      <c r="H118" s="435"/>
      <c r="I118" s="436"/>
      <c r="J118" s="437"/>
      <c r="K118" s="438"/>
      <c r="L118" s="438"/>
      <c r="M118" s="458"/>
      <c r="N118" s="445">
        <f>MateriaisCampo[[#This Row],[UNIT S/IPI S/DESC]]-MateriaisCampo[[#This Row],[UNIT S/IPI S/DESC]]*MateriaisCampo[[#This Row],[% DESC]]</f>
        <v>0</v>
      </c>
      <c r="O118" s="441" t="s">
        <v>295</v>
      </c>
      <c r="P118" s="442" t="s">
        <v>155</v>
      </c>
      <c r="Q118" s="438">
        <v>1.6500000000000001E-2</v>
      </c>
      <c r="R118" s="438">
        <v>7.5999999999999998E-2</v>
      </c>
      <c r="S118" s="443">
        <f>MateriaisCampo[[#This Row],[UNIT S/ IP + DIF ICMS]]*MateriaisCampo[[#This Row],[QUANTIDADE]]</f>
        <v>0</v>
      </c>
      <c r="T118" s="444">
        <f>MateriaisCampo[[#This Row],[TOTAL S/ IPI]]+(MateriaisCampo[[#This Row],[TOTAL S/ IPI]]*MateriaisCampo[[#This Row],[IPI %]])</f>
        <v>0</v>
      </c>
      <c r="U118" s="445">
        <f>IF(AND(MateriaisCampo[[#This Row],[ICMS %]]&lt;&gt;18%,MateriaisCampo[[#This Row],[ORIGEM]]&lt;&gt;"SÃO PAULO"),((18%-MateriaisCampo[[#This Row],[ICMS %]])*MateriaisCampo[[#This Row],[UNIT S/ IPI C/DESC]]),0)</f>
        <v>0</v>
      </c>
      <c r="V118" s="437">
        <f>MateriaisCampo[[#This Row],[UNIT S/ IPI C/DESC]]*MateriaisCampo[[#This Row],[ICMS %]]</f>
        <v>0</v>
      </c>
      <c r="W118" s="437">
        <f>MateriaisCampo[[#This Row],[ICMS $]]*MateriaisCampo[[#This Row],[QUANTIDADE]]</f>
        <v>0</v>
      </c>
      <c r="X118" s="446">
        <f>MateriaisCampo[[#This Row],[UNIT S/ IPI C/DESC]]+MateriaisCampo[[#This Row],[DIFERENCIAL ICMS]]</f>
        <v>0</v>
      </c>
      <c r="Y118" s="446">
        <f>(MateriaisCampo[[#This Row],[PIS]]*MateriaisCampo[[#This Row],[UNIT S/ IPI C/DESC]])/2</f>
        <v>0</v>
      </c>
      <c r="Z118" s="446">
        <f>(MateriaisCampo[[#This Row],[COFINS]]*MateriaisCampo[[#This Row],[UNIT S/ IPI C/DESC]])/2</f>
        <v>0</v>
      </c>
      <c r="AA118" s="445">
        <f>MateriaisCampo[[#This Row],[UNIT S/ IP + DIF ICMS]]+(MateriaisCampo[[#This Row],[UNIT S/ IP + DIF ICMS]]*MateriaisCampo[[#This Row],[IPI %]])</f>
        <v>0</v>
      </c>
      <c r="AB118" s="448">
        <f>_xlfn.XLOOKUP(MateriaisCampo[[#This Row],[FATURAMENTO]],BASE!$U$48:$U$50,BASE!$W$48:$W$50,0,0,1)</f>
        <v>0.79709863947533133</v>
      </c>
      <c r="AC118" s="510" t="str">
        <f>RESUMO!$E$56</f>
        <v>SIM</v>
      </c>
      <c r="AD118" s="449" t="str">
        <f>RESUMO!$E$57</f>
        <v>SIM</v>
      </c>
      <c r="AE11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18" s="450">
        <f>MateriaisCampo[[#This Row],[UNIT CRED]]*MateriaisCampo[[#This Row],[QUANTIDADE]]</f>
        <v>0</v>
      </c>
      <c r="AG118" s="451">
        <f>MateriaisCampo[[#This Row],[TOT CRED]]</f>
        <v>0</v>
      </c>
      <c r="AH118" s="452">
        <f>IF(MateriaisCampo[[#This Row],[QUANTIDADE]]&lt;&gt;0,((MateriaisCampo[[#This Row],[TOT CUSTO]]/MateriaisCampo[[#This Row],[QUANTIDADE]])/MateriaisCampo[[#This Row],[MARK-UP]]),0)</f>
        <v>0</v>
      </c>
      <c r="AI118" s="453">
        <f>MateriaisCampo[[#This Row],[UNIT VENDA]]*MateriaisCampo[[#This Row],[QUANTIDADE]]</f>
        <v>0</v>
      </c>
      <c r="AJ118" s="453">
        <f>IFERROR(MateriaisCampo[[#This Row],[VENDA]]*(RESUMO!$F$55/RESUMO!$F$45),0)</f>
        <v>0</v>
      </c>
      <c r="AK118" s="453">
        <f>IFERROR(MateriaisCampo[[#This Row],[VENDA]]*(RESUMO!$F$58/RESUMO!$F$45),0)</f>
        <v>0</v>
      </c>
      <c r="AL118" s="454">
        <f>IF(MateriaisCampo[[#This Row],[FATURAMENTO]]="NORMAL",MateriaisCampo[[#This Row],[VENDA]],0)</f>
        <v>0</v>
      </c>
    </row>
    <row r="119" spans="1:38" x14ac:dyDescent="0.25">
      <c r="A119" s="484" t="s">
        <v>652</v>
      </c>
      <c r="B119" s="484" t="s">
        <v>652</v>
      </c>
      <c r="C119" s="484" t="s">
        <v>688</v>
      </c>
      <c r="D119" s="484"/>
      <c r="E119" s="485"/>
      <c r="F119" s="485">
        <v>0</v>
      </c>
      <c r="G119" s="484"/>
      <c r="H119" s="486"/>
      <c r="I119" s="487"/>
      <c r="J119" s="488"/>
      <c r="K119" s="438"/>
      <c r="L119" s="438"/>
      <c r="M119" s="458"/>
      <c r="N119" s="445">
        <f>MateriaisCampo[[#This Row],[UNIT S/IPI S/DESC]]-MateriaisCampo[[#This Row],[UNIT S/IPI S/DESC]]*MateriaisCampo[[#This Row],[% DESC]]</f>
        <v>0</v>
      </c>
      <c r="O119" s="441" t="s">
        <v>295</v>
      </c>
      <c r="P119" s="442" t="s">
        <v>155</v>
      </c>
      <c r="Q119" s="438">
        <v>1.6500000000000001E-2</v>
      </c>
      <c r="R119" s="438">
        <v>7.5999999999999998E-2</v>
      </c>
      <c r="S119" s="443">
        <f>MateriaisCampo[[#This Row],[UNIT S/ IP + DIF ICMS]]*MateriaisCampo[[#This Row],[QUANTIDADE]]</f>
        <v>0</v>
      </c>
      <c r="T119" s="444">
        <f>MateriaisCampo[[#This Row],[TOTAL S/ IPI]]+(MateriaisCampo[[#This Row],[TOTAL S/ IPI]]*MateriaisCampo[[#This Row],[IPI %]])</f>
        <v>0</v>
      </c>
      <c r="U119" s="445">
        <f>IF(AND(MateriaisCampo[[#This Row],[ICMS %]]&lt;&gt;18%,MateriaisCampo[[#This Row],[ORIGEM]]&lt;&gt;"SÃO PAULO"),((18%-MateriaisCampo[[#This Row],[ICMS %]])*MateriaisCampo[[#This Row],[UNIT S/ IPI C/DESC]]),0)</f>
        <v>0</v>
      </c>
      <c r="V119" s="437">
        <f>MateriaisCampo[[#This Row],[UNIT S/ IPI C/DESC]]*MateriaisCampo[[#This Row],[ICMS %]]</f>
        <v>0</v>
      </c>
      <c r="W119" s="437">
        <f>MateriaisCampo[[#This Row],[ICMS $]]*MateriaisCampo[[#This Row],[QUANTIDADE]]</f>
        <v>0</v>
      </c>
      <c r="X119" s="446">
        <f>MateriaisCampo[[#This Row],[UNIT S/ IPI C/DESC]]+MateriaisCampo[[#This Row],[DIFERENCIAL ICMS]]</f>
        <v>0</v>
      </c>
      <c r="Y119" s="446">
        <f>(MateriaisCampo[[#This Row],[PIS]]*MateriaisCampo[[#This Row],[UNIT S/ IPI C/DESC]])/2</f>
        <v>0</v>
      </c>
      <c r="Z119" s="446">
        <f>(MateriaisCampo[[#This Row],[COFINS]]*MateriaisCampo[[#This Row],[UNIT S/ IPI C/DESC]])/2</f>
        <v>0</v>
      </c>
      <c r="AA119" s="445">
        <f>MateriaisCampo[[#This Row],[UNIT S/ IP + DIF ICMS]]+(MateriaisCampo[[#This Row],[UNIT S/ IP + DIF ICMS]]*MateriaisCampo[[#This Row],[IPI %]])</f>
        <v>0</v>
      </c>
      <c r="AB119" s="448">
        <f>_xlfn.XLOOKUP(MateriaisCampo[[#This Row],[FATURAMENTO]],BASE!$U$48:$U$50,BASE!$W$48:$W$50,0,0,1)</f>
        <v>0.79709863947533133</v>
      </c>
      <c r="AC119" s="510" t="str">
        <f>RESUMO!$E$56</f>
        <v>SIM</v>
      </c>
      <c r="AD119" s="449" t="str">
        <f>RESUMO!$E$57</f>
        <v>SIM</v>
      </c>
      <c r="AE11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19" s="450">
        <f>MateriaisCampo[[#This Row],[UNIT CRED]]*MateriaisCampo[[#This Row],[QUANTIDADE]]</f>
        <v>0</v>
      </c>
      <c r="AG119" s="451">
        <f>MateriaisCampo[[#This Row],[TOT CRED]]</f>
        <v>0</v>
      </c>
      <c r="AH119" s="452">
        <f>IF(MateriaisCampo[[#This Row],[QUANTIDADE]]&lt;&gt;0,((MateriaisCampo[[#This Row],[TOT CUSTO]]/MateriaisCampo[[#This Row],[QUANTIDADE]])/MateriaisCampo[[#This Row],[MARK-UP]]),0)</f>
        <v>0</v>
      </c>
      <c r="AI119" s="453">
        <f>MateriaisCampo[[#This Row],[UNIT VENDA]]*MateriaisCampo[[#This Row],[QUANTIDADE]]</f>
        <v>0</v>
      </c>
      <c r="AJ119" s="453">
        <f>IFERROR(MateriaisCampo[[#This Row],[VENDA]]*(RESUMO!$F$55/RESUMO!$F$45),0)</f>
        <v>0</v>
      </c>
      <c r="AK119" s="453">
        <f>IFERROR(MateriaisCampo[[#This Row],[VENDA]]*(RESUMO!$F$58/RESUMO!$F$45),0)</f>
        <v>0</v>
      </c>
      <c r="AL119" s="454">
        <f>IF(MateriaisCampo[[#This Row],[FATURAMENTO]]="NORMAL",MateriaisCampo[[#This Row],[VENDA]],0)</f>
        <v>0</v>
      </c>
    </row>
    <row r="120" spans="1:38" x14ac:dyDescent="0.25">
      <c r="A120" s="113" t="s">
        <v>652</v>
      </c>
      <c r="B120" s="113" t="s">
        <v>652</v>
      </c>
      <c r="C120" s="113" t="s">
        <v>691</v>
      </c>
      <c r="D120" s="113" t="s">
        <v>689</v>
      </c>
      <c r="E120" s="434" t="s">
        <v>655</v>
      </c>
      <c r="F120" s="434">
        <f t="shared" si="0"/>
        <v>0</v>
      </c>
      <c r="G120" s="113"/>
      <c r="H120" s="435" t="s">
        <v>603</v>
      </c>
      <c r="I120" s="436">
        <v>9</v>
      </c>
      <c r="J120" s="437">
        <v>101.74050179084676</v>
      </c>
      <c r="K120" s="438">
        <v>0.18</v>
      </c>
      <c r="L120" s="438"/>
      <c r="M120" s="458"/>
      <c r="N120" s="445">
        <f>MateriaisCampo[[#This Row],[UNIT S/IPI S/DESC]]-MateriaisCampo[[#This Row],[UNIT S/IPI S/DESC]]*MateriaisCampo[[#This Row],[% DESC]]</f>
        <v>101.74050179084676</v>
      </c>
      <c r="O120" s="441" t="s">
        <v>295</v>
      </c>
      <c r="P120" s="442" t="s">
        <v>155</v>
      </c>
      <c r="Q120" s="438">
        <v>1.6500000000000001E-2</v>
      </c>
      <c r="R120" s="438">
        <v>7.5999999999999998E-2</v>
      </c>
      <c r="S120" s="443">
        <f>MateriaisCampo[[#This Row],[UNIT S/ IP + DIF ICMS]]*MateriaisCampo[[#This Row],[QUANTIDADE]]</f>
        <v>915.66451611762091</v>
      </c>
      <c r="T120" s="444">
        <f>MateriaisCampo[[#This Row],[TOTAL S/ IPI]]+(MateriaisCampo[[#This Row],[TOTAL S/ IPI]]*MateriaisCampo[[#This Row],[IPI %]])</f>
        <v>915.66451611762091</v>
      </c>
      <c r="U120" s="445">
        <f>IF(AND(MateriaisCampo[[#This Row],[ICMS %]]&lt;&gt;18%,MateriaisCampo[[#This Row],[ORIGEM]]&lt;&gt;"SÃO PAULO"),((18%-MateriaisCampo[[#This Row],[ICMS %]])*MateriaisCampo[[#This Row],[UNIT S/ IPI C/DESC]]),0)</f>
        <v>0</v>
      </c>
      <c r="V120" s="437">
        <f>MateriaisCampo[[#This Row],[UNIT S/ IPI C/DESC]]*MateriaisCampo[[#This Row],[ICMS %]]</f>
        <v>18.313290322352415</v>
      </c>
      <c r="W120" s="437">
        <f>MateriaisCampo[[#This Row],[ICMS $]]*MateriaisCampo[[#This Row],[QUANTIDADE]]</f>
        <v>164.81961290117175</v>
      </c>
      <c r="X120" s="446">
        <f>MateriaisCampo[[#This Row],[UNIT S/ IPI C/DESC]]+MateriaisCampo[[#This Row],[DIFERENCIAL ICMS]]</f>
        <v>101.74050179084676</v>
      </c>
      <c r="Y120" s="446">
        <f>(MateriaisCampo[[#This Row],[PIS]]*MateriaisCampo[[#This Row],[UNIT S/ IPI C/DESC]])/2</f>
        <v>0.83935913977448584</v>
      </c>
      <c r="Z120" s="446">
        <f>(MateriaisCampo[[#This Row],[COFINS]]*MateriaisCampo[[#This Row],[UNIT S/ IPI C/DESC]])/2</f>
        <v>3.8661390680521768</v>
      </c>
      <c r="AA120" s="445">
        <f>MateriaisCampo[[#This Row],[UNIT S/ IP + DIF ICMS]]+(MateriaisCampo[[#This Row],[UNIT S/ IP + DIF ICMS]]*MateriaisCampo[[#This Row],[IPI %]])</f>
        <v>101.74050179084676</v>
      </c>
      <c r="AB120" s="448">
        <f>_xlfn.XLOOKUP(MateriaisCampo[[#This Row],[FATURAMENTO]],BASE!$U$48:$U$50,BASE!$W$48:$W$50,0,0,1)</f>
        <v>0.79709863947533133</v>
      </c>
      <c r="AC120" s="510" t="str">
        <f>RESUMO!$E$56</f>
        <v>SIM</v>
      </c>
      <c r="AD120" s="449" t="str">
        <f>RESUMO!$E$57</f>
        <v>SIM</v>
      </c>
      <c r="AE12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78.721713260667684</v>
      </c>
      <c r="AF120" s="450">
        <f>MateriaisCampo[[#This Row],[UNIT CRED]]*MateriaisCampo[[#This Row],[QUANTIDADE]]</f>
        <v>708.49541934600916</v>
      </c>
      <c r="AG120" s="451">
        <f>MateriaisCampo[[#This Row],[TOT CRED]]</f>
        <v>708.49541934600916</v>
      </c>
      <c r="AH120" s="452">
        <f>IF(MateriaisCampo[[#This Row],[QUANTIDADE]]&lt;&gt;0,((MateriaisCampo[[#This Row],[TOT CUSTO]]/MateriaisCampo[[#This Row],[QUANTIDADE]])/MateriaisCampo[[#This Row],[MARK-UP]]),0)</f>
        <v>98.760315677472647</v>
      </c>
      <c r="AI120" s="453">
        <f>MateriaisCampo[[#This Row],[UNIT VENDA]]*MateriaisCampo[[#This Row],[QUANTIDADE]]</f>
        <v>888.84284109725377</v>
      </c>
      <c r="AJ120" s="453">
        <f>IFERROR(MateriaisCampo[[#This Row],[VENDA]]*(RESUMO!$F$55/RESUMO!$F$45),0)</f>
        <v>1128.6893220282586</v>
      </c>
      <c r="AK120" s="453">
        <f>IFERROR(MateriaisCampo[[#This Row],[VENDA]]*(RESUMO!$F$58/RESUMO!$F$45),0)</f>
        <v>1128.6893220282586</v>
      </c>
      <c r="AL120" s="454">
        <f>IF(MateriaisCampo[[#This Row],[FATURAMENTO]]="NORMAL",MateriaisCampo[[#This Row],[VENDA]],0)</f>
        <v>888.84284109725377</v>
      </c>
    </row>
    <row r="121" spans="1:38" x14ac:dyDescent="0.25">
      <c r="A121" s="113" t="s">
        <v>652</v>
      </c>
      <c r="B121" s="113" t="s">
        <v>652</v>
      </c>
      <c r="C121" s="113" t="s">
        <v>692</v>
      </c>
      <c r="D121" s="113" t="s">
        <v>689</v>
      </c>
      <c r="E121" s="434" t="s">
        <v>655</v>
      </c>
      <c r="F121" s="434">
        <f t="shared" si="0"/>
        <v>0</v>
      </c>
      <c r="G121" s="113"/>
      <c r="H121" s="435" t="s">
        <v>603</v>
      </c>
      <c r="I121" s="436">
        <f>I120</f>
        <v>9</v>
      </c>
      <c r="J121" s="437">
        <v>32.834002935496336</v>
      </c>
      <c r="K121" s="438">
        <v>0.18</v>
      </c>
      <c r="L121" s="438"/>
      <c r="M121" s="458"/>
      <c r="N121" s="445">
        <f>MateriaisCampo[[#This Row],[UNIT S/IPI S/DESC]]-MateriaisCampo[[#This Row],[UNIT S/IPI S/DESC]]*MateriaisCampo[[#This Row],[% DESC]]</f>
        <v>32.834002935496336</v>
      </c>
      <c r="O121" s="441" t="s">
        <v>295</v>
      </c>
      <c r="P121" s="442" t="s">
        <v>155</v>
      </c>
      <c r="Q121" s="438">
        <v>1.6500000000000001E-2</v>
      </c>
      <c r="R121" s="438">
        <v>7.5999999999999998E-2</v>
      </c>
      <c r="S121" s="443">
        <f>MateriaisCampo[[#This Row],[UNIT S/ IP + DIF ICMS]]*MateriaisCampo[[#This Row],[QUANTIDADE]]</f>
        <v>295.50602641946705</v>
      </c>
      <c r="T121" s="444">
        <f>MateriaisCampo[[#This Row],[TOTAL S/ IPI]]+(MateriaisCampo[[#This Row],[TOTAL S/ IPI]]*MateriaisCampo[[#This Row],[IPI %]])</f>
        <v>295.50602641946705</v>
      </c>
      <c r="U121" s="445">
        <f>IF(AND(MateriaisCampo[[#This Row],[ICMS %]]&lt;&gt;18%,MateriaisCampo[[#This Row],[ORIGEM]]&lt;&gt;"SÃO PAULO"),((18%-MateriaisCampo[[#This Row],[ICMS %]])*MateriaisCampo[[#This Row],[UNIT S/ IPI C/DESC]]),0)</f>
        <v>0</v>
      </c>
      <c r="V121" s="437">
        <f>MateriaisCampo[[#This Row],[UNIT S/ IPI C/DESC]]*MateriaisCampo[[#This Row],[ICMS %]]</f>
        <v>5.9101205283893403</v>
      </c>
      <c r="W121" s="437">
        <f>MateriaisCampo[[#This Row],[ICMS $]]*MateriaisCampo[[#This Row],[QUANTIDADE]]</f>
        <v>53.191084755504065</v>
      </c>
      <c r="X121" s="446">
        <f>MateriaisCampo[[#This Row],[UNIT S/ IPI C/DESC]]+MateriaisCampo[[#This Row],[DIFERENCIAL ICMS]]</f>
        <v>32.834002935496336</v>
      </c>
      <c r="Y121" s="446">
        <f>(MateriaisCampo[[#This Row],[PIS]]*MateriaisCampo[[#This Row],[UNIT S/ IPI C/DESC]])/2</f>
        <v>0.27088052421784481</v>
      </c>
      <c r="Z121" s="446">
        <f>(MateriaisCampo[[#This Row],[COFINS]]*MateriaisCampo[[#This Row],[UNIT S/ IPI C/DESC]])/2</f>
        <v>1.2476921115488608</v>
      </c>
      <c r="AA121" s="445">
        <f>MateriaisCampo[[#This Row],[UNIT S/ IP + DIF ICMS]]+(MateriaisCampo[[#This Row],[UNIT S/ IP + DIF ICMS]]*MateriaisCampo[[#This Row],[IPI %]])</f>
        <v>32.834002935496336</v>
      </c>
      <c r="AB121" s="448">
        <f>_xlfn.XLOOKUP(MateriaisCampo[[#This Row],[FATURAMENTO]],BASE!$U$48:$U$50,BASE!$W$48:$W$50,0,0,1)</f>
        <v>0.79709863947533133</v>
      </c>
      <c r="AC121" s="510" t="str">
        <f>RESUMO!$E$56</f>
        <v>SIM</v>
      </c>
      <c r="AD121" s="449" t="str">
        <f>RESUMO!$E$57</f>
        <v>SIM</v>
      </c>
      <c r="AE12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25.405309771340288</v>
      </c>
      <c r="AF121" s="450">
        <f>MateriaisCampo[[#This Row],[UNIT CRED]]*MateriaisCampo[[#This Row],[QUANTIDADE]]</f>
        <v>228.64778794206259</v>
      </c>
      <c r="AG121" s="451">
        <f>MateriaisCampo[[#This Row],[TOT CRED]]</f>
        <v>228.64778794206259</v>
      </c>
      <c r="AH121" s="452">
        <f>IF(MateriaisCampo[[#This Row],[QUANTIDADE]]&lt;&gt;0,((MateriaisCampo[[#This Row],[TOT CUSTO]]/MateriaisCampo[[#This Row],[QUANTIDADE]])/MateriaisCampo[[#This Row],[MARK-UP]]),0)</f>
        <v>31.872228245255378</v>
      </c>
      <c r="AI121" s="453">
        <f>MateriaisCampo[[#This Row],[UNIT VENDA]]*MateriaisCampo[[#This Row],[QUANTIDADE]]</f>
        <v>286.8500542072984</v>
      </c>
      <c r="AJ121" s="453">
        <f>IFERROR(MateriaisCampo[[#This Row],[VENDA]]*(RESUMO!$F$55/RESUMO!$F$45),0)</f>
        <v>364.25403708863286</v>
      </c>
      <c r="AK121" s="453">
        <f>IFERROR(MateriaisCampo[[#This Row],[VENDA]]*(RESUMO!$F$58/RESUMO!$F$45),0)</f>
        <v>364.25403708863286</v>
      </c>
      <c r="AL121" s="454">
        <f>IF(MateriaisCampo[[#This Row],[FATURAMENTO]]="NORMAL",MateriaisCampo[[#This Row],[VENDA]],0)</f>
        <v>286.8500542072984</v>
      </c>
    </row>
    <row r="122" spans="1:38" x14ac:dyDescent="0.25">
      <c r="A122" s="113" t="s">
        <v>652</v>
      </c>
      <c r="B122" s="113" t="s">
        <v>652</v>
      </c>
      <c r="C122" s="113" t="s">
        <v>693</v>
      </c>
      <c r="D122" s="113" t="s">
        <v>689</v>
      </c>
      <c r="E122" s="434" t="s">
        <v>655</v>
      </c>
      <c r="F122" s="434">
        <f t="shared" si="0"/>
        <v>0</v>
      </c>
      <c r="G122" s="113"/>
      <c r="H122" s="435" t="s">
        <v>603</v>
      </c>
      <c r="I122" s="436">
        <v>19</v>
      </c>
      <c r="J122" s="437">
        <v>135.672</v>
      </c>
      <c r="K122" s="438">
        <v>0.18</v>
      </c>
      <c r="L122" s="438"/>
      <c r="M122" s="458"/>
      <c r="N122" s="445">
        <f>MateriaisCampo[[#This Row],[UNIT S/IPI S/DESC]]-MateriaisCampo[[#This Row],[UNIT S/IPI S/DESC]]*MateriaisCampo[[#This Row],[% DESC]]</f>
        <v>135.672</v>
      </c>
      <c r="O122" s="441" t="s">
        <v>295</v>
      </c>
      <c r="P122" s="442" t="s">
        <v>155</v>
      </c>
      <c r="Q122" s="438">
        <v>1.6500000000000001E-2</v>
      </c>
      <c r="R122" s="438">
        <v>7.5999999999999998E-2</v>
      </c>
      <c r="S122" s="443">
        <f>MateriaisCampo[[#This Row],[UNIT S/ IP + DIF ICMS]]*MateriaisCampo[[#This Row],[QUANTIDADE]]</f>
        <v>2577.768</v>
      </c>
      <c r="T122" s="444">
        <f>MateriaisCampo[[#This Row],[TOTAL S/ IPI]]+(MateriaisCampo[[#This Row],[TOTAL S/ IPI]]*MateriaisCampo[[#This Row],[IPI %]])</f>
        <v>2577.768</v>
      </c>
      <c r="U122" s="445">
        <f>IF(AND(MateriaisCampo[[#This Row],[ICMS %]]&lt;&gt;18%,MateriaisCampo[[#This Row],[ORIGEM]]&lt;&gt;"SÃO PAULO"),((18%-MateriaisCampo[[#This Row],[ICMS %]])*MateriaisCampo[[#This Row],[UNIT S/ IPI C/DESC]]),0)</f>
        <v>0</v>
      </c>
      <c r="V122" s="437">
        <f>MateriaisCampo[[#This Row],[UNIT S/ IPI C/DESC]]*MateriaisCampo[[#This Row],[ICMS %]]</f>
        <v>24.420959999999997</v>
      </c>
      <c r="W122" s="437">
        <f>MateriaisCampo[[#This Row],[ICMS $]]*MateriaisCampo[[#This Row],[QUANTIDADE]]</f>
        <v>463.99823999999995</v>
      </c>
      <c r="X122" s="446">
        <f>MateriaisCampo[[#This Row],[UNIT S/ IPI C/DESC]]+MateriaisCampo[[#This Row],[DIFERENCIAL ICMS]]</f>
        <v>135.672</v>
      </c>
      <c r="Y122" s="446">
        <f>(MateriaisCampo[[#This Row],[PIS]]*MateriaisCampo[[#This Row],[UNIT S/ IPI C/DESC]])/2</f>
        <v>1.119294</v>
      </c>
      <c r="Z122" s="446">
        <f>(MateriaisCampo[[#This Row],[COFINS]]*MateriaisCampo[[#This Row],[UNIT S/ IPI C/DESC]])/2</f>
        <v>5.1555359999999997</v>
      </c>
      <c r="AA122" s="445">
        <f>MateriaisCampo[[#This Row],[UNIT S/ IP + DIF ICMS]]+(MateriaisCampo[[#This Row],[UNIT S/ IP + DIF ICMS]]*MateriaisCampo[[#This Row],[IPI %]])</f>
        <v>135.672</v>
      </c>
      <c r="AB122" s="448">
        <f>_xlfn.XLOOKUP(MateriaisCampo[[#This Row],[FATURAMENTO]],BASE!$U$48:$U$50,BASE!$W$48:$W$50,0,0,1)</f>
        <v>0.79709863947533133</v>
      </c>
      <c r="AC122" s="510" t="str">
        <f>RESUMO!$E$56</f>
        <v>SIM</v>
      </c>
      <c r="AD122" s="449" t="str">
        <f>RESUMO!$E$57</f>
        <v>SIM</v>
      </c>
      <c r="AE12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104.97621000000001</v>
      </c>
      <c r="AF122" s="450">
        <f>MateriaisCampo[[#This Row],[UNIT CRED]]*MateriaisCampo[[#This Row],[QUANTIDADE]]</f>
        <v>1994.5479900000003</v>
      </c>
      <c r="AG122" s="451">
        <f>MateriaisCampo[[#This Row],[TOT CRED]]</f>
        <v>1994.5479900000003</v>
      </c>
      <c r="AH122" s="452">
        <f>IF(MateriaisCampo[[#This Row],[QUANTIDADE]]&lt;&gt;0,((MateriaisCampo[[#This Row],[TOT CUSTO]]/MateriaisCampo[[#This Row],[QUANTIDADE]])/MateriaisCampo[[#This Row],[MARK-UP]]),0)</f>
        <v>131.69789132885455</v>
      </c>
      <c r="AI122" s="453">
        <f>MateriaisCampo[[#This Row],[UNIT VENDA]]*MateriaisCampo[[#This Row],[QUANTIDADE]]</f>
        <v>2502.2599352482366</v>
      </c>
      <c r="AJ122" s="453">
        <f>IFERROR(MateriaisCampo[[#This Row],[VENDA]]*(RESUMO!$F$55/RESUMO!$F$45),0)</f>
        <v>3177.4729336485543</v>
      </c>
      <c r="AK122" s="453">
        <f>IFERROR(MateriaisCampo[[#This Row],[VENDA]]*(RESUMO!$F$58/RESUMO!$F$45),0)</f>
        <v>3177.4729336485543</v>
      </c>
      <c r="AL122" s="454">
        <f>IF(MateriaisCampo[[#This Row],[FATURAMENTO]]="NORMAL",MateriaisCampo[[#This Row],[VENDA]],0)</f>
        <v>2502.2599352482366</v>
      </c>
    </row>
    <row r="123" spans="1:38" x14ac:dyDescent="0.25">
      <c r="A123" s="113" t="s">
        <v>652</v>
      </c>
      <c r="B123" s="113" t="s">
        <v>652</v>
      </c>
      <c r="C123" s="113" t="s">
        <v>692</v>
      </c>
      <c r="D123" s="113" t="s">
        <v>689</v>
      </c>
      <c r="E123" s="434" t="s">
        <v>655</v>
      </c>
      <c r="F123" s="434">
        <f t="shared" si="0"/>
        <v>0</v>
      </c>
      <c r="G123" s="113"/>
      <c r="H123" s="435" t="s">
        <v>603</v>
      </c>
      <c r="I123" s="436">
        <f>I122</f>
        <v>19</v>
      </c>
      <c r="J123" s="437">
        <v>58.312000000000005</v>
      </c>
      <c r="K123" s="438">
        <v>0.18</v>
      </c>
      <c r="L123" s="438"/>
      <c r="M123" s="458"/>
      <c r="N123" s="445">
        <f>MateriaisCampo[[#This Row],[UNIT S/IPI S/DESC]]-MateriaisCampo[[#This Row],[UNIT S/IPI S/DESC]]*MateriaisCampo[[#This Row],[% DESC]]</f>
        <v>58.312000000000005</v>
      </c>
      <c r="O123" s="441" t="s">
        <v>295</v>
      </c>
      <c r="P123" s="442" t="s">
        <v>155</v>
      </c>
      <c r="Q123" s="438">
        <v>1.6500000000000001E-2</v>
      </c>
      <c r="R123" s="438">
        <v>7.5999999999999998E-2</v>
      </c>
      <c r="S123" s="443">
        <f>MateriaisCampo[[#This Row],[UNIT S/ IP + DIF ICMS]]*MateriaisCampo[[#This Row],[QUANTIDADE]]</f>
        <v>1107.9280000000001</v>
      </c>
      <c r="T123" s="444">
        <f>MateriaisCampo[[#This Row],[TOTAL S/ IPI]]+(MateriaisCampo[[#This Row],[TOTAL S/ IPI]]*MateriaisCampo[[#This Row],[IPI %]])</f>
        <v>1107.9280000000001</v>
      </c>
      <c r="U123" s="445">
        <f>IF(AND(MateriaisCampo[[#This Row],[ICMS %]]&lt;&gt;18%,MateriaisCampo[[#This Row],[ORIGEM]]&lt;&gt;"SÃO PAULO"),((18%-MateriaisCampo[[#This Row],[ICMS %]])*MateriaisCampo[[#This Row],[UNIT S/ IPI C/DESC]]),0)</f>
        <v>0</v>
      </c>
      <c r="V123" s="437">
        <f>MateriaisCampo[[#This Row],[UNIT S/ IPI C/DESC]]*MateriaisCampo[[#This Row],[ICMS %]]</f>
        <v>10.49616</v>
      </c>
      <c r="W123" s="437">
        <f>MateriaisCampo[[#This Row],[ICMS $]]*MateriaisCampo[[#This Row],[QUANTIDADE]]</f>
        <v>199.42704000000001</v>
      </c>
      <c r="X123" s="446">
        <f>MateriaisCampo[[#This Row],[UNIT S/ IPI C/DESC]]+MateriaisCampo[[#This Row],[DIFERENCIAL ICMS]]</f>
        <v>58.312000000000005</v>
      </c>
      <c r="Y123" s="446">
        <f>(MateriaisCampo[[#This Row],[PIS]]*MateriaisCampo[[#This Row],[UNIT S/ IPI C/DESC]])/2</f>
        <v>0.48107400000000006</v>
      </c>
      <c r="Z123" s="446">
        <f>(MateriaisCampo[[#This Row],[COFINS]]*MateriaisCampo[[#This Row],[UNIT S/ IPI C/DESC]])/2</f>
        <v>2.215856</v>
      </c>
      <c r="AA123" s="445">
        <f>MateriaisCampo[[#This Row],[UNIT S/ IP + DIF ICMS]]+(MateriaisCampo[[#This Row],[UNIT S/ IP + DIF ICMS]]*MateriaisCampo[[#This Row],[IPI %]])</f>
        <v>58.312000000000005</v>
      </c>
      <c r="AB123" s="448">
        <f>_xlfn.XLOOKUP(MateriaisCampo[[#This Row],[FATURAMENTO]],BASE!$U$48:$U$50,BASE!$W$48:$W$50,0,0,1)</f>
        <v>0.79709863947533133</v>
      </c>
      <c r="AC123" s="510" t="str">
        <f>RESUMO!$E$56</f>
        <v>SIM</v>
      </c>
      <c r="AD123" s="449" t="str">
        <f>RESUMO!$E$57</f>
        <v>SIM</v>
      </c>
      <c r="AE12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45.118910000000007</v>
      </c>
      <c r="AF123" s="450">
        <f>MateriaisCampo[[#This Row],[UNIT CRED]]*MateriaisCampo[[#This Row],[QUANTIDADE]]</f>
        <v>857.25929000000008</v>
      </c>
      <c r="AG123" s="451">
        <f>MateriaisCampo[[#This Row],[TOT CRED]]</f>
        <v>857.25929000000008</v>
      </c>
      <c r="AH123" s="452">
        <f>IF(MateriaisCampo[[#This Row],[QUANTIDADE]]&lt;&gt;0,((MateriaisCampo[[#This Row],[TOT CUSTO]]/MateriaisCampo[[#This Row],[QUANTIDADE]])/MateriaisCampo[[#This Row],[MARK-UP]]),0)</f>
        <v>56.603922984611181</v>
      </c>
      <c r="AI123" s="453">
        <f>MateriaisCampo[[#This Row],[UNIT VENDA]]*MateriaisCampo[[#This Row],[QUANTIDADE]]</f>
        <v>1075.4745367076125</v>
      </c>
      <c r="AJ123" s="453">
        <f>IFERROR(MateriaisCampo[[#This Row],[VENDA]]*(RESUMO!$F$55/RESUMO!$F$45),0)</f>
        <v>1365.6819513747459</v>
      </c>
      <c r="AK123" s="453">
        <f>IFERROR(MateriaisCampo[[#This Row],[VENDA]]*(RESUMO!$F$58/RESUMO!$F$45),0)</f>
        <v>1365.6819513747459</v>
      </c>
      <c r="AL123" s="454">
        <f>IF(MateriaisCampo[[#This Row],[FATURAMENTO]]="NORMAL",MateriaisCampo[[#This Row],[VENDA]],0)</f>
        <v>1075.4745367076125</v>
      </c>
    </row>
    <row r="124" spans="1:38" x14ac:dyDescent="0.25">
      <c r="A124" s="113" t="s">
        <v>652</v>
      </c>
      <c r="B124" s="113" t="s">
        <v>652</v>
      </c>
      <c r="C124" s="113" t="s">
        <v>694</v>
      </c>
      <c r="D124" s="113" t="s">
        <v>689</v>
      </c>
      <c r="E124" s="434" t="s">
        <v>655</v>
      </c>
      <c r="F124" s="434">
        <f t="shared" si="0"/>
        <v>0</v>
      </c>
      <c r="G124" s="113"/>
      <c r="H124" s="435" t="s">
        <v>603</v>
      </c>
      <c r="I124" s="436">
        <v>25</v>
      </c>
      <c r="J124" s="437">
        <v>180.92000000000002</v>
      </c>
      <c r="K124" s="438">
        <v>0.18</v>
      </c>
      <c r="L124" s="438"/>
      <c r="M124" s="458"/>
      <c r="N124" s="445">
        <f>MateriaisCampo[[#This Row],[UNIT S/IPI S/DESC]]-MateriaisCampo[[#This Row],[UNIT S/IPI S/DESC]]*MateriaisCampo[[#This Row],[% DESC]]</f>
        <v>180.92000000000002</v>
      </c>
      <c r="O124" s="441" t="s">
        <v>295</v>
      </c>
      <c r="P124" s="442" t="s">
        <v>155</v>
      </c>
      <c r="Q124" s="438">
        <v>1.6500000000000001E-2</v>
      </c>
      <c r="R124" s="438">
        <v>7.5999999999999998E-2</v>
      </c>
      <c r="S124" s="443">
        <f>MateriaisCampo[[#This Row],[UNIT S/ IP + DIF ICMS]]*MateriaisCampo[[#This Row],[QUANTIDADE]]</f>
        <v>4523</v>
      </c>
      <c r="T124" s="444">
        <f>MateriaisCampo[[#This Row],[TOTAL S/ IPI]]+(MateriaisCampo[[#This Row],[TOTAL S/ IPI]]*MateriaisCampo[[#This Row],[IPI %]])</f>
        <v>4523</v>
      </c>
      <c r="U124" s="445">
        <f>IF(AND(MateriaisCampo[[#This Row],[ICMS %]]&lt;&gt;18%,MateriaisCampo[[#This Row],[ORIGEM]]&lt;&gt;"SÃO PAULO"),((18%-MateriaisCampo[[#This Row],[ICMS %]])*MateriaisCampo[[#This Row],[UNIT S/ IPI C/DESC]]),0)</f>
        <v>0</v>
      </c>
      <c r="V124" s="437">
        <f>MateriaisCampo[[#This Row],[UNIT S/ IPI C/DESC]]*MateriaisCampo[[#This Row],[ICMS %]]</f>
        <v>32.565600000000003</v>
      </c>
      <c r="W124" s="437">
        <f>MateriaisCampo[[#This Row],[ICMS $]]*MateriaisCampo[[#This Row],[QUANTIDADE]]</f>
        <v>814.1400000000001</v>
      </c>
      <c r="X124" s="446">
        <f>MateriaisCampo[[#This Row],[UNIT S/ IPI C/DESC]]+MateriaisCampo[[#This Row],[DIFERENCIAL ICMS]]</f>
        <v>180.92000000000002</v>
      </c>
      <c r="Y124" s="446">
        <f>(MateriaisCampo[[#This Row],[PIS]]*MateriaisCampo[[#This Row],[UNIT S/ IPI C/DESC]])/2</f>
        <v>1.4925900000000003</v>
      </c>
      <c r="Z124" s="446">
        <f>(MateriaisCampo[[#This Row],[COFINS]]*MateriaisCampo[[#This Row],[UNIT S/ IPI C/DESC]])/2</f>
        <v>6.8749600000000006</v>
      </c>
      <c r="AA124" s="445">
        <f>MateriaisCampo[[#This Row],[UNIT S/ IP + DIF ICMS]]+(MateriaisCampo[[#This Row],[UNIT S/ IP + DIF ICMS]]*MateriaisCampo[[#This Row],[IPI %]])</f>
        <v>180.92000000000002</v>
      </c>
      <c r="AB124" s="448">
        <f>_xlfn.XLOOKUP(MateriaisCampo[[#This Row],[FATURAMENTO]],BASE!$U$48:$U$50,BASE!$W$48:$W$50,0,0,1)</f>
        <v>0.79709863947533133</v>
      </c>
      <c r="AC124" s="510" t="str">
        <f>RESUMO!$E$56</f>
        <v>SIM</v>
      </c>
      <c r="AD124" s="449" t="str">
        <f>RESUMO!$E$57</f>
        <v>SIM</v>
      </c>
      <c r="AE12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139.98685</v>
      </c>
      <c r="AF124" s="450">
        <f>MateriaisCampo[[#This Row],[UNIT CRED]]*MateriaisCampo[[#This Row],[QUANTIDADE]]</f>
        <v>3499.6712500000003</v>
      </c>
      <c r="AG124" s="451">
        <f>MateriaisCampo[[#This Row],[TOT CRED]]</f>
        <v>3499.6712500000003</v>
      </c>
      <c r="AH124" s="452">
        <f>IF(MateriaisCampo[[#This Row],[QUANTIDADE]]&lt;&gt;0,((MateriaisCampo[[#This Row],[TOT CUSTO]]/MateriaisCampo[[#This Row],[QUANTIDADE]])/MateriaisCampo[[#This Row],[MARK-UP]]),0)</f>
        <v>175.62048542968606</v>
      </c>
      <c r="AI124" s="453">
        <f>MateriaisCampo[[#This Row],[UNIT VENDA]]*MateriaisCampo[[#This Row],[QUANTIDADE]]</f>
        <v>4390.5121357421513</v>
      </c>
      <c r="AJ124" s="453">
        <f>IFERROR(MateriaisCampo[[#This Row],[VENDA]]*(RESUMO!$F$55/RESUMO!$F$45),0)</f>
        <v>5575.2535057043187</v>
      </c>
      <c r="AK124" s="453">
        <f>IFERROR(MateriaisCampo[[#This Row],[VENDA]]*(RESUMO!$F$58/RESUMO!$F$45),0)</f>
        <v>5575.2535057043187</v>
      </c>
      <c r="AL124" s="454">
        <f>IF(MateriaisCampo[[#This Row],[FATURAMENTO]]="NORMAL",MateriaisCampo[[#This Row],[VENDA]],0)</f>
        <v>4390.5121357421513</v>
      </c>
    </row>
    <row r="125" spans="1:38" x14ac:dyDescent="0.25">
      <c r="A125" s="113" t="s">
        <v>652</v>
      </c>
      <c r="B125" s="113" t="s">
        <v>652</v>
      </c>
      <c r="C125" s="113" t="s">
        <v>695</v>
      </c>
      <c r="D125" s="113" t="s">
        <v>689</v>
      </c>
      <c r="E125" s="434" t="s">
        <v>655</v>
      </c>
      <c r="F125" s="434">
        <f t="shared" si="0"/>
        <v>0</v>
      </c>
      <c r="G125" s="113"/>
      <c r="H125" s="435" t="s">
        <v>603</v>
      </c>
      <c r="I125" s="436">
        <f>I124</f>
        <v>25</v>
      </c>
      <c r="J125" s="437">
        <v>103.56</v>
      </c>
      <c r="K125" s="438">
        <v>0.18</v>
      </c>
      <c r="L125" s="438"/>
      <c r="M125" s="458"/>
      <c r="N125" s="445">
        <f>MateriaisCampo[[#This Row],[UNIT S/IPI S/DESC]]-MateriaisCampo[[#This Row],[UNIT S/IPI S/DESC]]*MateriaisCampo[[#This Row],[% DESC]]</f>
        <v>103.56</v>
      </c>
      <c r="O125" s="441" t="s">
        <v>295</v>
      </c>
      <c r="P125" s="442" t="s">
        <v>155</v>
      </c>
      <c r="Q125" s="438">
        <v>1.6500000000000001E-2</v>
      </c>
      <c r="R125" s="438">
        <v>7.5999999999999998E-2</v>
      </c>
      <c r="S125" s="443">
        <f>MateriaisCampo[[#This Row],[UNIT S/ IP + DIF ICMS]]*MateriaisCampo[[#This Row],[QUANTIDADE]]</f>
        <v>2589</v>
      </c>
      <c r="T125" s="444">
        <f>MateriaisCampo[[#This Row],[TOTAL S/ IPI]]+(MateriaisCampo[[#This Row],[TOTAL S/ IPI]]*MateriaisCampo[[#This Row],[IPI %]])</f>
        <v>2589</v>
      </c>
      <c r="U125" s="445">
        <f>IF(AND(MateriaisCampo[[#This Row],[ICMS %]]&lt;&gt;18%,MateriaisCampo[[#This Row],[ORIGEM]]&lt;&gt;"SÃO PAULO"),((18%-MateriaisCampo[[#This Row],[ICMS %]])*MateriaisCampo[[#This Row],[UNIT S/ IPI C/DESC]]),0)</f>
        <v>0</v>
      </c>
      <c r="V125" s="437">
        <f>MateriaisCampo[[#This Row],[UNIT S/ IPI C/DESC]]*MateriaisCampo[[#This Row],[ICMS %]]</f>
        <v>18.640799999999999</v>
      </c>
      <c r="W125" s="437">
        <f>MateriaisCampo[[#This Row],[ICMS $]]*MateriaisCampo[[#This Row],[QUANTIDADE]]</f>
        <v>466.02</v>
      </c>
      <c r="X125" s="446">
        <f>MateriaisCampo[[#This Row],[UNIT S/ IPI C/DESC]]+MateriaisCampo[[#This Row],[DIFERENCIAL ICMS]]</f>
        <v>103.56</v>
      </c>
      <c r="Y125" s="446">
        <f>(MateriaisCampo[[#This Row],[PIS]]*MateriaisCampo[[#This Row],[UNIT S/ IPI C/DESC]])/2</f>
        <v>0.85437000000000007</v>
      </c>
      <c r="Z125" s="446">
        <f>(MateriaisCampo[[#This Row],[COFINS]]*MateriaisCampo[[#This Row],[UNIT S/ IPI C/DESC]])/2</f>
        <v>3.9352800000000001</v>
      </c>
      <c r="AA125" s="445">
        <f>MateriaisCampo[[#This Row],[UNIT S/ IP + DIF ICMS]]+(MateriaisCampo[[#This Row],[UNIT S/ IP + DIF ICMS]]*MateriaisCampo[[#This Row],[IPI %]])</f>
        <v>103.56</v>
      </c>
      <c r="AB125" s="448">
        <f>_xlfn.XLOOKUP(MateriaisCampo[[#This Row],[FATURAMENTO]],BASE!$U$48:$U$50,BASE!$W$48:$W$50,0,0,1)</f>
        <v>0.79709863947533133</v>
      </c>
      <c r="AC125" s="510" t="str">
        <f>RESUMO!$E$56</f>
        <v>SIM</v>
      </c>
      <c r="AD125" s="449" t="str">
        <f>RESUMO!$E$57</f>
        <v>SIM</v>
      </c>
      <c r="AE12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80.129549999999995</v>
      </c>
      <c r="AF125" s="450">
        <f>MateriaisCampo[[#This Row],[UNIT CRED]]*MateriaisCampo[[#This Row],[QUANTIDADE]]</f>
        <v>2003.23875</v>
      </c>
      <c r="AG125" s="451">
        <f>MateriaisCampo[[#This Row],[TOT CRED]]</f>
        <v>2003.23875</v>
      </c>
      <c r="AH125" s="452">
        <f>IF(MateriaisCampo[[#This Row],[QUANTIDADE]]&lt;&gt;0,((MateriaisCampo[[#This Row],[TOT CUSTO]]/MateriaisCampo[[#This Row],[QUANTIDADE]])/MateriaisCampo[[#This Row],[MARK-UP]]),0)</f>
        <v>100.52651708544266</v>
      </c>
      <c r="AI125" s="453">
        <f>MateriaisCampo[[#This Row],[UNIT VENDA]]*MateriaisCampo[[#This Row],[QUANTIDADE]]</f>
        <v>2513.1629271360666</v>
      </c>
      <c r="AJ125" s="453">
        <f>IFERROR(MateriaisCampo[[#This Row],[VENDA]]*(RESUMO!$F$55/RESUMO!$F$45),0)</f>
        <v>3191.3180027124654</v>
      </c>
      <c r="AK125" s="453">
        <f>IFERROR(MateriaisCampo[[#This Row],[VENDA]]*(RESUMO!$F$58/RESUMO!$F$45),0)</f>
        <v>3191.3180027124654</v>
      </c>
      <c r="AL125" s="454">
        <f>IF(MateriaisCampo[[#This Row],[FATURAMENTO]]="NORMAL",MateriaisCampo[[#This Row],[VENDA]],0)</f>
        <v>2513.1629271360666</v>
      </c>
    </row>
    <row r="126" spans="1:38" x14ac:dyDescent="0.25">
      <c r="A126" s="113" t="s">
        <v>652</v>
      </c>
      <c r="B126" s="113" t="s">
        <v>652</v>
      </c>
      <c r="C126" s="113" t="s">
        <v>696</v>
      </c>
      <c r="D126" s="113" t="s">
        <v>689</v>
      </c>
      <c r="E126" s="434" t="s">
        <v>655</v>
      </c>
      <c r="F126" s="434">
        <f t="shared" si="0"/>
        <v>0</v>
      </c>
      <c r="G126" s="113"/>
      <c r="H126" s="435" t="s">
        <v>603</v>
      </c>
      <c r="I126" s="436"/>
      <c r="J126" s="437"/>
      <c r="K126" s="438"/>
      <c r="L126" s="438"/>
      <c r="M126" s="458"/>
      <c r="N126" s="445">
        <f>MateriaisCampo[[#This Row],[UNIT S/IPI S/DESC]]-MateriaisCampo[[#This Row],[UNIT S/IPI S/DESC]]*MateriaisCampo[[#This Row],[% DESC]]</f>
        <v>0</v>
      </c>
      <c r="O126" s="441" t="s">
        <v>295</v>
      </c>
      <c r="P126" s="442" t="s">
        <v>155</v>
      </c>
      <c r="Q126" s="438">
        <v>1.6500000000000001E-2</v>
      </c>
      <c r="R126" s="438">
        <v>7.5999999999999998E-2</v>
      </c>
      <c r="S126" s="443">
        <f>MateriaisCampo[[#This Row],[UNIT S/ IP + DIF ICMS]]*MateriaisCampo[[#This Row],[QUANTIDADE]]</f>
        <v>0</v>
      </c>
      <c r="T126" s="444">
        <f>MateriaisCampo[[#This Row],[TOTAL S/ IPI]]+(MateriaisCampo[[#This Row],[TOTAL S/ IPI]]*MateriaisCampo[[#This Row],[IPI %]])</f>
        <v>0</v>
      </c>
      <c r="U126" s="445">
        <f>IF(AND(MateriaisCampo[[#This Row],[ICMS %]]&lt;&gt;18%,MateriaisCampo[[#This Row],[ORIGEM]]&lt;&gt;"SÃO PAULO"),((18%-MateriaisCampo[[#This Row],[ICMS %]])*MateriaisCampo[[#This Row],[UNIT S/ IPI C/DESC]]),0)</f>
        <v>0</v>
      </c>
      <c r="V126" s="437">
        <f>MateriaisCampo[[#This Row],[UNIT S/ IPI C/DESC]]*MateriaisCampo[[#This Row],[ICMS %]]</f>
        <v>0</v>
      </c>
      <c r="W126" s="437">
        <f>MateriaisCampo[[#This Row],[ICMS $]]*MateriaisCampo[[#This Row],[QUANTIDADE]]</f>
        <v>0</v>
      </c>
      <c r="X126" s="446">
        <f>MateriaisCampo[[#This Row],[UNIT S/ IPI C/DESC]]+MateriaisCampo[[#This Row],[DIFERENCIAL ICMS]]</f>
        <v>0</v>
      </c>
      <c r="Y126" s="446">
        <f>(MateriaisCampo[[#This Row],[PIS]]*MateriaisCampo[[#This Row],[UNIT S/ IPI C/DESC]])/2</f>
        <v>0</v>
      </c>
      <c r="Z126" s="446">
        <f>(MateriaisCampo[[#This Row],[COFINS]]*MateriaisCampo[[#This Row],[UNIT S/ IPI C/DESC]])/2</f>
        <v>0</v>
      </c>
      <c r="AA126" s="445">
        <f>MateriaisCampo[[#This Row],[UNIT S/ IP + DIF ICMS]]+(MateriaisCampo[[#This Row],[UNIT S/ IP + DIF ICMS]]*MateriaisCampo[[#This Row],[IPI %]])</f>
        <v>0</v>
      </c>
      <c r="AB126" s="448">
        <f>_xlfn.XLOOKUP(MateriaisCampo[[#This Row],[FATURAMENTO]],BASE!$U$48:$U$50,BASE!$W$48:$W$50,0,0,1)</f>
        <v>0.79709863947533133</v>
      </c>
      <c r="AC126" s="510" t="str">
        <f>RESUMO!$E$56</f>
        <v>SIM</v>
      </c>
      <c r="AD126" s="449" t="str">
        <f>RESUMO!$E$57</f>
        <v>SIM</v>
      </c>
      <c r="AE12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26" s="450">
        <f>MateriaisCampo[[#This Row],[UNIT CRED]]*MateriaisCampo[[#This Row],[QUANTIDADE]]</f>
        <v>0</v>
      </c>
      <c r="AG126" s="451">
        <f>MateriaisCampo[[#This Row],[TOT CRED]]</f>
        <v>0</v>
      </c>
      <c r="AH126" s="452">
        <f>IF(MateriaisCampo[[#This Row],[QUANTIDADE]]&lt;&gt;0,((MateriaisCampo[[#This Row],[TOT CUSTO]]/MateriaisCampo[[#This Row],[QUANTIDADE]])/MateriaisCampo[[#This Row],[MARK-UP]]),0)</f>
        <v>0</v>
      </c>
      <c r="AI126" s="453">
        <f>MateriaisCampo[[#This Row],[UNIT VENDA]]*MateriaisCampo[[#This Row],[QUANTIDADE]]</f>
        <v>0</v>
      </c>
      <c r="AJ126" s="453">
        <f>IFERROR(MateriaisCampo[[#This Row],[VENDA]]*(RESUMO!$F$55/RESUMO!$F$45),0)</f>
        <v>0</v>
      </c>
      <c r="AK126" s="453">
        <f>IFERROR(MateriaisCampo[[#This Row],[VENDA]]*(RESUMO!$F$58/RESUMO!$F$45),0)</f>
        <v>0</v>
      </c>
      <c r="AL126" s="454">
        <f>IF(MateriaisCampo[[#This Row],[FATURAMENTO]]="NORMAL",MateriaisCampo[[#This Row],[VENDA]],0)</f>
        <v>0</v>
      </c>
    </row>
    <row r="127" spans="1:38" x14ac:dyDescent="0.25">
      <c r="A127" s="113" t="s">
        <v>652</v>
      </c>
      <c r="B127" s="113" t="s">
        <v>652</v>
      </c>
      <c r="C127" s="113" t="s">
        <v>697</v>
      </c>
      <c r="D127" s="113" t="s">
        <v>689</v>
      </c>
      <c r="E127" s="434" t="s">
        <v>655</v>
      </c>
      <c r="F127" s="434">
        <f t="shared" si="0"/>
        <v>0</v>
      </c>
      <c r="G127" s="113"/>
      <c r="H127" s="435" t="s">
        <v>603</v>
      </c>
      <c r="I127" s="436">
        <f>I126</f>
        <v>0</v>
      </c>
      <c r="J127" s="437"/>
      <c r="K127" s="438"/>
      <c r="L127" s="438"/>
      <c r="M127" s="458"/>
      <c r="N127" s="445">
        <f>MateriaisCampo[[#This Row],[UNIT S/IPI S/DESC]]-MateriaisCampo[[#This Row],[UNIT S/IPI S/DESC]]*MateriaisCampo[[#This Row],[% DESC]]</f>
        <v>0</v>
      </c>
      <c r="O127" s="441" t="s">
        <v>295</v>
      </c>
      <c r="P127" s="442" t="s">
        <v>155</v>
      </c>
      <c r="Q127" s="438">
        <v>1.6500000000000001E-2</v>
      </c>
      <c r="R127" s="438">
        <v>7.5999999999999998E-2</v>
      </c>
      <c r="S127" s="443">
        <f>MateriaisCampo[[#This Row],[UNIT S/ IP + DIF ICMS]]*MateriaisCampo[[#This Row],[QUANTIDADE]]</f>
        <v>0</v>
      </c>
      <c r="T127" s="444">
        <f>MateriaisCampo[[#This Row],[TOTAL S/ IPI]]+(MateriaisCampo[[#This Row],[TOTAL S/ IPI]]*MateriaisCampo[[#This Row],[IPI %]])</f>
        <v>0</v>
      </c>
      <c r="U127" s="445">
        <f>IF(AND(MateriaisCampo[[#This Row],[ICMS %]]&lt;&gt;18%,MateriaisCampo[[#This Row],[ORIGEM]]&lt;&gt;"SÃO PAULO"),((18%-MateriaisCampo[[#This Row],[ICMS %]])*MateriaisCampo[[#This Row],[UNIT S/ IPI C/DESC]]),0)</f>
        <v>0</v>
      </c>
      <c r="V127" s="437">
        <f>MateriaisCampo[[#This Row],[UNIT S/ IPI C/DESC]]*MateriaisCampo[[#This Row],[ICMS %]]</f>
        <v>0</v>
      </c>
      <c r="W127" s="437">
        <f>MateriaisCampo[[#This Row],[ICMS $]]*MateriaisCampo[[#This Row],[QUANTIDADE]]</f>
        <v>0</v>
      </c>
      <c r="X127" s="446">
        <f>MateriaisCampo[[#This Row],[UNIT S/ IPI C/DESC]]+MateriaisCampo[[#This Row],[DIFERENCIAL ICMS]]</f>
        <v>0</v>
      </c>
      <c r="Y127" s="446">
        <f>(MateriaisCampo[[#This Row],[PIS]]*MateriaisCampo[[#This Row],[UNIT S/ IPI C/DESC]])/2</f>
        <v>0</v>
      </c>
      <c r="Z127" s="446">
        <f>(MateriaisCampo[[#This Row],[COFINS]]*MateriaisCampo[[#This Row],[UNIT S/ IPI C/DESC]])/2</f>
        <v>0</v>
      </c>
      <c r="AA127" s="445">
        <f>MateriaisCampo[[#This Row],[UNIT S/ IP + DIF ICMS]]+(MateriaisCampo[[#This Row],[UNIT S/ IP + DIF ICMS]]*MateriaisCampo[[#This Row],[IPI %]])</f>
        <v>0</v>
      </c>
      <c r="AB127" s="448">
        <f>_xlfn.XLOOKUP(MateriaisCampo[[#This Row],[FATURAMENTO]],BASE!$U$48:$U$50,BASE!$W$48:$W$50,0,0,1)</f>
        <v>0.79709863947533133</v>
      </c>
      <c r="AC127" s="510" t="str">
        <f>RESUMO!$E$56</f>
        <v>SIM</v>
      </c>
      <c r="AD127" s="449" t="str">
        <f>RESUMO!$E$57</f>
        <v>SIM</v>
      </c>
      <c r="AE12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27" s="450">
        <f>MateriaisCampo[[#This Row],[UNIT CRED]]*MateriaisCampo[[#This Row],[QUANTIDADE]]</f>
        <v>0</v>
      </c>
      <c r="AG127" s="451">
        <f>MateriaisCampo[[#This Row],[TOT CRED]]</f>
        <v>0</v>
      </c>
      <c r="AH127" s="452">
        <f>IF(MateriaisCampo[[#This Row],[QUANTIDADE]]&lt;&gt;0,((MateriaisCampo[[#This Row],[TOT CUSTO]]/MateriaisCampo[[#This Row],[QUANTIDADE]])/MateriaisCampo[[#This Row],[MARK-UP]]),0)</f>
        <v>0</v>
      </c>
      <c r="AI127" s="453">
        <f>MateriaisCampo[[#This Row],[UNIT VENDA]]*MateriaisCampo[[#This Row],[QUANTIDADE]]</f>
        <v>0</v>
      </c>
      <c r="AJ127" s="453">
        <f>IFERROR(MateriaisCampo[[#This Row],[VENDA]]*(RESUMO!$F$55/RESUMO!$F$45),0)</f>
        <v>0</v>
      </c>
      <c r="AK127" s="453">
        <f>IFERROR(MateriaisCampo[[#This Row],[VENDA]]*(RESUMO!$F$58/RESUMO!$F$45),0)</f>
        <v>0</v>
      </c>
      <c r="AL127" s="454">
        <f>IF(MateriaisCampo[[#This Row],[FATURAMENTO]]="NORMAL",MateriaisCampo[[#This Row],[VENDA]],0)</f>
        <v>0</v>
      </c>
    </row>
    <row r="128" spans="1:38" x14ac:dyDescent="0.25">
      <c r="A128" s="113" t="s">
        <v>652</v>
      </c>
      <c r="B128" s="113" t="s">
        <v>652</v>
      </c>
      <c r="C128" s="113" t="s">
        <v>698</v>
      </c>
      <c r="D128" s="113" t="s">
        <v>689</v>
      </c>
      <c r="E128" s="434" t="s">
        <v>655</v>
      </c>
      <c r="F128" s="434">
        <f t="shared" si="0"/>
        <v>0</v>
      </c>
      <c r="G128" s="113"/>
      <c r="H128" s="435" t="s">
        <v>603</v>
      </c>
      <c r="I128" s="436">
        <v>20</v>
      </c>
      <c r="J128" s="437">
        <v>241.25867091220007</v>
      </c>
      <c r="K128" s="438">
        <v>0.18</v>
      </c>
      <c r="L128" s="438"/>
      <c r="M128" s="458"/>
      <c r="N128" s="445">
        <f>MateriaisCampo[[#This Row],[UNIT S/IPI S/DESC]]-MateriaisCampo[[#This Row],[UNIT S/IPI S/DESC]]*MateriaisCampo[[#This Row],[% DESC]]</f>
        <v>241.25867091220007</v>
      </c>
      <c r="O128" s="441" t="s">
        <v>295</v>
      </c>
      <c r="P128" s="442" t="s">
        <v>155</v>
      </c>
      <c r="Q128" s="438">
        <v>1.6500000000000001E-2</v>
      </c>
      <c r="R128" s="438">
        <v>7.5999999999999998E-2</v>
      </c>
      <c r="S128" s="443">
        <f>MateriaisCampo[[#This Row],[UNIT S/ IP + DIF ICMS]]*MateriaisCampo[[#This Row],[QUANTIDADE]]</f>
        <v>4825.1734182440014</v>
      </c>
      <c r="T128" s="444">
        <f>MateriaisCampo[[#This Row],[TOTAL S/ IPI]]+(MateriaisCampo[[#This Row],[TOTAL S/ IPI]]*MateriaisCampo[[#This Row],[IPI %]])</f>
        <v>4825.1734182440014</v>
      </c>
      <c r="U128" s="445">
        <f>IF(AND(MateriaisCampo[[#This Row],[ICMS %]]&lt;&gt;18%,MateriaisCampo[[#This Row],[ORIGEM]]&lt;&gt;"SÃO PAULO"),((18%-MateriaisCampo[[#This Row],[ICMS %]])*MateriaisCampo[[#This Row],[UNIT S/ IPI C/DESC]]),0)</f>
        <v>0</v>
      </c>
      <c r="V128" s="437">
        <f>MateriaisCampo[[#This Row],[UNIT S/ IPI C/DESC]]*MateriaisCampo[[#This Row],[ICMS %]]</f>
        <v>43.426560764196012</v>
      </c>
      <c r="W128" s="437">
        <f>MateriaisCampo[[#This Row],[ICMS $]]*MateriaisCampo[[#This Row],[QUANTIDADE]]</f>
        <v>868.53121528392023</v>
      </c>
      <c r="X128" s="446">
        <f>MateriaisCampo[[#This Row],[UNIT S/ IPI C/DESC]]+MateriaisCampo[[#This Row],[DIFERENCIAL ICMS]]</f>
        <v>241.25867091220007</v>
      </c>
      <c r="Y128" s="446">
        <f>(MateriaisCampo[[#This Row],[PIS]]*MateriaisCampo[[#This Row],[UNIT S/ IPI C/DESC]])/2</f>
        <v>1.9903840350256508</v>
      </c>
      <c r="Z128" s="446">
        <f>(MateriaisCampo[[#This Row],[COFINS]]*MateriaisCampo[[#This Row],[UNIT S/ IPI C/DESC]])/2</f>
        <v>9.1678294946636019</v>
      </c>
      <c r="AA128" s="445">
        <f>MateriaisCampo[[#This Row],[UNIT S/ IP + DIF ICMS]]+(MateriaisCampo[[#This Row],[UNIT S/ IP + DIF ICMS]]*MateriaisCampo[[#This Row],[IPI %]])</f>
        <v>241.25867091220007</v>
      </c>
      <c r="AB128" s="448">
        <f>_xlfn.XLOOKUP(MateriaisCampo[[#This Row],[FATURAMENTO]],BASE!$U$48:$U$50,BASE!$W$48:$W$50,0,0,1)</f>
        <v>0.79709863947533133</v>
      </c>
      <c r="AC128" s="510" t="str">
        <f>RESUMO!$E$56</f>
        <v>SIM</v>
      </c>
      <c r="AD128" s="449" t="str">
        <f>RESUMO!$E$57</f>
        <v>SIM</v>
      </c>
      <c r="AE12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186.67389661831481</v>
      </c>
      <c r="AF128" s="450">
        <f>MateriaisCampo[[#This Row],[UNIT CRED]]*MateriaisCampo[[#This Row],[QUANTIDADE]]</f>
        <v>3733.477932366296</v>
      </c>
      <c r="AG128" s="451">
        <f>MateriaisCampo[[#This Row],[TOT CRED]]</f>
        <v>3733.477932366296</v>
      </c>
      <c r="AH128" s="452">
        <f>IF(MateriaisCampo[[#This Row],[QUANTIDADE]]&lt;&gt;0,((MateriaisCampo[[#This Row],[TOT CUSTO]]/MateriaisCampo[[#This Row],[QUANTIDADE]])/MateriaisCampo[[#This Row],[MARK-UP]]),0)</f>
        <v>234.1917140157056</v>
      </c>
      <c r="AI128" s="453">
        <f>MateriaisCampo[[#This Row],[UNIT VENDA]]*MateriaisCampo[[#This Row],[QUANTIDADE]]</f>
        <v>4683.8342803141122</v>
      </c>
      <c r="AJ128" s="453">
        <f>IFERROR(MateriaisCampo[[#This Row],[VENDA]]*(RESUMO!$F$55/RESUMO!$F$45),0)</f>
        <v>5947.7260702401418</v>
      </c>
      <c r="AK128" s="453">
        <f>IFERROR(MateriaisCampo[[#This Row],[VENDA]]*(RESUMO!$F$58/RESUMO!$F$45),0)</f>
        <v>5947.7260702401418</v>
      </c>
      <c r="AL128" s="454">
        <f>IF(MateriaisCampo[[#This Row],[FATURAMENTO]]="NORMAL",MateriaisCampo[[#This Row],[VENDA]],0)</f>
        <v>4683.8342803141122</v>
      </c>
    </row>
    <row r="129" spans="1:38" x14ac:dyDescent="0.25">
      <c r="A129" s="113" t="s">
        <v>652</v>
      </c>
      <c r="B129" s="113" t="s">
        <v>652</v>
      </c>
      <c r="C129" s="113" t="s">
        <v>699</v>
      </c>
      <c r="D129" s="113" t="s">
        <v>689</v>
      </c>
      <c r="E129" s="434" t="s">
        <v>655</v>
      </c>
      <c r="F129" s="434">
        <f t="shared" si="0"/>
        <v>0</v>
      </c>
      <c r="G129" s="113"/>
      <c r="H129" s="435" t="s">
        <v>603</v>
      </c>
      <c r="I129" s="436">
        <f>I128</f>
        <v>20</v>
      </c>
      <c r="J129" s="437">
        <v>183.91880916449443</v>
      </c>
      <c r="K129" s="438">
        <v>0.18</v>
      </c>
      <c r="L129" s="438"/>
      <c r="M129" s="458"/>
      <c r="N129" s="445">
        <f>MateriaisCampo[[#This Row],[UNIT S/IPI S/DESC]]-MateriaisCampo[[#This Row],[UNIT S/IPI S/DESC]]*MateriaisCampo[[#This Row],[% DESC]]</f>
        <v>183.91880916449443</v>
      </c>
      <c r="O129" s="441" t="s">
        <v>295</v>
      </c>
      <c r="P129" s="442" t="s">
        <v>155</v>
      </c>
      <c r="Q129" s="438">
        <v>1.6500000000000001E-2</v>
      </c>
      <c r="R129" s="438">
        <v>7.5999999999999998E-2</v>
      </c>
      <c r="S129" s="443">
        <f>MateriaisCampo[[#This Row],[UNIT S/ IP + DIF ICMS]]*MateriaisCampo[[#This Row],[QUANTIDADE]]</f>
        <v>3678.3761832898886</v>
      </c>
      <c r="T129" s="444">
        <f>MateriaisCampo[[#This Row],[TOTAL S/ IPI]]+(MateriaisCampo[[#This Row],[TOTAL S/ IPI]]*MateriaisCampo[[#This Row],[IPI %]])</f>
        <v>3678.3761832898886</v>
      </c>
      <c r="U129" s="445">
        <f>IF(AND(MateriaisCampo[[#This Row],[ICMS %]]&lt;&gt;18%,MateriaisCampo[[#This Row],[ORIGEM]]&lt;&gt;"SÃO PAULO"),((18%-MateriaisCampo[[#This Row],[ICMS %]])*MateriaisCampo[[#This Row],[UNIT S/ IPI C/DESC]]),0)</f>
        <v>0</v>
      </c>
      <c r="V129" s="437">
        <f>MateriaisCampo[[#This Row],[UNIT S/ IPI C/DESC]]*MateriaisCampo[[#This Row],[ICMS %]]</f>
        <v>33.105385649608998</v>
      </c>
      <c r="W129" s="437">
        <f>MateriaisCampo[[#This Row],[ICMS $]]*MateriaisCampo[[#This Row],[QUANTIDADE]]</f>
        <v>662.10771299217993</v>
      </c>
      <c r="X129" s="446">
        <f>MateriaisCampo[[#This Row],[UNIT S/ IPI C/DESC]]+MateriaisCampo[[#This Row],[DIFERENCIAL ICMS]]</f>
        <v>183.91880916449443</v>
      </c>
      <c r="Y129" s="446">
        <f>(MateriaisCampo[[#This Row],[PIS]]*MateriaisCampo[[#This Row],[UNIT S/ IPI C/DESC]])/2</f>
        <v>1.5173301756070792</v>
      </c>
      <c r="Z129" s="446">
        <f>(MateriaisCampo[[#This Row],[COFINS]]*MateriaisCampo[[#This Row],[UNIT S/ IPI C/DESC]])/2</f>
        <v>6.9889147482507887</v>
      </c>
      <c r="AA129" s="445">
        <f>MateriaisCampo[[#This Row],[UNIT S/ IP + DIF ICMS]]+(MateriaisCampo[[#This Row],[UNIT S/ IP + DIF ICMS]]*MateriaisCampo[[#This Row],[IPI %]])</f>
        <v>183.91880916449443</v>
      </c>
      <c r="AB129" s="448">
        <f>_xlfn.XLOOKUP(MateriaisCampo[[#This Row],[FATURAMENTO]],BASE!$U$48:$U$50,BASE!$W$48:$W$50,0,0,1)</f>
        <v>0.79709863947533133</v>
      </c>
      <c r="AC129" s="510" t="str">
        <f>RESUMO!$E$56</f>
        <v>SIM</v>
      </c>
      <c r="AD129" s="449" t="str">
        <f>RESUMO!$E$57</f>
        <v>SIM</v>
      </c>
      <c r="AE12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142.30717859102759</v>
      </c>
      <c r="AF129" s="450">
        <f>MateriaisCampo[[#This Row],[UNIT CRED]]*MateriaisCampo[[#This Row],[QUANTIDADE]]</f>
        <v>2846.1435718205521</v>
      </c>
      <c r="AG129" s="451">
        <f>MateriaisCampo[[#This Row],[TOT CRED]]</f>
        <v>2846.1435718205521</v>
      </c>
      <c r="AH129" s="452">
        <f>IF(MateriaisCampo[[#This Row],[QUANTIDADE]]&lt;&gt;0,((MateriaisCampo[[#This Row],[TOT CUSTO]]/MateriaisCampo[[#This Row],[QUANTIDADE]])/MateriaisCampo[[#This Row],[MARK-UP]]),0)</f>
        <v>178.53145337783721</v>
      </c>
      <c r="AI129" s="453">
        <f>MateriaisCampo[[#This Row],[UNIT VENDA]]*MateriaisCampo[[#This Row],[QUANTIDADE]]</f>
        <v>3570.6290675567443</v>
      </c>
      <c r="AJ129" s="453">
        <f>IFERROR(MateriaisCampo[[#This Row],[VENDA]]*(RESUMO!$F$55/RESUMO!$F$45),0)</f>
        <v>4534.1321492784054</v>
      </c>
      <c r="AK129" s="453">
        <f>IFERROR(MateriaisCampo[[#This Row],[VENDA]]*(RESUMO!$F$58/RESUMO!$F$45),0)</f>
        <v>4534.1321492784054</v>
      </c>
      <c r="AL129" s="454">
        <f>IF(MateriaisCampo[[#This Row],[FATURAMENTO]]="NORMAL",MateriaisCampo[[#This Row],[VENDA]],0)</f>
        <v>3570.6290675567443</v>
      </c>
    </row>
    <row r="130" spans="1:38" x14ac:dyDescent="0.25">
      <c r="A130" s="113" t="s">
        <v>652</v>
      </c>
      <c r="B130" s="113" t="s">
        <v>652</v>
      </c>
      <c r="C130" s="113" t="s">
        <v>700</v>
      </c>
      <c r="D130" s="113" t="s">
        <v>689</v>
      </c>
      <c r="E130" s="434" t="s">
        <v>655</v>
      </c>
      <c r="F130" s="434">
        <f t="shared" si="0"/>
        <v>0</v>
      </c>
      <c r="G130" s="113"/>
      <c r="H130" s="435" t="s">
        <v>603</v>
      </c>
      <c r="I130" s="436">
        <v>6</v>
      </c>
      <c r="J130" s="437">
        <f>J120*0.85</f>
        <v>86.479426522219754</v>
      </c>
      <c r="K130" s="438">
        <v>0.18</v>
      </c>
      <c r="L130" s="438"/>
      <c r="M130" s="458"/>
      <c r="N130" s="445">
        <f>MateriaisCampo[[#This Row],[UNIT S/IPI S/DESC]]-MateriaisCampo[[#This Row],[UNIT S/IPI S/DESC]]*MateriaisCampo[[#This Row],[% DESC]]</f>
        <v>86.479426522219754</v>
      </c>
      <c r="O130" s="441" t="s">
        <v>295</v>
      </c>
      <c r="P130" s="442" t="s">
        <v>155</v>
      </c>
      <c r="Q130" s="438">
        <v>1.6500000000000001E-2</v>
      </c>
      <c r="R130" s="438">
        <v>7.5999999999999998E-2</v>
      </c>
      <c r="S130" s="443">
        <f>MateriaisCampo[[#This Row],[UNIT S/ IP + DIF ICMS]]*MateriaisCampo[[#This Row],[QUANTIDADE]]</f>
        <v>518.87655913331855</v>
      </c>
      <c r="T130" s="444">
        <f>MateriaisCampo[[#This Row],[TOTAL S/ IPI]]+(MateriaisCampo[[#This Row],[TOTAL S/ IPI]]*MateriaisCampo[[#This Row],[IPI %]])</f>
        <v>518.87655913331855</v>
      </c>
      <c r="U130" s="445">
        <f>IF(AND(MateriaisCampo[[#This Row],[ICMS %]]&lt;&gt;18%,MateriaisCampo[[#This Row],[ORIGEM]]&lt;&gt;"SÃO PAULO"),((18%-MateriaisCampo[[#This Row],[ICMS %]])*MateriaisCampo[[#This Row],[UNIT S/ IPI C/DESC]]),0)</f>
        <v>0</v>
      </c>
      <c r="V130" s="437">
        <f>MateriaisCampo[[#This Row],[UNIT S/ IPI C/DESC]]*MateriaisCampo[[#This Row],[ICMS %]]</f>
        <v>15.566296773999555</v>
      </c>
      <c r="W130" s="437">
        <f>MateriaisCampo[[#This Row],[ICMS $]]*MateriaisCampo[[#This Row],[QUANTIDADE]]</f>
        <v>93.397780643997336</v>
      </c>
      <c r="X130" s="446">
        <f>MateriaisCampo[[#This Row],[UNIT S/ IPI C/DESC]]+MateriaisCampo[[#This Row],[DIFERENCIAL ICMS]]</f>
        <v>86.479426522219754</v>
      </c>
      <c r="Y130" s="446">
        <f>(MateriaisCampo[[#This Row],[PIS]]*MateriaisCampo[[#This Row],[UNIT S/ IPI C/DESC]])/2</f>
        <v>0.713455268808313</v>
      </c>
      <c r="Z130" s="446">
        <f>(MateriaisCampo[[#This Row],[COFINS]]*MateriaisCampo[[#This Row],[UNIT S/ IPI C/DESC]])/2</f>
        <v>3.2862182078443505</v>
      </c>
      <c r="AA130" s="445">
        <f>MateriaisCampo[[#This Row],[UNIT S/ IP + DIF ICMS]]+(MateriaisCampo[[#This Row],[UNIT S/ IP + DIF ICMS]]*MateriaisCampo[[#This Row],[IPI %]])</f>
        <v>86.479426522219754</v>
      </c>
      <c r="AB130" s="448">
        <f>_xlfn.XLOOKUP(MateriaisCampo[[#This Row],[FATURAMENTO]],BASE!$U$48:$U$50,BASE!$W$48:$W$50,0,0,1)</f>
        <v>0.79709863947533133</v>
      </c>
      <c r="AC130" s="510" t="str">
        <f>RESUMO!$E$56</f>
        <v>SIM</v>
      </c>
      <c r="AD130" s="449" t="str">
        <f>RESUMO!$E$57</f>
        <v>SIM</v>
      </c>
      <c r="AE13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66.913456271567526</v>
      </c>
      <c r="AF130" s="450">
        <f>MateriaisCampo[[#This Row],[UNIT CRED]]*MateriaisCampo[[#This Row],[QUANTIDADE]]</f>
        <v>401.48073762940516</v>
      </c>
      <c r="AG130" s="451">
        <f>MateriaisCampo[[#This Row],[TOT CRED]]</f>
        <v>401.48073762940516</v>
      </c>
      <c r="AH130" s="452">
        <f>IF(MateriaisCampo[[#This Row],[QUANTIDADE]]&lt;&gt;0,((MateriaisCampo[[#This Row],[TOT CUSTO]]/MateriaisCampo[[#This Row],[QUANTIDADE]])/MateriaisCampo[[#This Row],[MARK-UP]]),0)</f>
        <v>83.946268325851747</v>
      </c>
      <c r="AI130" s="453">
        <f>MateriaisCampo[[#This Row],[UNIT VENDA]]*MateriaisCampo[[#This Row],[QUANTIDADE]]</f>
        <v>503.67760995511048</v>
      </c>
      <c r="AJ130" s="453">
        <f>IFERROR(MateriaisCampo[[#This Row],[VENDA]]*(RESUMO!$F$55/RESUMO!$F$45),0)</f>
        <v>639.59061581601327</v>
      </c>
      <c r="AK130" s="453">
        <f>IFERROR(MateriaisCampo[[#This Row],[VENDA]]*(RESUMO!$F$58/RESUMO!$F$45),0)</f>
        <v>639.59061581601327</v>
      </c>
      <c r="AL130" s="454">
        <f>IF(MateriaisCampo[[#This Row],[FATURAMENTO]]="NORMAL",MateriaisCampo[[#This Row],[VENDA]],0)</f>
        <v>503.67760995511048</v>
      </c>
    </row>
    <row r="131" spans="1:38" x14ac:dyDescent="0.25">
      <c r="A131" s="113" t="s">
        <v>652</v>
      </c>
      <c r="B131" s="113" t="s">
        <v>652</v>
      </c>
      <c r="C131" s="113" t="s">
        <v>701</v>
      </c>
      <c r="D131" s="113" t="s">
        <v>689</v>
      </c>
      <c r="E131" s="434" t="s">
        <v>655</v>
      </c>
      <c r="F131" s="434">
        <f t="shared" si="0"/>
        <v>0</v>
      </c>
      <c r="G131" s="113"/>
      <c r="H131" s="435" t="s">
        <v>603</v>
      </c>
      <c r="I131" s="436">
        <f>I130</f>
        <v>6</v>
      </c>
      <c r="J131" s="437">
        <f>J121*0.85</f>
        <v>27.908902495171883</v>
      </c>
      <c r="K131" s="438">
        <v>0.18</v>
      </c>
      <c r="L131" s="438"/>
      <c r="M131" s="458"/>
      <c r="N131" s="445">
        <f>MateriaisCampo[[#This Row],[UNIT S/IPI S/DESC]]-MateriaisCampo[[#This Row],[UNIT S/IPI S/DESC]]*MateriaisCampo[[#This Row],[% DESC]]</f>
        <v>27.908902495171883</v>
      </c>
      <c r="O131" s="441" t="s">
        <v>295</v>
      </c>
      <c r="P131" s="442" t="s">
        <v>155</v>
      </c>
      <c r="Q131" s="438">
        <v>1.6500000000000001E-2</v>
      </c>
      <c r="R131" s="438">
        <v>7.5999999999999998E-2</v>
      </c>
      <c r="S131" s="443">
        <f>MateriaisCampo[[#This Row],[UNIT S/ IP + DIF ICMS]]*MateriaisCampo[[#This Row],[QUANTIDADE]]</f>
        <v>167.45341497103129</v>
      </c>
      <c r="T131" s="444">
        <f>MateriaisCampo[[#This Row],[TOTAL S/ IPI]]+(MateriaisCampo[[#This Row],[TOTAL S/ IPI]]*MateriaisCampo[[#This Row],[IPI %]])</f>
        <v>167.45341497103129</v>
      </c>
      <c r="U131" s="445">
        <f>IF(AND(MateriaisCampo[[#This Row],[ICMS %]]&lt;&gt;18%,MateriaisCampo[[#This Row],[ORIGEM]]&lt;&gt;"SÃO PAULO"),((18%-MateriaisCampo[[#This Row],[ICMS %]])*MateriaisCampo[[#This Row],[UNIT S/ IPI C/DESC]]),0)</f>
        <v>0</v>
      </c>
      <c r="V131" s="437">
        <f>MateriaisCampo[[#This Row],[UNIT S/ IPI C/DESC]]*MateriaisCampo[[#This Row],[ICMS %]]</f>
        <v>5.023602449130939</v>
      </c>
      <c r="W131" s="437">
        <f>MateriaisCampo[[#This Row],[ICMS $]]*MateriaisCampo[[#This Row],[QUANTIDADE]]</f>
        <v>30.141614694785634</v>
      </c>
      <c r="X131" s="446">
        <f>MateriaisCampo[[#This Row],[UNIT S/ IPI C/DESC]]+MateriaisCampo[[#This Row],[DIFERENCIAL ICMS]]</f>
        <v>27.908902495171883</v>
      </c>
      <c r="Y131" s="446">
        <f>(MateriaisCampo[[#This Row],[PIS]]*MateriaisCampo[[#This Row],[UNIT S/ IPI C/DESC]])/2</f>
        <v>0.23024844558516805</v>
      </c>
      <c r="Z131" s="446">
        <f>(MateriaisCampo[[#This Row],[COFINS]]*MateriaisCampo[[#This Row],[UNIT S/ IPI C/DESC]])/2</f>
        <v>1.0605382948165316</v>
      </c>
      <c r="AA131" s="445">
        <f>MateriaisCampo[[#This Row],[UNIT S/ IP + DIF ICMS]]+(MateriaisCampo[[#This Row],[UNIT S/ IP + DIF ICMS]]*MateriaisCampo[[#This Row],[IPI %]])</f>
        <v>27.908902495171883</v>
      </c>
      <c r="AB131" s="448">
        <f>_xlfn.XLOOKUP(MateriaisCampo[[#This Row],[FATURAMENTO]],BASE!$U$48:$U$50,BASE!$W$48:$W$50,0,0,1)</f>
        <v>0.79709863947533133</v>
      </c>
      <c r="AC131" s="510" t="str">
        <f>RESUMO!$E$56</f>
        <v>SIM</v>
      </c>
      <c r="AD131" s="449" t="str">
        <f>RESUMO!$E$57</f>
        <v>SIM</v>
      </c>
      <c r="AE13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21.594513305639246</v>
      </c>
      <c r="AF131" s="450">
        <f>MateriaisCampo[[#This Row],[UNIT CRED]]*MateriaisCampo[[#This Row],[QUANTIDADE]]</f>
        <v>129.56707983383546</v>
      </c>
      <c r="AG131" s="451">
        <f>MateriaisCampo[[#This Row],[TOT CRED]]</f>
        <v>129.56707983383546</v>
      </c>
      <c r="AH131" s="452">
        <f>IF(MateriaisCampo[[#This Row],[QUANTIDADE]]&lt;&gt;0,((MateriaisCampo[[#This Row],[TOT CUSTO]]/MateriaisCampo[[#This Row],[QUANTIDADE]])/MateriaisCampo[[#This Row],[MARK-UP]]),0)</f>
        <v>27.09139400846707</v>
      </c>
      <c r="AI131" s="453">
        <f>MateriaisCampo[[#This Row],[UNIT VENDA]]*MateriaisCampo[[#This Row],[QUANTIDADE]]</f>
        <v>162.54836405080243</v>
      </c>
      <c r="AJ131" s="453">
        <f>IFERROR(MateriaisCampo[[#This Row],[VENDA]]*(RESUMO!$F$55/RESUMO!$F$45),0)</f>
        <v>206.41062101689198</v>
      </c>
      <c r="AK131" s="453">
        <f>IFERROR(MateriaisCampo[[#This Row],[VENDA]]*(RESUMO!$F$58/RESUMO!$F$45),0)</f>
        <v>206.41062101689198</v>
      </c>
      <c r="AL131" s="454">
        <f>IF(MateriaisCampo[[#This Row],[FATURAMENTO]]="NORMAL",MateriaisCampo[[#This Row],[VENDA]],0)</f>
        <v>162.54836405080243</v>
      </c>
    </row>
    <row r="132" spans="1:38" x14ac:dyDescent="0.25">
      <c r="A132" s="113" t="s">
        <v>652</v>
      </c>
      <c r="B132" s="113" t="s">
        <v>652</v>
      </c>
      <c r="C132" s="113" t="s">
        <v>702</v>
      </c>
      <c r="D132" s="113" t="s">
        <v>689</v>
      </c>
      <c r="E132" s="434" t="s">
        <v>655</v>
      </c>
      <c r="F132" s="434">
        <f t="shared" si="0"/>
        <v>0</v>
      </c>
      <c r="G132" s="113"/>
      <c r="H132" s="435" t="s">
        <v>603</v>
      </c>
      <c r="I132" s="436">
        <v>2</v>
      </c>
      <c r="J132" s="437">
        <f>J130</f>
        <v>86.479426522219754</v>
      </c>
      <c r="K132" s="438">
        <v>0.18</v>
      </c>
      <c r="L132" s="438"/>
      <c r="M132" s="458"/>
      <c r="N132" s="445">
        <f>MateriaisCampo[[#This Row],[UNIT S/IPI S/DESC]]-MateriaisCampo[[#This Row],[UNIT S/IPI S/DESC]]*MateriaisCampo[[#This Row],[% DESC]]</f>
        <v>86.479426522219754</v>
      </c>
      <c r="O132" s="441" t="s">
        <v>295</v>
      </c>
      <c r="P132" s="442" t="s">
        <v>155</v>
      </c>
      <c r="Q132" s="438">
        <v>1.6500000000000001E-2</v>
      </c>
      <c r="R132" s="438">
        <v>7.5999999999999998E-2</v>
      </c>
      <c r="S132" s="443">
        <f>MateriaisCampo[[#This Row],[UNIT S/ IP + DIF ICMS]]*MateriaisCampo[[#This Row],[QUANTIDADE]]</f>
        <v>172.95885304443951</v>
      </c>
      <c r="T132" s="444">
        <f>MateriaisCampo[[#This Row],[TOTAL S/ IPI]]+(MateriaisCampo[[#This Row],[TOTAL S/ IPI]]*MateriaisCampo[[#This Row],[IPI %]])</f>
        <v>172.95885304443951</v>
      </c>
      <c r="U132" s="445">
        <f>IF(AND(MateriaisCampo[[#This Row],[ICMS %]]&lt;&gt;18%,MateriaisCampo[[#This Row],[ORIGEM]]&lt;&gt;"SÃO PAULO"),((18%-MateriaisCampo[[#This Row],[ICMS %]])*MateriaisCampo[[#This Row],[UNIT S/ IPI C/DESC]]),0)</f>
        <v>0</v>
      </c>
      <c r="V132" s="437">
        <f>MateriaisCampo[[#This Row],[UNIT S/ IPI C/DESC]]*MateriaisCampo[[#This Row],[ICMS %]]</f>
        <v>15.566296773999555</v>
      </c>
      <c r="W132" s="437">
        <f>MateriaisCampo[[#This Row],[ICMS $]]*MateriaisCampo[[#This Row],[QUANTIDADE]]</f>
        <v>31.132593547999111</v>
      </c>
      <c r="X132" s="446">
        <f>MateriaisCampo[[#This Row],[UNIT S/ IPI C/DESC]]+MateriaisCampo[[#This Row],[DIFERENCIAL ICMS]]</f>
        <v>86.479426522219754</v>
      </c>
      <c r="Y132" s="446">
        <f>(MateriaisCampo[[#This Row],[PIS]]*MateriaisCampo[[#This Row],[UNIT S/ IPI C/DESC]])/2</f>
        <v>0.713455268808313</v>
      </c>
      <c r="Z132" s="446">
        <f>(MateriaisCampo[[#This Row],[COFINS]]*MateriaisCampo[[#This Row],[UNIT S/ IPI C/DESC]])/2</f>
        <v>3.2862182078443505</v>
      </c>
      <c r="AA132" s="445">
        <f>MateriaisCampo[[#This Row],[UNIT S/ IP + DIF ICMS]]+(MateriaisCampo[[#This Row],[UNIT S/ IP + DIF ICMS]]*MateriaisCampo[[#This Row],[IPI %]])</f>
        <v>86.479426522219754</v>
      </c>
      <c r="AB132" s="448">
        <f>_xlfn.XLOOKUP(MateriaisCampo[[#This Row],[FATURAMENTO]],BASE!$U$48:$U$50,BASE!$W$48:$W$50,0,0,1)</f>
        <v>0.79709863947533133</v>
      </c>
      <c r="AC132" s="510" t="str">
        <f>RESUMO!$E$56</f>
        <v>SIM</v>
      </c>
      <c r="AD132" s="449" t="str">
        <f>RESUMO!$E$57</f>
        <v>SIM</v>
      </c>
      <c r="AE13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66.913456271567526</v>
      </c>
      <c r="AF132" s="450">
        <f>MateriaisCampo[[#This Row],[UNIT CRED]]*MateriaisCampo[[#This Row],[QUANTIDADE]]</f>
        <v>133.82691254313505</v>
      </c>
      <c r="AG132" s="451">
        <f>MateriaisCampo[[#This Row],[TOT CRED]]</f>
        <v>133.82691254313505</v>
      </c>
      <c r="AH132" s="452">
        <f>IF(MateriaisCampo[[#This Row],[QUANTIDADE]]&lt;&gt;0,((MateriaisCampo[[#This Row],[TOT CUSTO]]/MateriaisCampo[[#This Row],[QUANTIDADE]])/MateriaisCampo[[#This Row],[MARK-UP]]),0)</f>
        <v>83.946268325851747</v>
      </c>
      <c r="AI132" s="453">
        <f>MateriaisCampo[[#This Row],[UNIT VENDA]]*MateriaisCampo[[#This Row],[QUANTIDADE]]</f>
        <v>167.89253665170349</v>
      </c>
      <c r="AJ132" s="453">
        <f>IFERROR(MateriaisCampo[[#This Row],[VENDA]]*(RESUMO!$F$55/RESUMO!$F$45),0)</f>
        <v>213.19687193867108</v>
      </c>
      <c r="AK132" s="453">
        <f>IFERROR(MateriaisCampo[[#This Row],[VENDA]]*(RESUMO!$F$58/RESUMO!$F$45),0)</f>
        <v>213.19687193867108</v>
      </c>
      <c r="AL132" s="454">
        <f>IF(MateriaisCampo[[#This Row],[FATURAMENTO]]="NORMAL",MateriaisCampo[[#This Row],[VENDA]],0)</f>
        <v>167.89253665170349</v>
      </c>
    </row>
    <row r="133" spans="1:38" x14ac:dyDescent="0.25">
      <c r="A133" s="113" t="s">
        <v>652</v>
      </c>
      <c r="B133" s="113" t="s">
        <v>652</v>
      </c>
      <c r="C133" s="113" t="s">
        <v>703</v>
      </c>
      <c r="D133" s="113" t="s">
        <v>689</v>
      </c>
      <c r="E133" s="434" t="s">
        <v>655</v>
      </c>
      <c r="F133" s="434">
        <f t="shared" si="0"/>
        <v>0</v>
      </c>
      <c r="G133" s="113"/>
      <c r="H133" s="435" t="s">
        <v>603</v>
      </c>
      <c r="I133" s="436">
        <f>I132</f>
        <v>2</v>
      </c>
      <c r="J133" s="437">
        <f>J131</f>
        <v>27.908902495171883</v>
      </c>
      <c r="K133" s="438">
        <v>0.18</v>
      </c>
      <c r="L133" s="438"/>
      <c r="M133" s="458"/>
      <c r="N133" s="445">
        <f>MateriaisCampo[[#This Row],[UNIT S/IPI S/DESC]]-MateriaisCampo[[#This Row],[UNIT S/IPI S/DESC]]*MateriaisCampo[[#This Row],[% DESC]]</f>
        <v>27.908902495171883</v>
      </c>
      <c r="O133" s="441" t="s">
        <v>295</v>
      </c>
      <c r="P133" s="442" t="s">
        <v>155</v>
      </c>
      <c r="Q133" s="438">
        <v>1.6500000000000001E-2</v>
      </c>
      <c r="R133" s="438">
        <v>7.5999999999999998E-2</v>
      </c>
      <c r="S133" s="443">
        <f>MateriaisCampo[[#This Row],[UNIT S/ IP + DIF ICMS]]*MateriaisCampo[[#This Row],[QUANTIDADE]]</f>
        <v>55.817804990343767</v>
      </c>
      <c r="T133" s="444">
        <f>MateriaisCampo[[#This Row],[TOTAL S/ IPI]]+(MateriaisCampo[[#This Row],[TOTAL S/ IPI]]*MateriaisCampo[[#This Row],[IPI %]])</f>
        <v>55.817804990343767</v>
      </c>
      <c r="U133" s="445">
        <f>IF(AND(MateriaisCampo[[#This Row],[ICMS %]]&lt;&gt;18%,MateriaisCampo[[#This Row],[ORIGEM]]&lt;&gt;"SÃO PAULO"),((18%-MateriaisCampo[[#This Row],[ICMS %]])*MateriaisCampo[[#This Row],[UNIT S/ IPI C/DESC]]),0)</f>
        <v>0</v>
      </c>
      <c r="V133" s="437">
        <f>MateriaisCampo[[#This Row],[UNIT S/ IPI C/DESC]]*MateriaisCampo[[#This Row],[ICMS %]]</f>
        <v>5.023602449130939</v>
      </c>
      <c r="W133" s="437">
        <f>MateriaisCampo[[#This Row],[ICMS $]]*MateriaisCampo[[#This Row],[QUANTIDADE]]</f>
        <v>10.047204898261878</v>
      </c>
      <c r="X133" s="446">
        <f>MateriaisCampo[[#This Row],[UNIT S/ IPI C/DESC]]+MateriaisCampo[[#This Row],[DIFERENCIAL ICMS]]</f>
        <v>27.908902495171883</v>
      </c>
      <c r="Y133" s="446">
        <f>(MateriaisCampo[[#This Row],[PIS]]*MateriaisCampo[[#This Row],[UNIT S/ IPI C/DESC]])/2</f>
        <v>0.23024844558516805</v>
      </c>
      <c r="Z133" s="446">
        <f>(MateriaisCampo[[#This Row],[COFINS]]*MateriaisCampo[[#This Row],[UNIT S/ IPI C/DESC]])/2</f>
        <v>1.0605382948165316</v>
      </c>
      <c r="AA133" s="445">
        <f>MateriaisCampo[[#This Row],[UNIT S/ IP + DIF ICMS]]+(MateriaisCampo[[#This Row],[UNIT S/ IP + DIF ICMS]]*MateriaisCampo[[#This Row],[IPI %]])</f>
        <v>27.908902495171883</v>
      </c>
      <c r="AB133" s="448">
        <f>_xlfn.XLOOKUP(MateriaisCampo[[#This Row],[FATURAMENTO]],BASE!$U$48:$U$50,BASE!$W$48:$W$50,0,0,1)</f>
        <v>0.79709863947533133</v>
      </c>
      <c r="AC133" s="510" t="str">
        <f>RESUMO!$E$56</f>
        <v>SIM</v>
      </c>
      <c r="AD133" s="449" t="str">
        <f>RESUMO!$E$57</f>
        <v>SIM</v>
      </c>
      <c r="AE13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21.594513305639246</v>
      </c>
      <c r="AF133" s="450">
        <f>MateriaisCampo[[#This Row],[UNIT CRED]]*MateriaisCampo[[#This Row],[QUANTIDADE]]</f>
        <v>43.189026611278493</v>
      </c>
      <c r="AG133" s="451">
        <f>MateriaisCampo[[#This Row],[TOT CRED]]</f>
        <v>43.189026611278493</v>
      </c>
      <c r="AH133" s="452">
        <f>IF(MateriaisCampo[[#This Row],[QUANTIDADE]]&lt;&gt;0,((MateriaisCampo[[#This Row],[TOT CUSTO]]/MateriaisCampo[[#This Row],[QUANTIDADE]])/MateriaisCampo[[#This Row],[MARK-UP]]),0)</f>
        <v>27.091394008467073</v>
      </c>
      <c r="AI133" s="453">
        <f>MateriaisCampo[[#This Row],[UNIT VENDA]]*MateriaisCampo[[#This Row],[QUANTIDADE]]</f>
        <v>54.182788016934147</v>
      </c>
      <c r="AJ133" s="453">
        <f>IFERROR(MateriaisCampo[[#This Row],[VENDA]]*(RESUMO!$F$55/RESUMO!$F$45),0)</f>
        <v>68.803540338963998</v>
      </c>
      <c r="AK133" s="453">
        <f>IFERROR(MateriaisCampo[[#This Row],[VENDA]]*(RESUMO!$F$58/RESUMO!$F$45),0)</f>
        <v>68.803540338963998</v>
      </c>
      <c r="AL133" s="454">
        <f>IF(MateriaisCampo[[#This Row],[FATURAMENTO]]="NORMAL",MateriaisCampo[[#This Row],[VENDA]],0)</f>
        <v>54.182788016934147</v>
      </c>
    </row>
    <row r="134" spans="1:38" x14ac:dyDescent="0.25">
      <c r="A134" s="113" t="s">
        <v>652</v>
      </c>
      <c r="B134" s="113" t="s">
        <v>652</v>
      </c>
      <c r="C134" s="113" t="s">
        <v>704</v>
      </c>
      <c r="D134" s="113" t="s">
        <v>689</v>
      </c>
      <c r="E134" s="434" t="s">
        <v>655</v>
      </c>
      <c r="F134" s="434">
        <f t="shared" si="0"/>
        <v>0</v>
      </c>
      <c r="G134" s="113"/>
      <c r="H134" s="435" t="s">
        <v>603</v>
      </c>
      <c r="I134" s="436">
        <v>2</v>
      </c>
      <c r="J134" s="437">
        <f>J132</f>
        <v>86.479426522219754</v>
      </c>
      <c r="K134" s="438">
        <v>0.18</v>
      </c>
      <c r="L134" s="438"/>
      <c r="M134" s="458"/>
      <c r="N134" s="445">
        <f>MateriaisCampo[[#This Row],[UNIT S/IPI S/DESC]]-MateriaisCampo[[#This Row],[UNIT S/IPI S/DESC]]*MateriaisCampo[[#This Row],[% DESC]]</f>
        <v>86.479426522219754</v>
      </c>
      <c r="O134" s="441" t="s">
        <v>295</v>
      </c>
      <c r="P134" s="442" t="s">
        <v>155</v>
      </c>
      <c r="Q134" s="438">
        <v>1.6500000000000001E-2</v>
      </c>
      <c r="R134" s="438">
        <v>7.5999999999999998E-2</v>
      </c>
      <c r="S134" s="443">
        <f>MateriaisCampo[[#This Row],[UNIT S/ IP + DIF ICMS]]*MateriaisCampo[[#This Row],[QUANTIDADE]]</f>
        <v>172.95885304443951</v>
      </c>
      <c r="T134" s="444">
        <f>MateriaisCampo[[#This Row],[TOTAL S/ IPI]]+(MateriaisCampo[[#This Row],[TOTAL S/ IPI]]*MateriaisCampo[[#This Row],[IPI %]])</f>
        <v>172.95885304443951</v>
      </c>
      <c r="U134" s="445">
        <f>IF(AND(MateriaisCampo[[#This Row],[ICMS %]]&lt;&gt;18%,MateriaisCampo[[#This Row],[ORIGEM]]&lt;&gt;"SÃO PAULO"),((18%-MateriaisCampo[[#This Row],[ICMS %]])*MateriaisCampo[[#This Row],[UNIT S/ IPI C/DESC]]),0)</f>
        <v>0</v>
      </c>
      <c r="V134" s="437">
        <f>MateriaisCampo[[#This Row],[UNIT S/ IPI C/DESC]]*MateriaisCampo[[#This Row],[ICMS %]]</f>
        <v>15.566296773999555</v>
      </c>
      <c r="W134" s="437">
        <f>MateriaisCampo[[#This Row],[ICMS $]]*MateriaisCampo[[#This Row],[QUANTIDADE]]</f>
        <v>31.132593547999111</v>
      </c>
      <c r="X134" s="446">
        <f>MateriaisCampo[[#This Row],[UNIT S/ IPI C/DESC]]+MateriaisCampo[[#This Row],[DIFERENCIAL ICMS]]</f>
        <v>86.479426522219754</v>
      </c>
      <c r="Y134" s="446">
        <f>(MateriaisCampo[[#This Row],[PIS]]*MateriaisCampo[[#This Row],[UNIT S/ IPI C/DESC]])/2</f>
        <v>0.713455268808313</v>
      </c>
      <c r="Z134" s="446">
        <f>(MateriaisCampo[[#This Row],[COFINS]]*MateriaisCampo[[#This Row],[UNIT S/ IPI C/DESC]])/2</f>
        <v>3.2862182078443505</v>
      </c>
      <c r="AA134" s="445">
        <f>MateriaisCampo[[#This Row],[UNIT S/ IP + DIF ICMS]]+(MateriaisCampo[[#This Row],[UNIT S/ IP + DIF ICMS]]*MateriaisCampo[[#This Row],[IPI %]])</f>
        <v>86.479426522219754</v>
      </c>
      <c r="AB134" s="448">
        <f>_xlfn.XLOOKUP(MateriaisCampo[[#This Row],[FATURAMENTO]],BASE!$U$48:$U$50,BASE!$W$48:$W$50,0,0,1)</f>
        <v>0.79709863947533133</v>
      </c>
      <c r="AC134" s="510" t="str">
        <f>RESUMO!$E$56</f>
        <v>SIM</v>
      </c>
      <c r="AD134" s="449" t="str">
        <f>RESUMO!$E$57</f>
        <v>SIM</v>
      </c>
      <c r="AE13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66.913456271567526</v>
      </c>
      <c r="AF134" s="450">
        <f>MateriaisCampo[[#This Row],[UNIT CRED]]*MateriaisCampo[[#This Row],[QUANTIDADE]]</f>
        <v>133.82691254313505</v>
      </c>
      <c r="AG134" s="451">
        <f>MateriaisCampo[[#This Row],[TOT CRED]]</f>
        <v>133.82691254313505</v>
      </c>
      <c r="AH134" s="452">
        <f>IF(MateriaisCampo[[#This Row],[QUANTIDADE]]&lt;&gt;0,((MateriaisCampo[[#This Row],[TOT CUSTO]]/MateriaisCampo[[#This Row],[QUANTIDADE]])/MateriaisCampo[[#This Row],[MARK-UP]]),0)</f>
        <v>83.946268325851747</v>
      </c>
      <c r="AI134" s="453">
        <f>MateriaisCampo[[#This Row],[UNIT VENDA]]*MateriaisCampo[[#This Row],[QUANTIDADE]]</f>
        <v>167.89253665170349</v>
      </c>
      <c r="AJ134" s="453">
        <f>IFERROR(MateriaisCampo[[#This Row],[VENDA]]*(RESUMO!$F$55/RESUMO!$F$45),0)</f>
        <v>213.19687193867108</v>
      </c>
      <c r="AK134" s="453">
        <f>IFERROR(MateriaisCampo[[#This Row],[VENDA]]*(RESUMO!$F$58/RESUMO!$F$45),0)</f>
        <v>213.19687193867108</v>
      </c>
      <c r="AL134" s="454">
        <f>IF(MateriaisCampo[[#This Row],[FATURAMENTO]]="NORMAL",MateriaisCampo[[#This Row],[VENDA]],0)</f>
        <v>167.89253665170349</v>
      </c>
    </row>
    <row r="135" spans="1:38" x14ac:dyDescent="0.25">
      <c r="A135" s="113" t="s">
        <v>652</v>
      </c>
      <c r="B135" s="113" t="s">
        <v>652</v>
      </c>
      <c r="C135" s="113" t="s">
        <v>705</v>
      </c>
      <c r="D135" s="113" t="s">
        <v>689</v>
      </c>
      <c r="E135" s="434" t="s">
        <v>655</v>
      </c>
      <c r="F135" s="434">
        <f t="shared" si="0"/>
        <v>0</v>
      </c>
      <c r="G135" s="113"/>
      <c r="H135" s="435" t="s">
        <v>603</v>
      </c>
      <c r="I135" s="436">
        <f>I134</f>
        <v>2</v>
      </c>
      <c r="J135" s="437">
        <f>J133</f>
        <v>27.908902495171883</v>
      </c>
      <c r="K135" s="438">
        <v>0.18</v>
      </c>
      <c r="L135" s="438"/>
      <c r="M135" s="458"/>
      <c r="N135" s="445">
        <f>MateriaisCampo[[#This Row],[UNIT S/IPI S/DESC]]-MateriaisCampo[[#This Row],[UNIT S/IPI S/DESC]]*MateriaisCampo[[#This Row],[% DESC]]</f>
        <v>27.908902495171883</v>
      </c>
      <c r="O135" s="441" t="s">
        <v>295</v>
      </c>
      <c r="P135" s="442" t="s">
        <v>155</v>
      </c>
      <c r="Q135" s="438">
        <v>1.6500000000000001E-2</v>
      </c>
      <c r="R135" s="438">
        <v>7.5999999999999998E-2</v>
      </c>
      <c r="S135" s="443">
        <f>MateriaisCampo[[#This Row],[UNIT S/ IP + DIF ICMS]]*MateriaisCampo[[#This Row],[QUANTIDADE]]</f>
        <v>55.817804990343767</v>
      </c>
      <c r="T135" s="444">
        <f>MateriaisCampo[[#This Row],[TOTAL S/ IPI]]+(MateriaisCampo[[#This Row],[TOTAL S/ IPI]]*MateriaisCampo[[#This Row],[IPI %]])</f>
        <v>55.817804990343767</v>
      </c>
      <c r="U135" s="445">
        <f>IF(AND(MateriaisCampo[[#This Row],[ICMS %]]&lt;&gt;18%,MateriaisCampo[[#This Row],[ORIGEM]]&lt;&gt;"SÃO PAULO"),((18%-MateriaisCampo[[#This Row],[ICMS %]])*MateriaisCampo[[#This Row],[UNIT S/ IPI C/DESC]]),0)</f>
        <v>0</v>
      </c>
      <c r="V135" s="437">
        <f>MateriaisCampo[[#This Row],[UNIT S/ IPI C/DESC]]*MateriaisCampo[[#This Row],[ICMS %]]</f>
        <v>5.023602449130939</v>
      </c>
      <c r="W135" s="437">
        <f>MateriaisCampo[[#This Row],[ICMS $]]*MateriaisCampo[[#This Row],[QUANTIDADE]]</f>
        <v>10.047204898261878</v>
      </c>
      <c r="X135" s="446">
        <f>MateriaisCampo[[#This Row],[UNIT S/ IPI C/DESC]]+MateriaisCampo[[#This Row],[DIFERENCIAL ICMS]]</f>
        <v>27.908902495171883</v>
      </c>
      <c r="Y135" s="446">
        <f>(MateriaisCampo[[#This Row],[PIS]]*MateriaisCampo[[#This Row],[UNIT S/ IPI C/DESC]])/2</f>
        <v>0.23024844558516805</v>
      </c>
      <c r="Z135" s="446">
        <f>(MateriaisCampo[[#This Row],[COFINS]]*MateriaisCampo[[#This Row],[UNIT S/ IPI C/DESC]])/2</f>
        <v>1.0605382948165316</v>
      </c>
      <c r="AA135" s="445">
        <f>MateriaisCampo[[#This Row],[UNIT S/ IP + DIF ICMS]]+(MateriaisCampo[[#This Row],[UNIT S/ IP + DIF ICMS]]*MateriaisCampo[[#This Row],[IPI %]])</f>
        <v>27.908902495171883</v>
      </c>
      <c r="AB135" s="448">
        <f>_xlfn.XLOOKUP(MateriaisCampo[[#This Row],[FATURAMENTO]],BASE!$U$48:$U$50,BASE!$W$48:$W$50,0,0,1)</f>
        <v>0.79709863947533133</v>
      </c>
      <c r="AC135" s="510" t="str">
        <f>RESUMO!$E$56</f>
        <v>SIM</v>
      </c>
      <c r="AD135" s="449" t="str">
        <f>RESUMO!$E$57</f>
        <v>SIM</v>
      </c>
      <c r="AE13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21.594513305639246</v>
      </c>
      <c r="AF135" s="450">
        <f>MateriaisCampo[[#This Row],[UNIT CRED]]*MateriaisCampo[[#This Row],[QUANTIDADE]]</f>
        <v>43.189026611278493</v>
      </c>
      <c r="AG135" s="451">
        <f>MateriaisCampo[[#This Row],[TOT CRED]]</f>
        <v>43.189026611278493</v>
      </c>
      <c r="AH135" s="452">
        <f>IF(MateriaisCampo[[#This Row],[QUANTIDADE]]&lt;&gt;0,((MateriaisCampo[[#This Row],[TOT CUSTO]]/MateriaisCampo[[#This Row],[QUANTIDADE]])/MateriaisCampo[[#This Row],[MARK-UP]]),0)</f>
        <v>27.091394008467073</v>
      </c>
      <c r="AI135" s="453">
        <f>MateriaisCampo[[#This Row],[UNIT VENDA]]*MateriaisCampo[[#This Row],[QUANTIDADE]]</f>
        <v>54.182788016934147</v>
      </c>
      <c r="AJ135" s="453">
        <f>IFERROR(MateriaisCampo[[#This Row],[VENDA]]*(RESUMO!$F$55/RESUMO!$F$45),0)</f>
        <v>68.803540338963998</v>
      </c>
      <c r="AK135" s="453">
        <f>IFERROR(MateriaisCampo[[#This Row],[VENDA]]*(RESUMO!$F$58/RESUMO!$F$45),0)</f>
        <v>68.803540338963998</v>
      </c>
      <c r="AL135" s="454">
        <f>IF(MateriaisCampo[[#This Row],[FATURAMENTO]]="NORMAL",MateriaisCampo[[#This Row],[VENDA]],0)</f>
        <v>54.182788016934147</v>
      </c>
    </row>
    <row r="136" spans="1:38" x14ac:dyDescent="0.25">
      <c r="A136" s="113" t="s">
        <v>652</v>
      </c>
      <c r="B136" s="113" t="s">
        <v>652</v>
      </c>
      <c r="C136" s="113" t="s">
        <v>706</v>
      </c>
      <c r="D136" s="113" t="s">
        <v>689</v>
      </c>
      <c r="E136" s="434" t="s">
        <v>655</v>
      </c>
      <c r="F136" s="434">
        <f t="shared" ref="F136:F153" si="2">F$7</f>
        <v>0</v>
      </c>
      <c r="G136" s="113"/>
      <c r="H136" s="435" t="s">
        <v>603</v>
      </c>
      <c r="I136" s="436">
        <v>13</v>
      </c>
      <c r="J136" s="437">
        <f>J122*0.85</f>
        <v>115.32119999999999</v>
      </c>
      <c r="K136" s="438">
        <v>0.18</v>
      </c>
      <c r="L136" s="438"/>
      <c r="M136" s="458"/>
      <c r="N136" s="445">
        <f>MateriaisCampo[[#This Row],[UNIT S/IPI S/DESC]]-MateriaisCampo[[#This Row],[UNIT S/IPI S/DESC]]*MateriaisCampo[[#This Row],[% DESC]]</f>
        <v>115.32119999999999</v>
      </c>
      <c r="O136" s="441" t="s">
        <v>295</v>
      </c>
      <c r="P136" s="442" t="s">
        <v>155</v>
      </c>
      <c r="Q136" s="438">
        <v>1.6500000000000001E-2</v>
      </c>
      <c r="R136" s="438">
        <v>7.5999999999999998E-2</v>
      </c>
      <c r="S136" s="443">
        <f>MateriaisCampo[[#This Row],[UNIT S/ IP + DIF ICMS]]*MateriaisCampo[[#This Row],[QUANTIDADE]]</f>
        <v>1499.1755999999998</v>
      </c>
      <c r="T136" s="444">
        <f>MateriaisCampo[[#This Row],[TOTAL S/ IPI]]+(MateriaisCampo[[#This Row],[TOTAL S/ IPI]]*MateriaisCampo[[#This Row],[IPI %]])</f>
        <v>1499.1755999999998</v>
      </c>
      <c r="U136" s="445">
        <f>IF(AND(MateriaisCampo[[#This Row],[ICMS %]]&lt;&gt;18%,MateriaisCampo[[#This Row],[ORIGEM]]&lt;&gt;"SÃO PAULO"),((18%-MateriaisCampo[[#This Row],[ICMS %]])*MateriaisCampo[[#This Row],[UNIT S/ IPI C/DESC]]),0)</f>
        <v>0</v>
      </c>
      <c r="V136" s="437">
        <f>MateriaisCampo[[#This Row],[UNIT S/ IPI C/DESC]]*MateriaisCampo[[#This Row],[ICMS %]]</f>
        <v>20.757815999999998</v>
      </c>
      <c r="W136" s="437">
        <f>MateriaisCampo[[#This Row],[ICMS $]]*MateriaisCampo[[#This Row],[QUANTIDADE]]</f>
        <v>269.851608</v>
      </c>
      <c r="X136" s="446">
        <f>MateriaisCampo[[#This Row],[UNIT S/ IPI C/DESC]]+MateriaisCampo[[#This Row],[DIFERENCIAL ICMS]]</f>
        <v>115.32119999999999</v>
      </c>
      <c r="Y136" s="446">
        <f>(MateriaisCampo[[#This Row],[PIS]]*MateriaisCampo[[#This Row],[UNIT S/ IPI C/DESC]])/2</f>
        <v>0.95139989999999997</v>
      </c>
      <c r="Z136" s="446">
        <f>(MateriaisCampo[[#This Row],[COFINS]]*MateriaisCampo[[#This Row],[UNIT S/ IPI C/DESC]])/2</f>
        <v>4.3822055999999998</v>
      </c>
      <c r="AA136" s="445">
        <f>MateriaisCampo[[#This Row],[UNIT S/ IP + DIF ICMS]]+(MateriaisCampo[[#This Row],[UNIT S/ IP + DIF ICMS]]*MateriaisCampo[[#This Row],[IPI %]])</f>
        <v>115.32119999999999</v>
      </c>
      <c r="AB136" s="448">
        <f>_xlfn.XLOOKUP(MateriaisCampo[[#This Row],[FATURAMENTO]],BASE!$U$48:$U$50,BASE!$W$48:$W$50,0,0,1)</f>
        <v>0.79709863947533133</v>
      </c>
      <c r="AC136" s="510" t="str">
        <f>RESUMO!$E$56</f>
        <v>SIM</v>
      </c>
      <c r="AD136" s="449" t="str">
        <f>RESUMO!$E$57</f>
        <v>SIM</v>
      </c>
      <c r="AE13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89.229778499999981</v>
      </c>
      <c r="AF136" s="450">
        <f>MateriaisCampo[[#This Row],[UNIT CRED]]*MateriaisCampo[[#This Row],[QUANTIDADE]]</f>
        <v>1159.9871204999997</v>
      </c>
      <c r="AG136" s="451">
        <f>MateriaisCampo[[#This Row],[TOT CRED]]</f>
        <v>1159.9871204999997</v>
      </c>
      <c r="AH136" s="452">
        <f>IF(MateriaisCampo[[#This Row],[QUANTIDADE]]&lt;&gt;0,((MateriaisCampo[[#This Row],[TOT CUSTO]]/MateriaisCampo[[#This Row],[QUANTIDADE]])/MateriaisCampo[[#This Row],[MARK-UP]]),0)</f>
        <v>111.94320762952634</v>
      </c>
      <c r="AI136" s="453">
        <f>MateriaisCampo[[#This Row],[UNIT VENDA]]*MateriaisCampo[[#This Row],[QUANTIDADE]]</f>
        <v>1455.2616991838424</v>
      </c>
      <c r="AJ136" s="453">
        <f>IFERROR(MateriaisCampo[[#This Row],[VENDA]]*(RESUMO!$F$55/RESUMO!$F$45),0)</f>
        <v>1847.9513640429743</v>
      </c>
      <c r="AK136" s="453">
        <f>IFERROR(MateriaisCampo[[#This Row],[VENDA]]*(RESUMO!$F$58/RESUMO!$F$45),0)</f>
        <v>1847.9513640429743</v>
      </c>
      <c r="AL136" s="454">
        <f>IF(MateriaisCampo[[#This Row],[FATURAMENTO]]="NORMAL",MateriaisCampo[[#This Row],[VENDA]],0)</f>
        <v>1455.2616991838424</v>
      </c>
    </row>
    <row r="137" spans="1:38" x14ac:dyDescent="0.25">
      <c r="A137" s="113" t="s">
        <v>652</v>
      </c>
      <c r="B137" s="113" t="s">
        <v>652</v>
      </c>
      <c r="C137" s="113" t="s">
        <v>707</v>
      </c>
      <c r="D137" s="113" t="s">
        <v>689</v>
      </c>
      <c r="E137" s="434" t="s">
        <v>655</v>
      </c>
      <c r="F137" s="434">
        <f t="shared" si="2"/>
        <v>0</v>
      </c>
      <c r="G137" s="113"/>
      <c r="H137" s="435" t="s">
        <v>603</v>
      </c>
      <c r="I137" s="436">
        <f>I136</f>
        <v>13</v>
      </c>
      <c r="J137" s="437">
        <f>J123*0.85</f>
        <v>49.565200000000004</v>
      </c>
      <c r="K137" s="438">
        <v>0.18</v>
      </c>
      <c r="L137" s="438"/>
      <c r="M137" s="458"/>
      <c r="N137" s="445">
        <f>MateriaisCampo[[#This Row],[UNIT S/IPI S/DESC]]-MateriaisCampo[[#This Row],[UNIT S/IPI S/DESC]]*MateriaisCampo[[#This Row],[% DESC]]</f>
        <v>49.565200000000004</v>
      </c>
      <c r="O137" s="441" t="s">
        <v>295</v>
      </c>
      <c r="P137" s="442" t="s">
        <v>155</v>
      </c>
      <c r="Q137" s="438">
        <v>1.6500000000000001E-2</v>
      </c>
      <c r="R137" s="438">
        <v>7.5999999999999998E-2</v>
      </c>
      <c r="S137" s="443">
        <f>MateriaisCampo[[#This Row],[UNIT S/ IP + DIF ICMS]]*MateriaisCampo[[#This Row],[QUANTIDADE]]</f>
        <v>644.34760000000006</v>
      </c>
      <c r="T137" s="444">
        <f>MateriaisCampo[[#This Row],[TOTAL S/ IPI]]+(MateriaisCampo[[#This Row],[TOTAL S/ IPI]]*MateriaisCampo[[#This Row],[IPI %]])</f>
        <v>644.34760000000006</v>
      </c>
      <c r="U137" s="445">
        <f>IF(AND(MateriaisCampo[[#This Row],[ICMS %]]&lt;&gt;18%,MateriaisCampo[[#This Row],[ORIGEM]]&lt;&gt;"SÃO PAULO"),((18%-MateriaisCampo[[#This Row],[ICMS %]])*MateriaisCampo[[#This Row],[UNIT S/ IPI C/DESC]]),0)</f>
        <v>0</v>
      </c>
      <c r="V137" s="437">
        <f>MateriaisCampo[[#This Row],[UNIT S/ IPI C/DESC]]*MateriaisCampo[[#This Row],[ICMS %]]</f>
        <v>8.921736000000001</v>
      </c>
      <c r="W137" s="437">
        <f>MateriaisCampo[[#This Row],[ICMS $]]*MateriaisCampo[[#This Row],[QUANTIDADE]]</f>
        <v>115.98256800000001</v>
      </c>
      <c r="X137" s="446">
        <f>MateriaisCampo[[#This Row],[UNIT S/ IPI C/DESC]]+MateriaisCampo[[#This Row],[DIFERENCIAL ICMS]]</f>
        <v>49.565200000000004</v>
      </c>
      <c r="Y137" s="446">
        <f>(MateriaisCampo[[#This Row],[PIS]]*MateriaisCampo[[#This Row],[UNIT S/ IPI C/DESC]])/2</f>
        <v>0.40891290000000008</v>
      </c>
      <c r="Z137" s="446">
        <f>(MateriaisCampo[[#This Row],[COFINS]]*MateriaisCampo[[#This Row],[UNIT S/ IPI C/DESC]])/2</f>
        <v>1.8834776000000002</v>
      </c>
      <c r="AA137" s="445">
        <f>MateriaisCampo[[#This Row],[UNIT S/ IP + DIF ICMS]]+(MateriaisCampo[[#This Row],[UNIT S/ IP + DIF ICMS]]*MateriaisCampo[[#This Row],[IPI %]])</f>
        <v>49.565200000000004</v>
      </c>
      <c r="AB137" s="448">
        <f>_xlfn.XLOOKUP(MateriaisCampo[[#This Row],[FATURAMENTO]],BASE!$U$48:$U$50,BASE!$W$48:$W$50,0,0,1)</f>
        <v>0.79709863947533133</v>
      </c>
      <c r="AC137" s="510" t="str">
        <f>RESUMO!$E$56</f>
        <v>SIM</v>
      </c>
      <c r="AD137" s="449" t="str">
        <f>RESUMO!$E$57</f>
        <v>SIM</v>
      </c>
      <c r="AE13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38.351073500000005</v>
      </c>
      <c r="AF137" s="450">
        <f>MateriaisCampo[[#This Row],[UNIT CRED]]*MateriaisCampo[[#This Row],[QUANTIDADE]]</f>
        <v>498.56395550000008</v>
      </c>
      <c r="AG137" s="451">
        <f>MateriaisCampo[[#This Row],[TOT CRED]]</f>
        <v>498.56395550000008</v>
      </c>
      <c r="AH137" s="452">
        <f>IF(MateriaisCampo[[#This Row],[QUANTIDADE]]&lt;&gt;0,((MateriaisCampo[[#This Row],[TOT CUSTO]]/MateriaisCampo[[#This Row],[QUANTIDADE]])/MateriaisCampo[[#This Row],[MARK-UP]]),0)</f>
        <v>48.113334536919503</v>
      </c>
      <c r="AI137" s="453">
        <f>MateriaisCampo[[#This Row],[UNIT VENDA]]*MateriaisCampo[[#This Row],[QUANTIDADE]]</f>
        <v>625.47334897995358</v>
      </c>
      <c r="AJ137" s="453">
        <f>IFERROR(MateriaisCampo[[#This Row],[VENDA]]*(RESUMO!$F$55/RESUMO!$F$45),0)</f>
        <v>794.25187172057599</v>
      </c>
      <c r="AK137" s="453">
        <f>IFERROR(MateriaisCampo[[#This Row],[VENDA]]*(RESUMO!$F$58/RESUMO!$F$45),0)</f>
        <v>794.25187172057599</v>
      </c>
      <c r="AL137" s="454">
        <f>IF(MateriaisCampo[[#This Row],[FATURAMENTO]]="NORMAL",MateriaisCampo[[#This Row],[VENDA]],0)</f>
        <v>625.47334897995358</v>
      </c>
    </row>
    <row r="138" spans="1:38" x14ac:dyDescent="0.25">
      <c r="A138" s="113" t="s">
        <v>652</v>
      </c>
      <c r="B138" s="113" t="s">
        <v>652</v>
      </c>
      <c r="C138" s="113" t="s">
        <v>708</v>
      </c>
      <c r="D138" s="113" t="s">
        <v>689</v>
      </c>
      <c r="E138" s="434" t="s">
        <v>655</v>
      </c>
      <c r="F138" s="434">
        <f t="shared" si="2"/>
        <v>0</v>
      </c>
      <c r="G138" s="113"/>
      <c r="H138" s="435" t="s">
        <v>603</v>
      </c>
      <c r="I138" s="436">
        <v>8</v>
      </c>
      <c r="J138" s="437">
        <f>J136</f>
        <v>115.32119999999999</v>
      </c>
      <c r="K138" s="438">
        <v>0.18</v>
      </c>
      <c r="L138" s="438"/>
      <c r="M138" s="458"/>
      <c r="N138" s="445">
        <f>MateriaisCampo[[#This Row],[UNIT S/IPI S/DESC]]-MateriaisCampo[[#This Row],[UNIT S/IPI S/DESC]]*MateriaisCampo[[#This Row],[% DESC]]</f>
        <v>115.32119999999999</v>
      </c>
      <c r="O138" s="441" t="s">
        <v>295</v>
      </c>
      <c r="P138" s="442" t="s">
        <v>155</v>
      </c>
      <c r="Q138" s="438">
        <v>1.6500000000000001E-2</v>
      </c>
      <c r="R138" s="438">
        <v>7.5999999999999998E-2</v>
      </c>
      <c r="S138" s="443">
        <f>MateriaisCampo[[#This Row],[UNIT S/ IP + DIF ICMS]]*MateriaisCampo[[#This Row],[QUANTIDADE]]</f>
        <v>922.56959999999992</v>
      </c>
      <c r="T138" s="444">
        <f>MateriaisCampo[[#This Row],[TOTAL S/ IPI]]+(MateriaisCampo[[#This Row],[TOTAL S/ IPI]]*MateriaisCampo[[#This Row],[IPI %]])</f>
        <v>922.56959999999992</v>
      </c>
      <c r="U138" s="445">
        <f>IF(AND(MateriaisCampo[[#This Row],[ICMS %]]&lt;&gt;18%,MateriaisCampo[[#This Row],[ORIGEM]]&lt;&gt;"SÃO PAULO"),((18%-MateriaisCampo[[#This Row],[ICMS %]])*MateriaisCampo[[#This Row],[UNIT S/ IPI C/DESC]]),0)</f>
        <v>0</v>
      </c>
      <c r="V138" s="437">
        <f>MateriaisCampo[[#This Row],[UNIT S/ IPI C/DESC]]*MateriaisCampo[[#This Row],[ICMS %]]</f>
        <v>20.757815999999998</v>
      </c>
      <c r="W138" s="437">
        <f>MateriaisCampo[[#This Row],[ICMS $]]*MateriaisCampo[[#This Row],[QUANTIDADE]]</f>
        <v>166.06252799999999</v>
      </c>
      <c r="X138" s="446">
        <f>MateriaisCampo[[#This Row],[UNIT S/ IPI C/DESC]]+MateriaisCampo[[#This Row],[DIFERENCIAL ICMS]]</f>
        <v>115.32119999999999</v>
      </c>
      <c r="Y138" s="446">
        <f>(MateriaisCampo[[#This Row],[PIS]]*MateriaisCampo[[#This Row],[UNIT S/ IPI C/DESC]])/2</f>
        <v>0.95139989999999997</v>
      </c>
      <c r="Z138" s="446">
        <f>(MateriaisCampo[[#This Row],[COFINS]]*MateriaisCampo[[#This Row],[UNIT S/ IPI C/DESC]])/2</f>
        <v>4.3822055999999998</v>
      </c>
      <c r="AA138" s="445">
        <f>MateriaisCampo[[#This Row],[UNIT S/ IP + DIF ICMS]]+(MateriaisCampo[[#This Row],[UNIT S/ IP + DIF ICMS]]*MateriaisCampo[[#This Row],[IPI %]])</f>
        <v>115.32119999999999</v>
      </c>
      <c r="AB138" s="448">
        <f>_xlfn.XLOOKUP(MateriaisCampo[[#This Row],[FATURAMENTO]],BASE!$U$48:$U$50,BASE!$W$48:$W$50,0,0,1)</f>
        <v>0.79709863947533133</v>
      </c>
      <c r="AC138" s="510" t="str">
        <f>RESUMO!$E$56</f>
        <v>SIM</v>
      </c>
      <c r="AD138" s="449" t="str">
        <f>RESUMO!$E$57</f>
        <v>SIM</v>
      </c>
      <c r="AE13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89.229778499999981</v>
      </c>
      <c r="AF138" s="450">
        <f>MateriaisCampo[[#This Row],[UNIT CRED]]*MateriaisCampo[[#This Row],[QUANTIDADE]]</f>
        <v>713.83822799999984</v>
      </c>
      <c r="AG138" s="451">
        <f>MateriaisCampo[[#This Row],[TOT CRED]]</f>
        <v>713.83822799999984</v>
      </c>
      <c r="AH138" s="452">
        <f>IF(MateriaisCampo[[#This Row],[QUANTIDADE]]&lt;&gt;0,((MateriaisCampo[[#This Row],[TOT CUSTO]]/MateriaisCampo[[#This Row],[QUANTIDADE]])/MateriaisCampo[[#This Row],[MARK-UP]]),0)</f>
        <v>111.94320762952634</v>
      </c>
      <c r="AI138" s="453">
        <f>MateriaisCampo[[#This Row],[UNIT VENDA]]*MateriaisCampo[[#This Row],[QUANTIDADE]]</f>
        <v>895.54566103621073</v>
      </c>
      <c r="AJ138" s="453">
        <f>IFERROR(MateriaisCampo[[#This Row],[VENDA]]*(RESUMO!$F$55/RESUMO!$F$45),0)</f>
        <v>1137.2008394110612</v>
      </c>
      <c r="AK138" s="453">
        <f>IFERROR(MateriaisCampo[[#This Row],[VENDA]]*(RESUMO!$F$58/RESUMO!$F$45),0)</f>
        <v>1137.2008394110612</v>
      </c>
      <c r="AL138" s="454">
        <f>IF(MateriaisCampo[[#This Row],[FATURAMENTO]]="NORMAL",MateriaisCampo[[#This Row],[VENDA]],0)</f>
        <v>895.54566103621073</v>
      </c>
    </row>
    <row r="139" spans="1:38" x14ac:dyDescent="0.25">
      <c r="A139" s="113" t="s">
        <v>652</v>
      </c>
      <c r="B139" s="113" t="s">
        <v>652</v>
      </c>
      <c r="C139" s="113" t="s">
        <v>709</v>
      </c>
      <c r="D139" s="113" t="s">
        <v>689</v>
      </c>
      <c r="E139" s="434" t="s">
        <v>655</v>
      </c>
      <c r="F139" s="434">
        <f t="shared" si="2"/>
        <v>0</v>
      </c>
      <c r="G139" s="113"/>
      <c r="H139" s="435" t="s">
        <v>603</v>
      </c>
      <c r="I139" s="436">
        <f>I138</f>
        <v>8</v>
      </c>
      <c r="J139" s="437">
        <f>J137</f>
        <v>49.565200000000004</v>
      </c>
      <c r="K139" s="438">
        <v>0.18</v>
      </c>
      <c r="L139" s="438"/>
      <c r="M139" s="458"/>
      <c r="N139" s="445">
        <f>MateriaisCampo[[#This Row],[UNIT S/IPI S/DESC]]-MateriaisCampo[[#This Row],[UNIT S/IPI S/DESC]]*MateriaisCampo[[#This Row],[% DESC]]</f>
        <v>49.565200000000004</v>
      </c>
      <c r="O139" s="441" t="s">
        <v>295</v>
      </c>
      <c r="P139" s="442" t="s">
        <v>155</v>
      </c>
      <c r="Q139" s="438">
        <v>1.6500000000000001E-2</v>
      </c>
      <c r="R139" s="438">
        <v>7.5999999999999998E-2</v>
      </c>
      <c r="S139" s="443">
        <f>MateriaisCampo[[#This Row],[UNIT S/ IP + DIF ICMS]]*MateriaisCampo[[#This Row],[QUANTIDADE]]</f>
        <v>396.52160000000003</v>
      </c>
      <c r="T139" s="444">
        <f>MateriaisCampo[[#This Row],[TOTAL S/ IPI]]+(MateriaisCampo[[#This Row],[TOTAL S/ IPI]]*MateriaisCampo[[#This Row],[IPI %]])</f>
        <v>396.52160000000003</v>
      </c>
      <c r="U139" s="445">
        <f>IF(AND(MateriaisCampo[[#This Row],[ICMS %]]&lt;&gt;18%,MateriaisCampo[[#This Row],[ORIGEM]]&lt;&gt;"SÃO PAULO"),((18%-MateriaisCampo[[#This Row],[ICMS %]])*MateriaisCampo[[#This Row],[UNIT S/ IPI C/DESC]]),0)</f>
        <v>0</v>
      </c>
      <c r="V139" s="437">
        <f>MateriaisCampo[[#This Row],[UNIT S/ IPI C/DESC]]*MateriaisCampo[[#This Row],[ICMS %]]</f>
        <v>8.921736000000001</v>
      </c>
      <c r="W139" s="437">
        <f>MateriaisCampo[[#This Row],[ICMS $]]*MateriaisCampo[[#This Row],[QUANTIDADE]]</f>
        <v>71.373888000000008</v>
      </c>
      <c r="X139" s="446">
        <f>MateriaisCampo[[#This Row],[UNIT S/ IPI C/DESC]]+MateriaisCampo[[#This Row],[DIFERENCIAL ICMS]]</f>
        <v>49.565200000000004</v>
      </c>
      <c r="Y139" s="446">
        <f>(MateriaisCampo[[#This Row],[PIS]]*MateriaisCampo[[#This Row],[UNIT S/ IPI C/DESC]])/2</f>
        <v>0.40891290000000008</v>
      </c>
      <c r="Z139" s="446">
        <f>(MateriaisCampo[[#This Row],[COFINS]]*MateriaisCampo[[#This Row],[UNIT S/ IPI C/DESC]])/2</f>
        <v>1.8834776000000002</v>
      </c>
      <c r="AA139" s="445">
        <f>MateriaisCampo[[#This Row],[UNIT S/ IP + DIF ICMS]]+(MateriaisCampo[[#This Row],[UNIT S/ IP + DIF ICMS]]*MateriaisCampo[[#This Row],[IPI %]])</f>
        <v>49.565200000000004</v>
      </c>
      <c r="AB139" s="448">
        <f>_xlfn.XLOOKUP(MateriaisCampo[[#This Row],[FATURAMENTO]],BASE!$U$48:$U$50,BASE!$W$48:$W$50,0,0,1)</f>
        <v>0.79709863947533133</v>
      </c>
      <c r="AC139" s="510" t="str">
        <f>RESUMO!$E$56</f>
        <v>SIM</v>
      </c>
      <c r="AD139" s="449" t="str">
        <f>RESUMO!$E$57</f>
        <v>SIM</v>
      </c>
      <c r="AE13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38.351073500000005</v>
      </c>
      <c r="AF139" s="450">
        <f>MateriaisCampo[[#This Row],[UNIT CRED]]*MateriaisCampo[[#This Row],[QUANTIDADE]]</f>
        <v>306.80858800000004</v>
      </c>
      <c r="AG139" s="451">
        <f>MateriaisCampo[[#This Row],[TOT CRED]]</f>
        <v>306.80858800000004</v>
      </c>
      <c r="AH139" s="452">
        <f>IF(MateriaisCampo[[#This Row],[QUANTIDADE]]&lt;&gt;0,((MateriaisCampo[[#This Row],[TOT CUSTO]]/MateriaisCampo[[#This Row],[QUANTIDADE]])/MateriaisCampo[[#This Row],[MARK-UP]]),0)</f>
        <v>48.113334536919503</v>
      </c>
      <c r="AI139" s="453">
        <f>MateriaisCampo[[#This Row],[UNIT VENDA]]*MateriaisCampo[[#This Row],[QUANTIDADE]]</f>
        <v>384.90667629535602</v>
      </c>
      <c r="AJ139" s="453">
        <f>IFERROR(MateriaisCampo[[#This Row],[VENDA]]*(RESUMO!$F$55/RESUMO!$F$45),0)</f>
        <v>488.77038259727743</v>
      </c>
      <c r="AK139" s="453">
        <f>IFERROR(MateriaisCampo[[#This Row],[VENDA]]*(RESUMO!$F$58/RESUMO!$F$45),0)</f>
        <v>488.77038259727743</v>
      </c>
      <c r="AL139" s="454">
        <f>IF(MateriaisCampo[[#This Row],[FATURAMENTO]]="NORMAL",MateriaisCampo[[#This Row],[VENDA]],0)</f>
        <v>384.90667629535602</v>
      </c>
    </row>
    <row r="140" spans="1:38" x14ac:dyDescent="0.25">
      <c r="A140" s="113" t="s">
        <v>652</v>
      </c>
      <c r="B140" s="113" t="s">
        <v>652</v>
      </c>
      <c r="C140" s="113" t="s">
        <v>710</v>
      </c>
      <c r="D140" s="113" t="s">
        <v>689</v>
      </c>
      <c r="E140" s="434" t="s">
        <v>655</v>
      </c>
      <c r="F140" s="434">
        <f t="shared" si="2"/>
        <v>0</v>
      </c>
      <c r="G140" s="113"/>
      <c r="H140" s="435" t="s">
        <v>603</v>
      </c>
      <c r="I140" s="436">
        <v>12</v>
      </c>
      <c r="J140" s="437">
        <f>J138</f>
        <v>115.32119999999999</v>
      </c>
      <c r="K140" s="438">
        <v>0.18</v>
      </c>
      <c r="L140" s="438"/>
      <c r="M140" s="458"/>
      <c r="N140" s="445">
        <f>MateriaisCampo[[#This Row],[UNIT S/IPI S/DESC]]-MateriaisCampo[[#This Row],[UNIT S/IPI S/DESC]]*MateriaisCampo[[#This Row],[% DESC]]</f>
        <v>115.32119999999999</v>
      </c>
      <c r="O140" s="441" t="s">
        <v>295</v>
      </c>
      <c r="P140" s="442" t="s">
        <v>155</v>
      </c>
      <c r="Q140" s="438">
        <v>1.6500000000000001E-2</v>
      </c>
      <c r="R140" s="438">
        <v>7.5999999999999998E-2</v>
      </c>
      <c r="S140" s="443">
        <f>MateriaisCampo[[#This Row],[UNIT S/ IP + DIF ICMS]]*MateriaisCampo[[#This Row],[QUANTIDADE]]</f>
        <v>1383.8543999999999</v>
      </c>
      <c r="T140" s="444">
        <f>MateriaisCampo[[#This Row],[TOTAL S/ IPI]]+(MateriaisCampo[[#This Row],[TOTAL S/ IPI]]*MateriaisCampo[[#This Row],[IPI %]])</f>
        <v>1383.8543999999999</v>
      </c>
      <c r="U140" s="445">
        <f>IF(AND(MateriaisCampo[[#This Row],[ICMS %]]&lt;&gt;18%,MateriaisCampo[[#This Row],[ORIGEM]]&lt;&gt;"SÃO PAULO"),((18%-MateriaisCampo[[#This Row],[ICMS %]])*MateriaisCampo[[#This Row],[UNIT S/ IPI C/DESC]]),0)</f>
        <v>0</v>
      </c>
      <c r="V140" s="437">
        <f>MateriaisCampo[[#This Row],[UNIT S/ IPI C/DESC]]*MateriaisCampo[[#This Row],[ICMS %]]</f>
        <v>20.757815999999998</v>
      </c>
      <c r="W140" s="437">
        <f>MateriaisCampo[[#This Row],[ICMS $]]*MateriaisCampo[[#This Row],[QUANTIDADE]]</f>
        <v>249.09379199999998</v>
      </c>
      <c r="X140" s="446">
        <f>MateriaisCampo[[#This Row],[UNIT S/ IPI C/DESC]]+MateriaisCampo[[#This Row],[DIFERENCIAL ICMS]]</f>
        <v>115.32119999999999</v>
      </c>
      <c r="Y140" s="446">
        <f>(MateriaisCampo[[#This Row],[PIS]]*MateriaisCampo[[#This Row],[UNIT S/ IPI C/DESC]])/2</f>
        <v>0.95139989999999997</v>
      </c>
      <c r="Z140" s="446">
        <f>(MateriaisCampo[[#This Row],[COFINS]]*MateriaisCampo[[#This Row],[UNIT S/ IPI C/DESC]])/2</f>
        <v>4.3822055999999998</v>
      </c>
      <c r="AA140" s="445">
        <f>MateriaisCampo[[#This Row],[UNIT S/ IP + DIF ICMS]]+(MateriaisCampo[[#This Row],[UNIT S/ IP + DIF ICMS]]*MateriaisCampo[[#This Row],[IPI %]])</f>
        <v>115.32119999999999</v>
      </c>
      <c r="AB140" s="448">
        <f>_xlfn.XLOOKUP(MateriaisCampo[[#This Row],[FATURAMENTO]],BASE!$U$48:$U$50,BASE!$W$48:$W$50,0,0,1)</f>
        <v>0.79709863947533133</v>
      </c>
      <c r="AC140" s="510" t="str">
        <f>RESUMO!$E$56</f>
        <v>SIM</v>
      </c>
      <c r="AD140" s="449" t="str">
        <f>RESUMO!$E$57</f>
        <v>SIM</v>
      </c>
      <c r="AE14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89.229778499999981</v>
      </c>
      <c r="AF140" s="450">
        <f>MateriaisCampo[[#This Row],[UNIT CRED]]*MateriaisCampo[[#This Row],[QUANTIDADE]]</f>
        <v>1070.7573419999999</v>
      </c>
      <c r="AG140" s="451">
        <f>MateriaisCampo[[#This Row],[TOT CRED]]</f>
        <v>1070.7573419999999</v>
      </c>
      <c r="AH140" s="452">
        <f>IF(MateriaisCampo[[#This Row],[QUANTIDADE]]&lt;&gt;0,((MateriaisCampo[[#This Row],[TOT CUSTO]]/MateriaisCampo[[#This Row],[QUANTIDADE]])/MateriaisCampo[[#This Row],[MARK-UP]]),0)</f>
        <v>111.94320762952637</v>
      </c>
      <c r="AI140" s="453">
        <f>MateriaisCampo[[#This Row],[UNIT VENDA]]*MateriaisCampo[[#This Row],[QUANTIDADE]]</f>
        <v>1343.3184915543166</v>
      </c>
      <c r="AJ140" s="453">
        <f>IFERROR(MateriaisCampo[[#This Row],[VENDA]]*(RESUMO!$F$55/RESUMO!$F$45),0)</f>
        <v>1705.8012591165923</v>
      </c>
      <c r="AK140" s="453">
        <f>IFERROR(MateriaisCampo[[#This Row],[VENDA]]*(RESUMO!$F$58/RESUMO!$F$45),0)</f>
        <v>1705.8012591165923</v>
      </c>
      <c r="AL140" s="454">
        <f>IF(MateriaisCampo[[#This Row],[FATURAMENTO]]="NORMAL",MateriaisCampo[[#This Row],[VENDA]],0)</f>
        <v>1343.3184915543166</v>
      </c>
    </row>
    <row r="141" spans="1:38" x14ac:dyDescent="0.25">
      <c r="A141" s="113" t="s">
        <v>652</v>
      </c>
      <c r="B141" s="113" t="s">
        <v>652</v>
      </c>
      <c r="C141" s="113" t="s">
        <v>711</v>
      </c>
      <c r="D141" s="113" t="s">
        <v>689</v>
      </c>
      <c r="E141" s="434" t="s">
        <v>655</v>
      </c>
      <c r="F141" s="434">
        <f t="shared" si="2"/>
        <v>0</v>
      </c>
      <c r="G141" s="113"/>
      <c r="H141" s="435" t="s">
        <v>603</v>
      </c>
      <c r="I141" s="436">
        <f>I140</f>
        <v>12</v>
      </c>
      <c r="J141" s="437">
        <f>J139</f>
        <v>49.565200000000004</v>
      </c>
      <c r="K141" s="438">
        <v>0.18</v>
      </c>
      <c r="L141" s="438"/>
      <c r="M141" s="458"/>
      <c r="N141" s="445">
        <f>MateriaisCampo[[#This Row],[UNIT S/IPI S/DESC]]-MateriaisCampo[[#This Row],[UNIT S/IPI S/DESC]]*MateriaisCampo[[#This Row],[% DESC]]</f>
        <v>49.565200000000004</v>
      </c>
      <c r="O141" s="441" t="s">
        <v>295</v>
      </c>
      <c r="P141" s="442" t="s">
        <v>155</v>
      </c>
      <c r="Q141" s="438">
        <v>1.6500000000000001E-2</v>
      </c>
      <c r="R141" s="438">
        <v>7.5999999999999998E-2</v>
      </c>
      <c r="S141" s="443">
        <f>MateriaisCampo[[#This Row],[UNIT S/ IP + DIF ICMS]]*MateriaisCampo[[#This Row],[QUANTIDADE]]</f>
        <v>594.78240000000005</v>
      </c>
      <c r="T141" s="444">
        <f>MateriaisCampo[[#This Row],[TOTAL S/ IPI]]+(MateriaisCampo[[#This Row],[TOTAL S/ IPI]]*MateriaisCampo[[#This Row],[IPI %]])</f>
        <v>594.78240000000005</v>
      </c>
      <c r="U141" s="445">
        <f>IF(AND(MateriaisCampo[[#This Row],[ICMS %]]&lt;&gt;18%,MateriaisCampo[[#This Row],[ORIGEM]]&lt;&gt;"SÃO PAULO"),((18%-MateriaisCampo[[#This Row],[ICMS %]])*MateriaisCampo[[#This Row],[UNIT S/ IPI C/DESC]]),0)</f>
        <v>0</v>
      </c>
      <c r="V141" s="437">
        <f>MateriaisCampo[[#This Row],[UNIT S/ IPI C/DESC]]*MateriaisCampo[[#This Row],[ICMS %]]</f>
        <v>8.921736000000001</v>
      </c>
      <c r="W141" s="437">
        <f>MateriaisCampo[[#This Row],[ICMS $]]*MateriaisCampo[[#This Row],[QUANTIDADE]]</f>
        <v>107.060832</v>
      </c>
      <c r="X141" s="446">
        <f>MateriaisCampo[[#This Row],[UNIT S/ IPI C/DESC]]+MateriaisCampo[[#This Row],[DIFERENCIAL ICMS]]</f>
        <v>49.565200000000004</v>
      </c>
      <c r="Y141" s="446">
        <f>(MateriaisCampo[[#This Row],[PIS]]*MateriaisCampo[[#This Row],[UNIT S/ IPI C/DESC]])/2</f>
        <v>0.40891290000000008</v>
      </c>
      <c r="Z141" s="446">
        <f>(MateriaisCampo[[#This Row],[COFINS]]*MateriaisCampo[[#This Row],[UNIT S/ IPI C/DESC]])/2</f>
        <v>1.8834776000000002</v>
      </c>
      <c r="AA141" s="445">
        <f>MateriaisCampo[[#This Row],[UNIT S/ IP + DIF ICMS]]+(MateriaisCampo[[#This Row],[UNIT S/ IP + DIF ICMS]]*MateriaisCampo[[#This Row],[IPI %]])</f>
        <v>49.565200000000004</v>
      </c>
      <c r="AB141" s="448">
        <f>_xlfn.XLOOKUP(MateriaisCampo[[#This Row],[FATURAMENTO]],BASE!$U$48:$U$50,BASE!$W$48:$W$50,0,0,1)</f>
        <v>0.79709863947533133</v>
      </c>
      <c r="AC141" s="510" t="str">
        <f>RESUMO!$E$56</f>
        <v>SIM</v>
      </c>
      <c r="AD141" s="449" t="str">
        <f>RESUMO!$E$57</f>
        <v>SIM</v>
      </c>
      <c r="AE14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38.351073500000005</v>
      </c>
      <c r="AF141" s="450">
        <f>MateriaisCampo[[#This Row],[UNIT CRED]]*MateriaisCampo[[#This Row],[QUANTIDADE]]</f>
        <v>460.21288200000004</v>
      </c>
      <c r="AG141" s="451">
        <f>MateriaisCampo[[#This Row],[TOT CRED]]</f>
        <v>460.21288200000004</v>
      </c>
      <c r="AH141" s="452">
        <f>IF(MateriaisCampo[[#This Row],[QUANTIDADE]]&lt;&gt;0,((MateriaisCampo[[#This Row],[TOT CUSTO]]/MateriaisCampo[[#This Row],[QUANTIDADE]])/MateriaisCampo[[#This Row],[MARK-UP]]),0)</f>
        <v>48.113334536919503</v>
      </c>
      <c r="AI141" s="453">
        <f>MateriaisCampo[[#This Row],[UNIT VENDA]]*MateriaisCampo[[#This Row],[QUANTIDADE]]</f>
        <v>577.36001444303406</v>
      </c>
      <c r="AJ141" s="453">
        <f>IFERROR(MateriaisCampo[[#This Row],[VENDA]]*(RESUMO!$F$55/RESUMO!$F$45),0)</f>
        <v>733.15557389591618</v>
      </c>
      <c r="AK141" s="453">
        <f>IFERROR(MateriaisCampo[[#This Row],[VENDA]]*(RESUMO!$F$58/RESUMO!$F$45),0)</f>
        <v>733.15557389591618</v>
      </c>
      <c r="AL141" s="454">
        <f>IF(MateriaisCampo[[#This Row],[FATURAMENTO]]="NORMAL",MateriaisCampo[[#This Row],[VENDA]],0)</f>
        <v>577.36001444303406</v>
      </c>
    </row>
    <row r="142" spans="1:38" x14ac:dyDescent="0.25">
      <c r="A142" s="113" t="s">
        <v>652</v>
      </c>
      <c r="B142" s="113" t="s">
        <v>652</v>
      </c>
      <c r="C142" s="113" t="s">
        <v>712</v>
      </c>
      <c r="D142" s="113" t="s">
        <v>689</v>
      </c>
      <c r="E142" s="434" t="s">
        <v>655</v>
      </c>
      <c r="F142" s="434">
        <f t="shared" si="2"/>
        <v>0</v>
      </c>
      <c r="G142" s="113"/>
      <c r="H142" s="435" t="s">
        <v>603</v>
      </c>
      <c r="I142" s="436">
        <v>8</v>
      </c>
      <c r="J142" s="437">
        <f>J124*0.85</f>
        <v>153.78200000000001</v>
      </c>
      <c r="K142" s="438">
        <v>0.18</v>
      </c>
      <c r="L142" s="438"/>
      <c r="M142" s="458"/>
      <c r="N142" s="445">
        <f>MateriaisCampo[[#This Row],[UNIT S/IPI S/DESC]]-MateriaisCampo[[#This Row],[UNIT S/IPI S/DESC]]*MateriaisCampo[[#This Row],[% DESC]]</f>
        <v>153.78200000000001</v>
      </c>
      <c r="O142" s="441" t="s">
        <v>295</v>
      </c>
      <c r="P142" s="442" t="s">
        <v>155</v>
      </c>
      <c r="Q142" s="438">
        <v>1.6500000000000001E-2</v>
      </c>
      <c r="R142" s="438">
        <v>7.5999999999999998E-2</v>
      </c>
      <c r="S142" s="443">
        <f>MateriaisCampo[[#This Row],[UNIT S/ IP + DIF ICMS]]*MateriaisCampo[[#This Row],[QUANTIDADE]]</f>
        <v>1230.2560000000001</v>
      </c>
      <c r="T142" s="444">
        <f>MateriaisCampo[[#This Row],[TOTAL S/ IPI]]+(MateriaisCampo[[#This Row],[TOTAL S/ IPI]]*MateriaisCampo[[#This Row],[IPI %]])</f>
        <v>1230.2560000000001</v>
      </c>
      <c r="U142" s="445">
        <f>IF(AND(MateriaisCampo[[#This Row],[ICMS %]]&lt;&gt;18%,MateriaisCampo[[#This Row],[ORIGEM]]&lt;&gt;"SÃO PAULO"),((18%-MateriaisCampo[[#This Row],[ICMS %]])*MateriaisCampo[[#This Row],[UNIT S/ IPI C/DESC]]),0)</f>
        <v>0</v>
      </c>
      <c r="V142" s="437">
        <f>MateriaisCampo[[#This Row],[UNIT S/ IPI C/DESC]]*MateriaisCampo[[#This Row],[ICMS %]]</f>
        <v>27.680759999999999</v>
      </c>
      <c r="W142" s="437">
        <f>MateriaisCampo[[#This Row],[ICMS $]]*MateriaisCampo[[#This Row],[QUANTIDADE]]</f>
        <v>221.44607999999999</v>
      </c>
      <c r="X142" s="446">
        <f>MateriaisCampo[[#This Row],[UNIT S/ IPI C/DESC]]+MateriaisCampo[[#This Row],[DIFERENCIAL ICMS]]</f>
        <v>153.78200000000001</v>
      </c>
      <c r="Y142" s="446">
        <f>(MateriaisCampo[[#This Row],[PIS]]*MateriaisCampo[[#This Row],[UNIT S/ IPI C/DESC]])/2</f>
        <v>1.2687015000000001</v>
      </c>
      <c r="Z142" s="446">
        <f>(MateriaisCampo[[#This Row],[COFINS]]*MateriaisCampo[[#This Row],[UNIT S/ IPI C/DESC]])/2</f>
        <v>5.8437160000000006</v>
      </c>
      <c r="AA142" s="445">
        <f>MateriaisCampo[[#This Row],[UNIT S/ IP + DIF ICMS]]+(MateriaisCampo[[#This Row],[UNIT S/ IP + DIF ICMS]]*MateriaisCampo[[#This Row],[IPI %]])</f>
        <v>153.78200000000001</v>
      </c>
      <c r="AB142" s="448">
        <f>_xlfn.XLOOKUP(MateriaisCampo[[#This Row],[FATURAMENTO]],BASE!$U$48:$U$50,BASE!$W$48:$W$50,0,0,1)</f>
        <v>0.79709863947533133</v>
      </c>
      <c r="AC142" s="510" t="str">
        <f>RESUMO!$E$56</f>
        <v>SIM</v>
      </c>
      <c r="AD142" s="449" t="str">
        <f>RESUMO!$E$57</f>
        <v>SIM</v>
      </c>
      <c r="AE14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118.98882250000001</v>
      </c>
      <c r="AF142" s="450">
        <f>MateriaisCampo[[#This Row],[UNIT CRED]]*MateriaisCampo[[#This Row],[QUANTIDADE]]</f>
        <v>951.9105800000001</v>
      </c>
      <c r="AG142" s="451">
        <f>MateriaisCampo[[#This Row],[TOT CRED]]</f>
        <v>951.9105800000001</v>
      </c>
      <c r="AH142" s="452">
        <f>IF(MateriaisCampo[[#This Row],[QUANTIDADE]]&lt;&gt;0,((MateriaisCampo[[#This Row],[TOT CUSTO]]/MateriaisCampo[[#This Row],[QUANTIDADE]])/MateriaisCampo[[#This Row],[MARK-UP]]),0)</f>
        <v>149.27741261523315</v>
      </c>
      <c r="AI142" s="453">
        <f>MateriaisCampo[[#This Row],[UNIT VENDA]]*MateriaisCampo[[#This Row],[QUANTIDADE]]</f>
        <v>1194.2193009218652</v>
      </c>
      <c r="AJ142" s="453">
        <f>IFERROR(MateriaisCampo[[#This Row],[VENDA]]*(RESUMO!$F$55/RESUMO!$F$45),0)</f>
        <v>1516.4689535515747</v>
      </c>
      <c r="AK142" s="453">
        <f>IFERROR(MateriaisCampo[[#This Row],[VENDA]]*(RESUMO!$F$58/RESUMO!$F$45),0)</f>
        <v>1516.4689535515747</v>
      </c>
      <c r="AL142" s="454">
        <f>IF(MateriaisCampo[[#This Row],[FATURAMENTO]]="NORMAL",MateriaisCampo[[#This Row],[VENDA]],0)</f>
        <v>1194.2193009218652</v>
      </c>
    </row>
    <row r="143" spans="1:38" x14ac:dyDescent="0.25">
      <c r="A143" s="113" t="s">
        <v>652</v>
      </c>
      <c r="B143" s="113" t="s">
        <v>652</v>
      </c>
      <c r="C143" s="113" t="s">
        <v>713</v>
      </c>
      <c r="D143" s="113" t="s">
        <v>689</v>
      </c>
      <c r="E143" s="434" t="s">
        <v>655</v>
      </c>
      <c r="F143" s="434">
        <f t="shared" si="2"/>
        <v>0</v>
      </c>
      <c r="G143" s="113"/>
      <c r="H143" s="435" t="s">
        <v>603</v>
      </c>
      <c r="I143" s="436">
        <f>I142</f>
        <v>8</v>
      </c>
      <c r="J143" s="437">
        <f>J125*0.85</f>
        <v>88.025999999999996</v>
      </c>
      <c r="K143" s="438">
        <v>0.18</v>
      </c>
      <c r="L143" s="438"/>
      <c r="M143" s="458"/>
      <c r="N143" s="445">
        <f>MateriaisCampo[[#This Row],[UNIT S/IPI S/DESC]]-MateriaisCampo[[#This Row],[UNIT S/IPI S/DESC]]*MateriaisCampo[[#This Row],[% DESC]]</f>
        <v>88.025999999999996</v>
      </c>
      <c r="O143" s="441" t="s">
        <v>295</v>
      </c>
      <c r="P143" s="442" t="s">
        <v>155</v>
      </c>
      <c r="Q143" s="438">
        <v>1.6500000000000001E-2</v>
      </c>
      <c r="R143" s="438">
        <v>7.5999999999999998E-2</v>
      </c>
      <c r="S143" s="443">
        <f>MateriaisCampo[[#This Row],[UNIT S/ IP + DIF ICMS]]*MateriaisCampo[[#This Row],[QUANTIDADE]]</f>
        <v>704.20799999999997</v>
      </c>
      <c r="T143" s="444">
        <f>MateriaisCampo[[#This Row],[TOTAL S/ IPI]]+(MateriaisCampo[[#This Row],[TOTAL S/ IPI]]*MateriaisCampo[[#This Row],[IPI %]])</f>
        <v>704.20799999999997</v>
      </c>
      <c r="U143" s="445">
        <f>IF(AND(MateriaisCampo[[#This Row],[ICMS %]]&lt;&gt;18%,MateriaisCampo[[#This Row],[ORIGEM]]&lt;&gt;"SÃO PAULO"),((18%-MateriaisCampo[[#This Row],[ICMS %]])*MateriaisCampo[[#This Row],[UNIT S/ IPI C/DESC]]),0)</f>
        <v>0</v>
      </c>
      <c r="V143" s="437">
        <f>MateriaisCampo[[#This Row],[UNIT S/ IPI C/DESC]]*MateriaisCampo[[#This Row],[ICMS %]]</f>
        <v>15.844679999999999</v>
      </c>
      <c r="W143" s="437">
        <f>MateriaisCampo[[#This Row],[ICMS $]]*MateriaisCampo[[#This Row],[QUANTIDADE]]</f>
        <v>126.75743999999999</v>
      </c>
      <c r="X143" s="446">
        <f>MateriaisCampo[[#This Row],[UNIT S/ IPI C/DESC]]+MateriaisCampo[[#This Row],[DIFERENCIAL ICMS]]</f>
        <v>88.025999999999996</v>
      </c>
      <c r="Y143" s="446">
        <f>(MateriaisCampo[[#This Row],[PIS]]*MateriaisCampo[[#This Row],[UNIT S/ IPI C/DESC]])/2</f>
        <v>0.72621449999999999</v>
      </c>
      <c r="Z143" s="446">
        <f>(MateriaisCampo[[#This Row],[COFINS]]*MateriaisCampo[[#This Row],[UNIT S/ IPI C/DESC]])/2</f>
        <v>3.3449879999999999</v>
      </c>
      <c r="AA143" s="445">
        <f>MateriaisCampo[[#This Row],[UNIT S/ IP + DIF ICMS]]+(MateriaisCampo[[#This Row],[UNIT S/ IP + DIF ICMS]]*MateriaisCampo[[#This Row],[IPI %]])</f>
        <v>88.025999999999996</v>
      </c>
      <c r="AB143" s="448">
        <f>_xlfn.XLOOKUP(MateriaisCampo[[#This Row],[FATURAMENTO]],BASE!$U$48:$U$50,BASE!$W$48:$W$50,0,0,1)</f>
        <v>0.79709863947533133</v>
      </c>
      <c r="AC143" s="510" t="str">
        <f>RESUMO!$E$56</f>
        <v>SIM</v>
      </c>
      <c r="AD143" s="449" t="str">
        <f>RESUMO!$E$57</f>
        <v>SIM</v>
      </c>
      <c r="AE14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68.110117500000001</v>
      </c>
      <c r="AF143" s="450">
        <f>MateriaisCampo[[#This Row],[UNIT CRED]]*MateriaisCampo[[#This Row],[QUANTIDADE]]</f>
        <v>544.88094000000001</v>
      </c>
      <c r="AG143" s="451">
        <f>MateriaisCampo[[#This Row],[TOT CRED]]</f>
        <v>544.88094000000001</v>
      </c>
      <c r="AH143" s="452">
        <f>IF(MateriaisCampo[[#This Row],[QUANTIDADE]]&lt;&gt;0,((MateriaisCampo[[#This Row],[TOT CUSTO]]/MateriaisCampo[[#This Row],[QUANTIDADE]])/MateriaisCampo[[#This Row],[MARK-UP]]),0)</f>
        <v>85.447539522626272</v>
      </c>
      <c r="AI143" s="453">
        <f>MateriaisCampo[[#This Row],[UNIT VENDA]]*MateriaisCampo[[#This Row],[QUANTIDADE]]</f>
        <v>683.58031618101018</v>
      </c>
      <c r="AJ143" s="453">
        <f>IFERROR(MateriaisCampo[[#This Row],[VENDA]]*(RESUMO!$F$55/RESUMO!$F$45),0)</f>
        <v>868.03849673779064</v>
      </c>
      <c r="AK143" s="453">
        <f>IFERROR(MateriaisCampo[[#This Row],[VENDA]]*(RESUMO!$F$58/RESUMO!$F$45),0)</f>
        <v>868.03849673779064</v>
      </c>
      <c r="AL143" s="454">
        <f>IF(MateriaisCampo[[#This Row],[FATURAMENTO]]="NORMAL",MateriaisCampo[[#This Row],[VENDA]],0)</f>
        <v>683.58031618101018</v>
      </c>
    </row>
    <row r="144" spans="1:38" x14ac:dyDescent="0.25">
      <c r="A144" s="113" t="s">
        <v>652</v>
      </c>
      <c r="B144" s="113" t="s">
        <v>652</v>
      </c>
      <c r="C144" s="113" t="s">
        <v>714</v>
      </c>
      <c r="D144" s="113" t="s">
        <v>689</v>
      </c>
      <c r="E144" s="434" t="s">
        <v>655</v>
      </c>
      <c r="F144" s="434">
        <f t="shared" si="2"/>
        <v>0</v>
      </c>
      <c r="G144" s="113"/>
      <c r="H144" s="435" t="s">
        <v>603</v>
      </c>
      <c r="I144" s="436">
        <v>2</v>
      </c>
      <c r="J144" s="437">
        <f>J142</f>
        <v>153.78200000000001</v>
      </c>
      <c r="K144" s="438">
        <v>0.18</v>
      </c>
      <c r="L144" s="438"/>
      <c r="M144" s="458"/>
      <c r="N144" s="445">
        <f>MateriaisCampo[[#This Row],[UNIT S/IPI S/DESC]]-MateriaisCampo[[#This Row],[UNIT S/IPI S/DESC]]*MateriaisCampo[[#This Row],[% DESC]]</f>
        <v>153.78200000000001</v>
      </c>
      <c r="O144" s="441" t="s">
        <v>295</v>
      </c>
      <c r="P144" s="442" t="s">
        <v>155</v>
      </c>
      <c r="Q144" s="438">
        <v>1.6500000000000001E-2</v>
      </c>
      <c r="R144" s="438">
        <v>7.5999999999999998E-2</v>
      </c>
      <c r="S144" s="443">
        <f>MateriaisCampo[[#This Row],[UNIT S/ IP + DIF ICMS]]*MateriaisCampo[[#This Row],[QUANTIDADE]]</f>
        <v>307.56400000000002</v>
      </c>
      <c r="T144" s="444">
        <f>MateriaisCampo[[#This Row],[TOTAL S/ IPI]]+(MateriaisCampo[[#This Row],[TOTAL S/ IPI]]*MateriaisCampo[[#This Row],[IPI %]])</f>
        <v>307.56400000000002</v>
      </c>
      <c r="U144" s="445">
        <f>IF(AND(MateriaisCampo[[#This Row],[ICMS %]]&lt;&gt;18%,MateriaisCampo[[#This Row],[ORIGEM]]&lt;&gt;"SÃO PAULO"),((18%-MateriaisCampo[[#This Row],[ICMS %]])*MateriaisCampo[[#This Row],[UNIT S/ IPI C/DESC]]),0)</f>
        <v>0</v>
      </c>
      <c r="V144" s="437">
        <f>MateriaisCampo[[#This Row],[UNIT S/ IPI C/DESC]]*MateriaisCampo[[#This Row],[ICMS %]]</f>
        <v>27.680759999999999</v>
      </c>
      <c r="W144" s="437">
        <f>MateriaisCampo[[#This Row],[ICMS $]]*MateriaisCampo[[#This Row],[QUANTIDADE]]</f>
        <v>55.361519999999999</v>
      </c>
      <c r="X144" s="446">
        <f>MateriaisCampo[[#This Row],[UNIT S/ IPI C/DESC]]+MateriaisCampo[[#This Row],[DIFERENCIAL ICMS]]</f>
        <v>153.78200000000001</v>
      </c>
      <c r="Y144" s="446">
        <f>(MateriaisCampo[[#This Row],[PIS]]*MateriaisCampo[[#This Row],[UNIT S/ IPI C/DESC]])/2</f>
        <v>1.2687015000000001</v>
      </c>
      <c r="Z144" s="446">
        <f>(MateriaisCampo[[#This Row],[COFINS]]*MateriaisCampo[[#This Row],[UNIT S/ IPI C/DESC]])/2</f>
        <v>5.8437160000000006</v>
      </c>
      <c r="AA144" s="445">
        <f>MateriaisCampo[[#This Row],[UNIT S/ IP + DIF ICMS]]+(MateriaisCampo[[#This Row],[UNIT S/ IP + DIF ICMS]]*MateriaisCampo[[#This Row],[IPI %]])</f>
        <v>153.78200000000001</v>
      </c>
      <c r="AB144" s="448">
        <f>_xlfn.XLOOKUP(MateriaisCampo[[#This Row],[FATURAMENTO]],BASE!$U$48:$U$50,BASE!$W$48:$W$50,0,0,1)</f>
        <v>0.79709863947533133</v>
      </c>
      <c r="AC144" s="510" t="str">
        <f>RESUMO!$E$56</f>
        <v>SIM</v>
      </c>
      <c r="AD144" s="449" t="str">
        <f>RESUMO!$E$57</f>
        <v>SIM</v>
      </c>
      <c r="AE14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118.98882250000001</v>
      </c>
      <c r="AF144" s="450">
        <f>MateriaisCampo[[#This Row],[UNIT CRED]]*MateriaisCampo[[#This Row],[QUANTIDADE]]</f>
        <v>237.97764500000002</v>
      </c>
      <c r="AG144" s="451">
        <f>MateriaisCampo[[#This Row],[TOT CRED]]</f>
        <v>237.97764500000002</v>
      </c>
      <c r="AH144" s="452">
        <f>IF(MateriaisCampo[[#This Row],[QUANTIDADE]]&lt;&gt;0,((MateriaisCampo[[#This Row],[TOT CUSTO]]/MateriaisCampo[[#This Row],[QUANTIDADE]])/MateriaisCampo[[#This Row],[MARK-UP]]),0)</f>
        <v>149.27741261523315</v>
      </c>
      <c r="AI144" s="453">
        <f>MateriaisCampo[[#This Row],[UNIT VENDA]]*MateriaisCampo[[#This Row],[QUANTIDADE]]</f>
        <v>298.55482523046629</v>
      </c>
      <c r="AJ144" s="453">
        <f>IFERROR(MateriaisCampo[[#This Row],[VENDA]]*(RESUMO!$F$55/RESUMO!$F$45),0)</f>
        <v>379.11723838789368</v>
      </c>
      <c r="AK144" s="453">
        <f>IFERROR(MateriaisCampo[[#This Row],[VENDA]]*(RESUMO!$F$58/RESUMO!$F$45),0)</f>
        <v>379.11723838789368</v>
      </c>
      <c r="AL144" s="454">
        <f>IF(MateriaisCampo[[#This Row],[FATURAMENTO]]="NORMAL",MateriaisCampo[[#This Row],[VENDA]],0)</f>
        <v>298.55482523046629</v>
      </c>
    </row>
    <row r="145" spans="1:38" x14ac:dyDescent="0.25">
      <c r="A145" s="113" t="s">
        <v>652</v>
      </c>
      <c r="B145" s="113" t="s">
        <v>652</v>
      </c>
      <c r="C145" s="113" t="s">
        <v>715</v>
      </c>
      <c r="D145" s="113" t="s">
        <v>689</v>
      </c>
      <c r="E145" s="434" t="s">
        <v>655</v>
      </c>
      <c r="F145" s="434">
        <f t="shared" si="2"/>
        <v>0</v>
      </c>
      <c r="G145" s="113"/>
      <c r="H145" s="435" t="s">
        <v>603</v>
      </c>
      <c r="I145" s="436">
        <f>I144</f>
        <v>2</v>
      </c>
      <c r="J145" s="437">
        <f>J143</f>
        <v>88.025999999999996</v>
      </c>
      <c r="K145" s="438">
        <v>0.18</v>
      </c>
      <c r="L145" s="438"/>
      <c r="M145" s="458"/>
      <c r="N145" s="445">
        <f>MateriaisCampo[[#This Row],[UNIT S/IPI S/DESC]]-MateriaisCampo[[#This Row],[UNIT S/IPI S/DESC]]*MateriaisCampo[[#This Row],[% DESC]]</f>
        <v>88.025999999999996</v>
      </c>
      <c r="O145" s="441" t="s">
        <v>295</v>
      </c>
      <c r="P145" s="442" t="s">
        <v>155</v>
      </c>
      <c r="Q145" s="438">
        <v>1.6500000000000001E-2</v>
      </c>
      <c r="R145" s="438">
        <v>7.5999999999999998E-2</v>
      </c>
      <c r="S145" s="443">
        <f>MateriaisCampo[[#This Row],[UNIT S/ IP + DIF ICMS]]*MateriaisCampo[[#This Row],[QUANTIDADE]]</f>
        <v>176.05199999999999</v>
      </c>
      <c r="T145" s="444">
        <f>MateriaisCampo[[#This Row],[TOTAL S/ IPI]]+(MateriaisCampo[[#This Row],[TOTAL S/ IPI]]*MateriaisCampo[[#This Row],[IPI %]])</f>
        <v>176.05199999999999</v>
      </c>
      <c r="U145" s="445">
        <f>IF(AND(MateriaisCampo[[#This Row],[ICMS %]]&lt;&gt;18%,MateriaisCampo[[#This Row],[ORIGEM]]&lt;&gt;"SÃO PAULO"),((18%-MateriaisCampo[[#This Row],[ICMS %]])*MateriaisCampo[[#This Row],[UNIT S/ IPI C/DESC]]),0)</f>
        <v>0</v>
      </c>
      <c r="V145" s="437">
        <f>MateriaisCampo[[#This Row],[UNIT S/ IPI C/DESC]]*MateriaisCampo[[#This Row],[ICMS %]]</f>
        <v>15.844679999999999</v>
      </c>
      <c r="W145" s="437">
        <f>MateriaisCampo[[#This Row],[ICMS $]]*MateriaisCampo[[#This Row],[QUANTIDADE]]</f>
        <v>31.689359999999997</v>
      </c>
      <c r="X145" s="446">
        <f>MateriaisCampo[[#This Row],[UNIT S/ IPI C/DESC]]+MateriaisCampo[[#This Row],[DIFERENCIAL ICMS]]</f>
        <v>88.025999999999996</v>
      </c>
      <c r="Y145" s="446">
        <f>(MateriaisCampo[[#This Row],[PIS]]*MateriaisCampo[[#This Row],[UNIT S/ IPI C/DESC]])/2</f>
        <v>0.72621449999999999</v>
      </c>
      <c r="Z145" s="446">
        <f>(MateriaisCampo[[#This Row],[COFINS]]*MateriaisCampo[[#This Row],[UNIT S/ IPI C/DESC]])/2</f>
        <v>3.3449879999999999</v>
      </c>
      <c r="AA145" s="445">
        <f>MateriaisCampo[[#This Row],[UNIT S/ IP + DIF ICMS]]+(MateriaisCampo[[#This Row],[UNIT S/ IP + DIF ICMS]]*MateriaisCampo[[#This Row],[IPI %]])</f>
        <v>88.025999999999996</v>
      </c>
      <c r="AB145" s="448">
        <f>_xlfn.XLOOKUP(MateriaisCampo[[#This Row],[FATURAMENTO]],BASE!$U$48:$U$50,BASE!$W$48:$W$50,0,0,1)</f>
        <v>0.79709863947533133</v>
      </c>
      <c r="AC145" s="510" t="str">
        <f>RESUMO!$E$56</f>
        <v>SIM</v>
      </c>
      <c r="AD145" s="449" t="str">
        <f>RESUMO!$E$57</f>
        <v>SIM</v>
      </c>
      <c r="AE14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68.110117500000001</v>
      </c>
      <c r="AF145" s="450">
        <f>MateriaisCampo[[#This Row],[UNIT CRED]]*MateriaisCampo[[#This Row],[QUANTIDADE]]</f>
        <v>136.220235</v>
      </c>
      <c r="AG145" s="451">
        <f>MateriaisCampo[[#This Row],[TOT CRED]]</f>
        <v>136.220235</v>
      </c>
      <c r="AH145" s="452">
        <f>IF(MateriaisCampo[[#This Row],[QUANTIDADE]]&lt;&gt;0,((MateriaisCampo[[#This Row],[TOT CUSTO]]/MateriaisCampo[[#This Row],[QUANTIDADE]])/MateriaisCampo[[#This Row],[MARK-UP]]),0)</f>
        <v>85.447539522626272</v>
      </c>
      <c r="AI145" s="453">
        <f>MateriaisCampo[[#This Row],[UNIT VENDA]]*MateriaisCampo[[#This Row],[QUANTIDADE]]</f>
        <v>170.89507904525254</v>
      </c>
      <c r="AJ145" s="453">
        <f>IFERROR(MateriaisCampo[[#This Row],[VENDA]]*(RESUMO!$F$55/RESUMO!$F$45),0)</f>
        <v>217.00962418444766</v>
      </c>
      <c r="AK145" s="453">
        <f>IFERROR(MateriaisCampo[[#This Row],[VENDA]]*(RESUMO!$F$58/RESUMO!$F$45),0)</f>
        <v>217.00962418444766</v>
      </c>
      <c r="AL145" s="454">
        <f>IF(MateriaisCampo[[#This Row],[FATURAMENTO]]="NORMAL",MateriaisCampo[[#This Row],[VENDA]],0)</f>
        <v>170.89507904525254</v>
      </c>
    </row>
    <row r="146" spans="1:38" x14ac:dyDescent="0.25">
      <c r="A146" s="113" t="s">
        <v>652</v>
      </c>
      <c r="B146" s="113" t="s">
        <v>652</v>
      </c>
      <c r="C146" s="113" t="s">
        <v>716</v>
      </c>
      <c r="D146" s="113" t="s">
        <v>689</v>
      </c>
      <c r="E146" s="434" t="s">
        <v>655</v>
      </c>
      <c r="F146" s="434">
        <f t="shared" si="2"/>
        <v>0</v>
      </c>
      <c r="G146" s="113"/>
      <c r="H146" s="435" t="s">
        <v>603</v>
      </c>
      <c r="I146" s="436">
        <v>18</v>
      </c>
      <c r="J146" s="437">
        <f>J142</f>
        <v>153.78200000000001</v>
      </c>
      <c r="K146" s="438">
        <v>0.18</v>
      </c>
      <c r="L146" s="438"/>
      <c r="M146" s="458"/>
      <c r="N146" s="445">
        <f>MateriaisCampo[[#This Row],[UNIT S/IPI S/DESC]]-MateriaisCampo[[#This Row],[UNIT S/IPI S/DESC]]*MateriaisCampo[[#This Row],[% DESC]]</f>
        <v>153.78200000000001</v>
      </c>
      <c r="O146" s="441" t="s">
        <v>295</v>
      </c>
      <c r="P146" s="442" t="s">
        <v>155</v>
      </c>
      <c r="Q146" s="438">
        <v>1.6500000000000001E-2</v>
      </c>
      <c r="R146" s="438">
        <v>7.5999999999999998E-2</v>
      </c>
      <c r="S146" s="443">
        <f>MateriaisCampo[[#This Row],[UNIT S/ IP + DIF ICMS]]*MateriaisCampo[[#This Row],[QUANTIDADE]]</f>
        <v>2768.076</v>
      </c>
      <c r="T146" s="444">
        <f>MateriaisCampo[[#This Row],[TOTAL S/ IPI]]+(MateriaisCampo[[#This Row],[TOTAL S/ IPI]]*MateriaisCampo[[#This Row],[IPI %]])</f>
        <v>2768.076</v>
      </c>
      <c r="U146" s="445">
        <f>IF(AND(MateriaisCampo[[#This Row],[ICMS %]]&lt;&gt;18%,MateriaisCampo[[#This Row],[ORIGEM]]&lt;&gt;"SÃO PAULO"),((18%-MateriaisCampo[[#This Row],[ICMS %]])*MateriaisCampo[[#This Row],[UNIT S/ IPI C/DESC]]),0)</f>
        <v>0</v>
      </c>
      <c r="V146" s="437">
        <f>MateriaisCampo[[#This Row],[UNIT S/ IPI C/DESC]]*MateriaisCampo[[#This Row],[ICMS %]]</f>
        <v>27.680759999999999</v>
      </c>
      <c r="W146" s="437">
        <f>MateriaisCampo[[#This Row],[ICMS $]]*MateriaisCampo[[#This Row],[QUANTIDADE]]</f>
        <v>498.25367999999997</v>
      </c>
      <c r="X146" s="446">
        <f>MateriaisCampo[[#This Row],[UNIT S/ IPI C/DESC]]+MateriaisCampo[[#This Row],[DIFERENCIAL ICMS]]</f>
        <v>153.78200000000001</v>
      </c>
      <c r="Y146" s="446">
        <f>(MateriaisCampo[[#This Row],[PIS]]*MateriaisCampo[[#This Row],[UNIT S/ IPI C/DESC]])/2</f>
        <v>1.2687015000000001</v>
      </c>
      <c r="Z146" s="446">
        <f>(MateriaisCampo[[#This Row],[COFINS]]*MateriaisCampo[[#This Row],[UNIT S/ IPI C/DESC]])/2</f>
        <v>5.8437160000000006</v>
      </c>
      <c r="AA146" s="445">
        <f>MateriaisCampo[[#This Row],[UNIT S/ IP + DIF ICMS]]+(MateriaisCampo[[#This Row],[UNIT S/ IP + DIF ICMS]]*MateriaisCampo[[#This Row],[IPI %]])</f>
        <v>153.78200000000001</v>
      </c>
      <c r="AB146" s="448">
        <f>_xlfn.XLOOKUP(MateriaisCampo[[#This Row],[FATURAMENTO]],BASE!$U$48:$U$50,BASE!$W$48:$W$50,0,0,1)</f>
        <v>0.79709863947533133</v>
      </c>
      <c r="AC146" s="510" t="str">
        <f>RESUMO!$E$56</f>
        <v>SIM</v>
      </c>
      <c r="AD146" s="449" t="str">
        <f>RESUMO!$E$57</f>
        <v>SIM</v>
      </c>
      <c r="AE14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118.98882250000001</v>
      </c>
      <c r="AF146" s="450">
        <f>MateriaisCampo[[#This Row],[UNIT CRED]]*MateriaisCampo[[#This Row],[QUANTIDADE]]</f>
        <v>2141.7988050000004</v>
      </c>
      <c r="AG146" s="451">
        <f>MateriaisCampo[[#This Row],[TOT CRED]]</f>
        <v>2141.7988050000004</v>
      </c>
      <c r="AH146" s="452">
        <f>IF(MateriaisCampo[[#This Row],[QUANTIDADE]]&lt;&gt;0,((MateriaisCampo[[#This Row],[TOT CUSTO]]/MateriaisCampo[[#This Row],[QUANTIDADE]])/MateriaisCampo[[#This Row],[MARK-UP]]),0)</f>
        <v>149.27741261523317</v>
      </c>
      <c r="AI146" s="453">
        <f>MateriaisCampo[[#This Row],[UNIT VENDA]]*MateriaisCampo[[#This Row],[QUANTIDADE]]</f>
        <v>2686.9934270741969</v>
      </c>
      <c r="AJ146" s="453">
        <f>IFERROR(MateriaisCampo[[#This Row],[VENDA]]*(RESUMO!$F$55/RESUMO!$F$45),0)</f>
        <v>3412.0551454910437</v>
      </c>
      <c r="AK146" s="453">
        <f>IFERROR(MateriaisCampo[[#This Row],[VENDA]]*(RESUMO!$F$58/RESUMO!$F$45),0)</f>
        <v>3412.0551454910437</v>
      </c>
      <c r="AL146" s="454">
        <f>IF(MateriaisCampo[[#This Row],[FATURAMENTO]]="NORMAL",MateriaisCampo[[#This Row],[VENDA]],0)</f>
        <v>2686.9934270741969</v>
      </c>
    </row>
    <row r="147" spans="1:38" x14ac:dyDescent="0.25">
      <c r="A147" s="113" t="s">
        <v>652</v>
      </c>
      <c r="B147" s="113" t="s">
        <v>652</v>
      </c>
      <c r="C147" s="113" t="s">
        <v>717</v>
      </c>
      <c r="D147" s="113" t="s">
        <v>689</v>
      </c>
      <c r="E147" s="434" t="s">
        <v>655</v>
      </c>
      <c r="F147" s="434">
        <f t="shared" si="2"/>
        <v>0</v>
      </c>
      <c r="G147" s="113"/>
      <c r="H147" s="435" t="s">
        <v>603</v>
      </c>
      <c r="I147" s="436">
        <f>I146</f>
        <v>18</v>
      </c>
      <c r="J147" s="437">
        <f>J143</f>
        <v>88.025999999999996</v>
      </c>
      <c r="K147" s="438">
        <v>0.18</v>
      </c>
      <c r="L147" s="438"/>
      <c r="M147" s="458"/>
      <c r="N147" s="445">
        <f>MateriaisCampo[[#This Row],[UNIT S/IPI S/DESC]]-MateriaisCampo[[#This Row],[UNIT S/IPI S/DESC]]*MateriaisCampo[[#This Row],[% DESC]]</f>
        <v>88.025999999999996</v>
      </c>
      <c r="O147" s="441" t="s">
        <v>295</v>
      </c>
      <c r="P147" s="442" t="s">
        <v>155</v>
      </c>
      <c r="Q147" s="438">
        <v>1.6500000000000001E-2</v>
      </c>
      <c r="R147" s="438">
        <v>7.5999999999999998E-2</v>
      </c>
      <c r="S147" s="443">
        <f>MateriaisCampo[[#This Row],[UNIT S/ IP + DIF ICMS]]*MateriaisCampo[[#This Row],[QUANTIDADE]]</f>
        <v>1584.4679999999998</v>
      </c>
      <c r="T147" s="444">
        <f>MateriaisCampo[[#This Row],[TOTAL S/ IPI]]+(MateriaisCampo[[#This Row],[TOTAL S/ IPI]]*MateriaisCampo[[#This Row],[IPI %]])</f>
        <v>1584.4679999999998</v>
      </c>
      <c r="U147" s="445">
        <f>IF(AND(MateriaisCampo[[#This Row],[ICMS %]]&lt;&gt;18%,MateriaisCampo[[#This Row],[ORIGEM]]&lt;&gt;"SÃO PAULO"),((18%-MateriaisCampo[[#This Row],[ICMS %]])*MateriaisCampo[[#This Row],[UNIT S/ IPI C/DESC]]),0)</f>
        <v>0</v>
      </c>
      <c r="V147" s="437">
        <f>MateriaisCampo[[#This Row],[UNIT S/ IPI C/DESC]]*MateriaisCampo[[#This Row],[ICMS %]]</f>
        <v>15.844679999999999</v>
      </c>
      <c r="W147" s="437">
        <f>MateriaisCampo[[#This Row],[ICMS $]]*MateriaisCampo[[#This Row],[QUANTIDADE]]</f>
        <v>285.20423999999997</v>
      </c>
      <c r="X147" s="446">
        <f>MateriaisCampo[[#This Row],[UNIT S/ IPI C/DESC]]+MateriaisCampo[[#This Row],[DIFERENCIAL ICMS]]</f>
        <v>88.025999999999996</v>
      </c>
      <c r="Y147" s="446">
        <f>(MateriaisCampo[[#This Row],[PIS]]*MateriaisCampo[[#This Row],[UNIT S/ IPI C/DESC]])/2</f>
        <v>0.72621449999999999</v>
      </c>
      <c r="Z147" s="446">
        <f>(MateriaisCampo[[#This Row],[COFINS]]*MateriaisCampo[[#This Row],[UNIT S/ IPI C/DESC]])/2</f>
        <v>3.3449879999999999</v>
      </c>
      <c r="AA147" s="445">
        <f>MateriaisCampo[[#This Row],[UNIT S/ IP + DIF ICMS]]+(MateriaisCampo[[#This Row],[UNIT S/ IP + DIF ICMS]]*MateriaisCampo[[#This Row],[IPI %]])</f>
        <v>88.025999999999996</v>
      </c>
      <c r="AB147" s="448">
        <f>_xlfn.XLOOKUP(MateriaisCampo[[#This Row],[FATURAMENTO]],BASE!$U$48:$U$50,BASE!$W$48:$W$50,0,0,1)</f>
        <v>0.79709863947533133</v>
      </c>
      <c r="AC147" s="510" t="str">
        <f>RESUMO!$E$56</f>
        <v>SIM</v>
      </c>
      <c r="AD147" s="449" t="str">
        <f>RESUMO!$E$57</f>
        <v>SIM</v>
      </c>
      <c r="AE14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68.110117500000001</v>
      </c>
      <c r="AF147" s="450">
        <f>MateriaisCampo[[#This Row],[UNIT CRED]]*MateriaisCampo[[#This Row],[QUANTIDADE]]</f>
        <v>1225.982115</v>
      </c>
      <c r="AG147" s="451">
        <f>MateriaisCampo[[#This Row],[TOT CRED]]</f>
        <v>1225.982115</v>
      </c>
      <c r="AH147" s="452">
        <f>IF(MateriaisCampo[[#This Row],[QUANTIDADE]]&lt;&gt;0,((MateriaisCampo[[#This Row],[TOT CUSTO]]/MateriaisCampo[[#This Row],[QUANTIDADE]])/MateriaisCampo[[#This Row],[MARK-UP]]),0)</f>
        <v>85.447539522626272</v>
      </c>
      <c r="AI147" s="453">
        <f>MateriaisCampo[[#This Row],[UNIT VENDA]]*MateriaisCampo[[#This Row],[QUANTIDADE]]</f>
        <v>1538.0557114072728</v>
      </c>
      <c r="AJ147" s="453">
        <f>IFERROR(MateriaisCampo[[#This Row],[VENDA]]*(RESUMO!$F$55/RESUMO!$F$45),0)</f>
        <v>1953.0866176600289</v>
      </c>
      <c r="AK147" s="453">
        <f>IFERROR(MateriaisCampo[[#This Row],[VENDA]]*(RESUMO!$F$58/RESUMO!$F$45),0)</f>
        <v>1953.0866176600289</v>
      </c>
      <c r="AL147" s="454">
        <f>IF(MateriaisCampo[[#This Row],[FATURAMENTO]]="NORMAL",MateriaisCampo[[#This Row],[VENDA]],0)</f>
        <v>1538.0557114072728</v>
      </c>
    </row>
    <row r="148" spans="1:38" x14ac:dyDescent="0.25">
      <c r="A148" s="113" t="s">
        <v>652</v>
      </c>
      <c r="B148" s="113" t="s">
        <v>652</v>
      </c>
      <c r="C148" s="113" t="s">
        <v>718</v>
      </c>
      <c r="D148" s="113" t="s">
        <v>689</v>
      </c>
      <c r="E148" s="434" t="s">
        <v>655</v>
      </c>
      <c r="F148" s="434">
        <f t="shared" si="2"/>
        <v>0</v>
      </c>
      <c r="G148" s="113"/>
      <c r="H148" s="435" t="s">
        <v>603</v>
      </c>
      <c r="I148" s="436">
        <v>5</v>
      </c>
      <c r="J148" s="437">
        <f>J128*0.85</f>
        <v>205.06987027537005</v>
      </c>
      <c r="K148" s="438">
        <v>0.18</v>
      </c>
      <c r="L148" s="438"/>
      <c r="M148" s="458"/>
      <c r="N148" s="445">
        <f>MateriaisCampo[[#This Row],[UNIT S/IPI S/DESC]]-MateriaisCampo[[#This Row],[UNIT S/IPI S/DESC]]*MateriaisCampo[[#This Row],[% DESC]]</f>
        <v>205.06987027537005</v>
      </c>
      <c r="O148" s="441" t="s">
        <v>295</v>
      </c>
      <c r="P148" s="442" t="s">
        <v>155</v>
      </c>
      <c r="Q148" s="438">
        <v>1.6500000000000001E-2</v>
      </c>
      <c r="R148" s="438">
        <v>7.5999999999999998E-2</v>
      </c>
      <c r="S148" s="443">
        <f>MateriaisCampo[[#This Row],[UNIT S/ IP + DIF ICMS]]*MateriaisCampo[[#This Row],[QUANTIDADE]]</f>
        <v>1025.3493513768503</v>
      </c>
      <c r="T148" s="444">
        <f>MateriaisCampo[[#This Row],[TOTAL S/ IPI]]+(MateriaisCampo[[#This Row],[TOTAL S/ IPI]]*MateriaisCampo[[#This Row],[IPI %]])</f>
        <v>1025.3493513768503</v>
      </c>
      <c r="U148" s="445">
        <f>IF(AND(MateriaisCampo[[#This Row],[ICMS %]]&lt;&gt;18%,MateriaisCampo[[#This Row],[ORIGEM]]&lt;&gt;"SÃO PAULO"),((18%-MateriaisCampo[[#This Row],[ICMS %]])*MateriaisCampo[[#This Row],[UNIT S/ IPI C/DESC]]),0)</f>
        <v>0</v>
      </c>
      <c r="V148" s="437">
        <f>MateriaisCampo[[#This Row],[UNIT S/ IPI C/DESC]]*MateriaisCampo[[#This Row],[ICMS %]]</f>
        <v>36.91257664956661</v>
      </c>
      <c r="W148" s="437">
        <f>MateriaisCampo[[#This Row],[ICMS $]]*MateriaisCampo[[#This Row],[QUANTIDADE]]</f>
        <v>184.56288324783304</v>
      </c>
      <c r="X148" s="446">
        <f>MateriaisCampo[[#This Row],[UNIT S/ IPI C/DESC]]+MateriaisCampo[[#This Row],[DIFERENCIAL ICMS]]</f>
        <v>205.06987027537005</v>
      </c>
      <c r="Y148" s="446">
        <f>(MateriaisCampo[[#This Row],[PIS]]*MateriaisCampo[[#This Row],[UNIT S/ IPI C/DESC]])/2</f>
        <v>1.6918264297718031</v>
      </c>
      <c r="Z148" s="446">
        <f>(MateriaisCampo[[#This Row],[COFINS]]*MateriaisCampo[[#This Row],[UNIT S/ IPI C/DESC]])/2</f>
        <v>7.792655070464062</v>
      </c>
      <c r="AA148" s="445">
        <f>MateriaisCampo[[#This Row],[UNIT S/ IP + DIF ICMS]]+(MateriaisCampo[[#This Row],[UNIT S/ IP + DIF ICMS]]*MateriaisCampo[[#This Row],[IPI %]])</f>
        <v>205.06987027537005</v>
      </c>
      <c r="AB148" s="448">
        <f>_xlfn.XLOOKUP(MateriaisCampo[[#This Row],[FATURAMENTO]],BASE!$U$48:$U$50,BASE!$W$48:$W$50,0,0,1)</f>
        <v>0.79709863947533133</v>
      </c>
      <c r="AC148" s="510" t="str">
        <f>RESUMO!$E$56</f>
        <v>SIM</v>
      </c>
      <c r="AD148" s="449" t="str">
        <f>RESUMO!$E$57</f>
        <v>SIM</v>
      </c>
      <c r="AE14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158.67281212556759</v>
      </c>
      <c r="AF148" s="450">
        <f>MateriaisCampo[[#This Row],[UNIT CRED]]*MateriaisCampo[[#This Row],[QUANTIDADE]]</f>
        <v>793.36406062783794</v>
      </c>
      <c r="AG148" s="451">
        <f>MateriaisCampo[[#This Row],[TOT CRED]]</f>
        <v>793.36406062783794</v>
      </c>
      <c r="AH148" s="452">
        <f>IF(MateriaisCampo[[#This Row],[QUANTIDADE]]&lt;&gt;0,((MateriaisCampo[[#This Row],[TOT CUSTO]]/MateriaisCampo[[#This Row],[QUANTIDADE]])/MateriaisCampo[[#This Row],[MARK-UP]]),0)</f>
        <v>199.06295691334975</v>
      </c>
      <c r="AI148" s="453">
        <f>MateriaisCampo[[#This Row],[UNIT VENDA]]*MateriaisCampo[[#This Row],[QUANTIDADE]]</f>
        <v>995.31478456674881</v>
      </c>
      <c r="AJ148" s="453">
        <f>IFERROR(MateriaisCampo[[#This Row],[VENDA]]*(RESUMO!$F$55/RESUMO!$F$45),0)</f>
        <v>1263.8917899260302</v>
      </c>
      <c r="AK148" s="453">
        <f>IFERROR(MateriaisCampo[[#This Row],[VENDA]]*(RESUMO!$F$58/RESUMO!$F$45),0)</f>
        <v>1263.8917899260302</v>
      </c>
      <c r="AL148" s="454">
        <f>IF(MateriaisCampo[[#This Row],[FATURAMENTO]]="NORMAL",MateriaisCampo[[#This Row],[VENDA]],0)</f>
        <v>995.31478456674881</v>
      </c>
    </row>
    <row r="149" spans="1:38" x14ac:dyDescent="0.25">
      <c r="A149" s="113" t="s">
        <v>652</v>
      </c>
      <c r="B149" s="113" t="s">
        <v>652</v>
      </c>
      <c r="C149" s="113" t="s">
        <v>719</v>
      </c>
      <c r="D149" s="113" t="s">
        <v>689</v>
      </c>
      <c r="E149" s="434" t="s">
        <v>655</v>
      </c>
      <c r="F149" s="434">
        <f t="shared" si="2"/>
        <v>0</v>
      </c>
      <c r="G149" s="113"/>
      <c r="H149" s="435" t="s">
        <v>603</v>
      </c>
      <c r="I149" s="436">
        <f>I148</f>
        <v>5</v>
      </c>
      <c r="J149" s="437">
        <f>J129*0.85</f>
        <v>156.33098778982026</v>
      </c>
      <c r="K149" s="438">
        <v>0.18</v>
      </c>
      <c r="L149" s="438"/>
      <c r="M149" s="458"/>
      <c r="N149" s="445">
        <f>MateriaisCampo[[#This Row],[UNIT S/IPI S/DESC]]-MateriaisCampo[[#This Row],[UNIT S/IPI S/DESC]]*MateriaisCampo[[#This Row],[% DESC]]</f>
        <v>156.33098778982026</v>
      </c>
      <c r="O149" s="441" t="s">
        <v>295</v>
      </c>
      <c r="P149" s="442" t="s">
        <v>155</v>
      </c>
      <c r="Q149" s="438">
        <v>1.6500000000000001E-2</v>
      </c>
      <c r="R149" s="438">
        <v>7.5999999999999998E-2</v>
      </c>
      <c r="S149" s="443">
        <f>MateriaisCampo[[#This Row],[UNIT S/ IP + DIF ICMS]]*MateriaisCampo[[#This Row],[QUANTIDADE]]</f>
        <v>781.65493894910128</v>
      </c>
      <c r="T149" s="444">
        <f>MateriaisCampo[[#This Row],[TOTAL S/ IPI]]+(MateriaisCampo[[#This Row],[TOTAL S/ IPI]]*MateriaisCampo[[#This Row],[IPI %]])</f>
        <v>781.65493894910128</v>
      </c>
      <c r="U149" s="445">
        <f>IF(AND(MateriaisCampo[[#This Row],[ICMS %]]&lt;&gt;18%,MateriaisCampo[[#This Row],[ORIGEM]]&lt;&gt;"SÃO PAULO"),((18%-MateriaisCampo[[#This Row],[ICMS %]])*MateriaisCampo[[#This Row],[UNIT S/ IPI C/DESC]]),0)</f>
        <v>0</v>
      </c>
      <c r="V149" s="437">
        <f>MateriaisCampo[[#This Row],[UNIT S/ IPI C/DESC]]*MateriaisCampo[[#This Row],[ICMS %]]</f>
        <v>28.139577802167643</v>
      </c>
      <c r="W149" s="437">
        <f>MateriaisCampo[[#This Row],[ICMS $]]*MateriaisCampo[[#This Row],[QUANTIDADE]]</f>
        <v>140.69788901083822</v>
      </c>
      <c r="X149" s="446">
        <f>MateriaisCampo[[#This Row],[UNIT S/ IPI C/DESC]]+MateriaisCampo[[#This Row],[DIFERENCIAL ICMS]]</f>
        <v>156.33098778982026</v>
      </c>
      <c r="Y149" s="446">
        <f>(MateriaisCampo[[#This Row],[PIS]]*MateriaisCampo[[#This Row],[UNIT S/ IPI C/DESC]])/2</f>
        <v>1.2897306492660172</v>
      </c>
      <c r="Z149" s="446">
        <f>(MateriaisCampo[[#This Row],[COFINS]]*MateriaisCampo[[#This Row],[UNIT S/ IPI C/DESC]])/2</f>
        <v>5.9405775360131692</v>
      </c>
      <c r="AA149" s="445">
        <f>MateriaisCampo[[#This Row],[UNIT S/ IP + DIF ICMS]]+(MateriaisCampo[[#This Row],[UNIT S/ IP + DIF ICMS]]*MateriaisCampo[[#This Row],[IPI %]])</f>
        <v>156.33098778982026</v>
      </c>
      <c r="AB149" s="448">
        <f>_xlfn.XLOOKUP(MateriaisCampo[[#This Row],[FATURAMENTO]],BASE!$U$48:$U$50,BASE!$W$48:$W$50,0,0,1)</f>
        <v>0.79709863947533133</v>
      </c>
      <c r="AC149" s="510" t="str">
        <f>RESUMO!$E$56</f>
        <v>SIM</v>
      </c>
      <c r="AD149" s="449" t="str">
        <f>RESUMO!$E$57</f>
        <v>SIM</v>
      </c>
      <c r="AE14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120.96110180237342</v>
      </c>
      <c r="AF149" s="450">
        <f>MateriaisCampo[[#This Row],[UNIT CRED]]*MateriaisCampo[[#This Row],[QUANTIDADE]]</f>
        <v>604.80550901186712</v>
      </c>
      <c r="AG149" s="451">
        <f>MateriaisCampo[[#This Row],[TOT CRED]]</f>
        <v>604.80550901186712</v>
      </c>
      <c r="AH149" s="452">
        <f>IF(MateriaisCampo[[#This Row],[QUANTIDADE]]&lt;&gt;0,((MateriaisCampo[[#This Row],[TOT CUSTO]]/MateriaisCampo[[#This Row],[QUANTIDADE]])/MateriaisCampo[[#This Row],[MARK-UP]]),0)</f>
        <v>151.7517353711616</v>
      </c>
      <c r="AI149" s="453">
        <f>MateriaisCampo[[#This Row],[UNIT VENDA]]*MateriaisCampo[[#This Row],[QUANTIDADE]]</f>
        <v>758.75867685580806</v>
      </c>
      <c r="AJ149" s="453">
        <f>IFERROR(MateriaisCampo[[#This Row],[VENDA]]*(RESUMO!$F$55/RESUMO!$F$45),0)</f>
        <v>963.50308172166103</v>
      </c>
      <c r="AK149" s="453">
        <f>IFERROR(MateriaisCampo[[#This Row],[VENDA]]*(RESUMO!$F$58/RESUMO!$F$45),0)</f>
        <v>963.50308172166103</v>
      </c>
      <c r="AL149" s="454">
        <f>IF(MateriaisCampo[[#This Row],[FATURAMENTO]]="NORMAL",MateriaisCampo[[#This Row],[VENDA]],0)</f>
        <v>758.75867685580806</v>
      </c>
    </row>
    <row r="150" spans="1:38" x14ac:dyDescent="0.25">
      <c r="A150" s="113" t="s">
        <v>652</v>
      </c>
      <c r="B150" s="113" t="s">
        <v>652</v>
      </c>
      <c r="C150" s="113" t="s">
        <v>720</v>
      </c>
      <c r="D150" s="113" t="s">
        <v>689</v>
      </c>
      <c r="E150" s="434" t="s">
        <v>655</v>
      </c>
      <c r="F150" s="434">
        <f t="shared" si="2"/>
        <v>0</v>
      </c>
      <c r="G150" s="113"/>
      <c r="H150" s="435" t="s">
        <v>603</v>
      </c>
      <c r="I150" s="436">
        <v>1</v>
      </c>
      <c r="J150" s="437">
        <f>J148</f>
        <v>205.06987027537005</v>
      </c>
      <c r="K150" s="438">
        <v>0.18</v>
      </c>
      <c r="L150" s="438"/>
      <c r="M150" s="458"/>
      <c r="N150" s="445">
        <f>MateriaisCampo[[#This Row],[UNIT S/IPI S/DESC]]-MateriaisCampo[[#This Row],[UNIT S/IPI S/DESC]]*MateriaisCampo[[#This Row],[% DESC]]</f>
        <v>205.06987027537005</v>
      </c>
      <c r="O150" s="441" t="s">
        <v>295</v>
      </c>
      <c r="P150" s="442" t="s">
        <v>155</v>
      </c>
      <c r="Q150" s="438">
        <v>1.6500000000000001E-2</v>
      </c>
      <c r="R150" s="438">
        <v>7.5999999999999998E-2</v>
      </c>
      <c r="S150" s="443">
        <f>MateriaisCampo[[#This Row],[UNIT S/ IP + DIF ICMS]]*MateriaisCampo[[#This Row],[QUANTIDADE]]</f>
        <v>205.06987027537005</v>
      </c>
      <c r="T150" s="444">
        <f>MateriaisCampo[[#This Row],[TOTAL S/ IPI]]+(MateriaisCampo[[#This Row],[TOTAL S/ IPI]]*MateriaisCampo[[#This Row],[IPI %]])</f>
        <v>205.06987027537005</v>
      </c>
      <c r="U150" s="445">
        <f>IF(AND(MateriaisCampo[[#This Row],[ICMS %]]&lt;&gt;18%,MateriaisCampo[[#This Row],[ORIGEM]]&lt;&gt;"SÃO PAULO"),((18%-MateriaisCampo[[#This Row],[ICMS %]])*MateriaisCampo[[#This Row],[UNIT S/ IPI C/DESC]]),0)</f>
        <v>0</v>
      </c>
      <c r="V150" s="437">
        <f>MateriaisCampo[[#This Row],[UNIT S/ IPI C/DESC]]*MateriaisCampo[[#This Row],[ICMS %]]</f>
        <v>36.91257664956661</v>
      </c>
      <c r="W150" s="437">
        <f>MateriaisCampo[[#This Row],[ICMS $]]*MateriaisCampo[[#This Row],[QUANTIDADE]]</f>
        <v>36.91257664956661</v>
      </c>
      <c r="X150" s="446">
        <f>MateriaisCampo[[#This Row],[UNIT S/ IPI C/DESC]]+MateriaisCampo[[#This Row],[DIFERENCIAL ICMS]]</f>
        <v>205.06987027537005</v>
      </c>
      <c r="Y150" s="446">
        <f>(MateriaisCampo[[#This Row],[PIS]]*MateriaisCampo[[#This Row],[UNIT S/ IPI C/DESC]])/2</f>
        <v>1.6918264297718031</v>
      </c>
      <c r="Z150" s="446">
        <f>(MateriaisCampo[[#This Row],[COFINS]]*MateriaisCampo[[#This Row],[UNIT S/ IPI C/DESC]])/2</f>
        <v>7.792655070464062</v>
      </c>
      <c r="AA150" s="445">
        <f>MateriaisCampo[[#This Row],[UNIT S/ IP + DIF ICMS]]+(MateriaisCampo[[#This Row],[UNIT S/ IP + DIF ICMS]]*MateriaisCampo[[#This Row],[IPI %]])</f>
        <v>205.06987027537005</v>
      </c>
      <c r="AB150" s="448">
        <f>_xlfn.XLOOKUP(MateriaisCampo[[#This Row],[FATURAMENTO]],BASE!$U$48:$U$50,BASE!$W$48:$W$50,0,0,1)</f>
        <v>0.79709863947533133</v>
      </c>
      <c r="AC150" s="510" t="str">
        <f>RESUMO!$E$56</f>
        <v>SIM</v>
      </c>
      <c r="AD150" s="449" t="str">
        <f>RESUMO!$E$57</f>
        <v>SIM</v>
      </c>
      <c r="AE15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158.67281212556759</v>
      </c>
      <c r="AF150" s="450">
        <f>MateriaisCampo[[#This Row],[UNIT CRED]]*MateriaisCampo[[#This Row],[QUANTIDADE]]</f>
        <v>158.67281212556759</v>
      </c>
      <c r="AG150" s="451">
        <f>MateriaisCampo[[#This Row],[TOT CRED]]</f>
        <v>158.67281212556759</v>
      </c>
      <c r="AH150" s="452">
        <f>IF(MateriaisCampo[[#This Row],[QUANTIDADE]]&lt;&gt;0,((MateriaisCampo[[#This Row],[TOT CUSTO]]/MateriaisCampo[[#This Row],[QUANTIDADE]])/MateriaisCampo[[#This Row],[MARK-UP]]),0)</f>
        <v>199.06295691334975</v>
      </c>
      <c r="AI150" s="453">
        <f>MateriaisCampo[[#This Row],[UNIT VENDA]]*MateriaisCampo[[#This Row],[QUANTIDADE]]</f>
        <v>199.06295691334975</v>
      </c>
      <c r="AJ150" s="453">
        <f>IFERROR(MateriaisCampo[[#This Row],[VENDA]]*(RESUMO!$F$55/RESUMO!$F$45),0)</f>
        <v>252.77835798520601</v>
      </c>
      <c r="AK150" s="453">
        <f>IFERROR(MateriaisCampo[[#This Row],[VENDA]]*(RESUMO!$F$58/RESUMO!$F$45),0)</f>
        <v>252.77835798520601</v>
      </c>
      <c r="AL150" s="454">
        <f>IF(MateriaisCampo[[#This Row],[FATURAMENTO]]="NORMAL",MateriaisCampo[[#This Row],[VENDA]],0)</f>
        <v>199.06295691334975</v>
      </c>
    </row>
    <row r="151" spans="1:38" x14ac:dyDescent="0.25">
      <c r="A151" s="113" t="s">
        <v>652</v>
      </c>
      <c r="B151" s="113" t="s">
        <v>652</v>
      </c>
      <c r="C151" s="113" t="s">
        <v>721</v>
      </c>
      <c r="D151" s="113" t="s">
        <v>689</v>
      </c>
      <c r="E151" s="434" t="s">
        <v>655</v>
      </c>
      <c r="F151" s="434">
        <f t="shared" si="2"/>
        <v>0</v>
      </c>
      <c r="G151" s="113"/>
      <c r="H151" s="435" t="s">
        <v>603</v>
      </c>
      <c r="I151" s="436">
        <f>I150</f>
        <v>1</v>
      </c>
      <c r="J151" s="437">
        <f>J149</f>
        <v>156.33098778982026</v>
      </c>
      <c r="K151" s="438">
        <v>0.18</v>
      </c>
      <c r="L151" s="438"/>
      <c r="M151" s="458"/>
      <c r="N151" s="445">
        <f>MateriaisCampo[[#This Row],[UNIT S/IPI S/DESC]]-MateriaisCampo[[#This Row],[UNIT S/IPI S/DESC]]*MateriaisCampo[[#This Row],[% DESC]]</f>
        <v>156.33098778982026</v>
      </c>
      <c r="O151" s="441" t="s">
        <v>295</v>
      </c>
      <c r="P151" s="442" t="s">
        <v>155</v>
      </c>
      <c r="Q151" s="438">
        <v>1.6500000000000001E-2</v>
      </c>
      <c r="R151" s="438">
        <v>7.5999999999999998E-2</v>
      </c>
      <c r="S151" s="443">
        <f>MateriaisCampo[[#This Row],[UNIT S/ IP + DIF ICMS]]*MateriaisCampo[[#This Row],[QUANTIDADE]]</f>
        <v>156.33098778982026</v>
      </c>
      <c r="T151" s="444">
        <f>MateriaisCampo[[#This Row],[TOTAL S/ IPI]]+(MateriaisCampo[[#This Row],[TOTAL S/ IPI]]*MateriaisCampo[[#This Row],[IPI %]])</f>
        <v>156.33098778982026</v>
      </c>
      <c r="U151" s="445">
        <f>IF(AND(MateriaisCampo[[#This Row],[ICMS %]]&lt;&gt;18%,MateriaisCampo[[#This Row],[ORIGEM]]&lt;&gt;"SÃO PAULO"),((18%-MateriaisCampo[[#This Row],[ICMS %]])*MateriaisCampo[[#This Row],[UNIT S/ IPI C/DESC]]),0)</f>
        <v>0</v>
      </c>
      <c r="V151" s="437">
        <f>MateriaisCampo[[#This Row],[UNIT S/ IPI C/DESC]]*MateriaisCampo[[#This Row],[ICMS %]]</f>
        <v>28.139577802167643</v>
      </c>
      <c r="W151" s="437">
        <f>MateriaisCampo[[#This Row],[ICMS $]]*MateriaisCampo[[#This Row],[QUANTIDADE]]</f>
        <v>28.139577802167643</v>
      </c>
      <c r="X151" s="446">
        <f>MateriaisCampo[[#This Row],[UNIT S/ IPI C/DESC]]+MateriaisCampo[[#This Row],[DIFERENCIAL ICMS]]</f>
        <v>156.33098778982026</v>
      </c>
      <c r="Y151" s="446">
        <f>(MateriaisCampo[[#This Row],[PIS]]*MateriaisCampo[[#This Row],[UNIT S/ IPI C/DESC]])/2</f>
        <v>1.2897306492660172</v>
      </c>
      <c r="Z151" s="446">
        <f>(MateriaisCampo[[#This Row],[COFINS]]*MateriaisCampo[[#This Row],[UNIT S/ IPI C/DESC]])/2</f>
        <v>5.9405775360131692</v>
      </c>
      <c r="AA151" s="445">
        <f>MateriaisCampo[[#This Row],[UNIT S/ IP + DIF ICMS]]+(MateriaisCampo[[#This Row],[UNIT S/ IP + DIF ICMS]]*MateriaisCampo[[#This Row],[IPI %]])</f>
        <v>156.33098778982026</v>
      </c>
      <c r="AB151" s="448">
        <f>_xlfn.XLOOKUP(MateriaisCampo[[#This Row],[FATURAMENTO]],BASE!$U$48:$U$50,BASE!$W$48:$W$50,0,0,1)</f>
        <v>0.79709863947533133</v>
      </c>
      <c r="AC151" s="510" t="str">
        <f>RESUMO!$E$56</f>
        <v>SIM</v>
      </c>
      <c r="AD151" s="449" t="str">
        <f>RESUMO!$E$57</f>
        <v>SIM</v>
      </c>
      <c r="AE15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120.96110180237342</v>
      </c>
      <c r="AF151" s="450">
        <f>MateriaisCampo[[#This Row],[UNIT CRED]]*MateriaisCampo[[#This Row],[QUANTIDADE]]</f>
        <v>120.96110180237342</v>
      </c>
      <c r="AG151" s="451">
        <f>MateriaisCampo[[#This Row],[TOT CRED]]</f>
        <v>120.96110180237342</v>
      </c>
      <c r="AH151" s="452">
        <f>IF(MateriaisCampo[[#This Row],[QUANTIDADE]]&lt;&gt;0,((MateriaisCampo[[#This Row],[TOT CUSTO]]/MateriaisCampo[[#This Row],[QUANTIDADE]])/MateriaisCampo[[#This Row],[MARK-UP]]),0)</f>
        <v>151.7517353711616</v>
      </c>
      <c r="AI151" s="453">
        <f>MateriaisCampo[[#This Row],[UNIT VENDA]]*MateriaisCampo[[#This Row],[QUANTIDADE]]</f>
        <v>151.7517353711616</v>
      </c>
      <c r="AJ151" s="453">
        <f>IFERROR(MateriaisCampo[[#This Row],[VENDA]]*(RESUMO!$F$55/RESUMO!$F$45),0)</f>
        <v>192.70061634433219</v>
      </c>
      <c r="AK151" s="453">
        <f>IFERROR(MateriaisCampo[[#This Row],[VENDA]]*(RESUMO!$F$58/RESUMO!$F$45),0)</f>
        <v>192.70061634433219</v>
      </c>
      <c r="AL151" s="454">
        <f>IF(MateriaisCampo[[#This Row],[FATURAMENTO]]="NORMAL",MateriaisCampo[[#This Row],[VENDA]],0)</f>
        <v>151.7517353711616</v>
      </c>
    </row>
    <row r="152" spans="1:38" x14ac:dyDescent="0.25">
      <c r="A152" s="113" t="s">
        <v>652</v>
      </c>
      <c r="B152" s="113" t="s">
        <v>652</v>
      </c>
      <c r="C152" s="113" t="s">
        <v>722</v>
      </c>
      <c r="D152" s="113" t="s">
        <v>689</v>
      </c>
      <c r="E152" s="434" t="s">
        <v>655</v>
      </c>
      <c r="F152" s="434">
        <f t="shared" si="2"/>
        <v>0</v>
      </c>
      <c r="G152" s="113"/>
      <c r="H152" s="435" t="s">
        <v>603</v>
      </c>
      <c r="I152" s="436">
        <v>8</v>
      </c>
      <c r="J152" s="437">
        <f>J150</f>
        <v>205.06987027537005</v>
      </c>
      <c r="K152" s="438">
        <v>0.18</v>
      </c>
      <c r="L152" s="438"/>
      <c r="M152" s="458"/>
      <c r="N152" s="445">
        <f>MateriaisCampo[[#This Row],[UNIT S/IPI S/DESC]]-MateriaisCampo[[#This Row],[UNIT S/IPI S/DESC]]*MateriaisCampo[[#This Row],[% DESC]]</f>
        <v>205.06987027537005</v>
      </c>
      <c r="O152" s="441" t="s">
        <v>295</v>
      </c>
      <c r="P152" s="442" t="s">
        <v>155</v>
      </c>
      <c r="Q152" s="438">
        <v>1.6500000000000001E-2</v>
      </c>
      <c r="R152" s="438">
        <v>7.5999999999999998E-2</v>
      </c>
      <c r="S152" s="443">
        <f>MateriaisCampo[[#This Row],[UNIT S/ IP + DIF ICMS]]*MateriaisCampo[[#This Row],[QUANTIDADE]]</f>
        <v>1640.5589622029604</v>
      </c>
      <c r="T152" s="444">
        <f>MateriaisCampo[[#This Row],[TOTAL S/ IPI]]+(MateriaisCampo[[#This Row],[TOTAL S/ IPI]]*MateriaisCampo[[#This Row],[IPI %]])</f>
        <v>1640.5589622029604</v>
      </c>
      <c r="U152" s="445">
        <f>IF(AND(MateriaisCampo[[#This Row],[ICMS %]]&lt;&gt;18%,MateriaisCampo[[#This Row],[ORIGEM]]&lt;&gt;"SÃO PAULO"),((18%-MateriaisCampo[[#This Row],[ICMS %]])*MateriaisCampo[[#This Row],[UNIT S/ IPI C/DESC]]),0)</f>
        <v>0</v>
      </c>
      <c r="V152" s="437">
        <f>MateriaisCampo[[#This Row],[UNIT S/ IPI C/DESC]]*MateriaisCampo[[#This Row],[ICMS %]]</f>
        <v>36.91257664956661</v>
      </c>
      <c r="W152" s="437">
        <f>MateriaisCampo[[#This Row],[ICMS $]]*MateriaisCampo[[#This Row],[QUANTIDADE]]</f>
        <v>295.30061319653288</v>
      </c>
      <c r="X152" s="446">
        <f>MateriaisCampo[[#This Row],[UNIT S/ IPI C/DESC]]+MateriaisCampo[[#This Row],[DIFERENCIAL ICMS]]</f>
        <v>205.06987027537005</v>
      </c>
      <c r="Y152" s="446">
        <f>(MateriaisCampo[[#This Row],[PIS]]*MateriaisCampo[[#This Row],[UNIT S/ IPI C/DESC]])/2</f>
        <v>1.6918264297718031</v>
      </c>
      <c r="Z152" s="446">
        <f>(MateriaisCampo[[#This Row],[COFINS]]*MateriaisCampo[[#This Row],[UNIT S/ IPI C/DESC]])/2</f>
        <v>7.792655070464062</v>
      </c>
      <c r="AA152" s="445">
        <f>MateriaisCampo[[#This Row],[UNIT S/ IP + DIF ICMS]]+(MateriaisCampo[[#This Row],[UNIT S/ IP + DIF ICMS]]*MateriaisCampo[[#This Row],[IPI %]])</f>
        <v>205.06987027537005</v>
      </c>
      <c r="AB152" s="448">
        <f>_xlfn.XLOOKUP(MateriaisCampo[[#This Row],[FATURAMENTO]],BASE!$U$48:$U$50,BASE!$W$48:$W$50,0,0,1)</f>
        <v>0.79709863947533133</v>
      </c>
      <c r="AC152" s="510" t="str">
        <f>RESUMO!$E$56</f>
        <v>SIM</v>
      </c>
      <c r="AD152" s="449" t="str">
        <f>RESUMO!$E$57</f>
        <v>SIM</v>
      </c>
      <c r="AE15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158.67281212556759</v>
      </c>
      <c r="AF152" s="450">
        <f>MateriaisCampo[[#This Row],[UNIT CRED]]*MateriaisCampo[[#This Row],[QUANTIDADE]]</f>
        <v>1269.3824970045407</v>
      </c>
      <c r="AG152" s="451">
        <f>MateriaisCampo[[#This Row],[TOT CRED]]</f>
        <v>1269.3824970045407</v>
      </c>
      <c r="AH152" s="452">
        <f>IF(MateriaisCampo[[#This Row],[QUANTIDADE]]&lt;&gt;0,((MateriaisCampo[[#This Row],[TOT CUSTO]]/MateriaisCampo[[#This Row],[QUANTIDADE]])/MateriaisCampo[[#This Row],[MARK-UP]]),0)</f>
        <v>199.06295691334975</v>
      </c>
      <c r="AI152" s="453">
        <f>MateriaisCampo[[#This Row],[UNIT VENDA]]*MateriaisCampo[[#This Row],[QUANTIDADE]]</f>
        <v>1592.503655306798</v>
      </c>
      <c r="AJ152" s="453">
        <f>IFERROR(MateriaisCampo[[#This Row],[VENDA]]*(RESUMO!$F$55/RESUMO!$F$45),0)</f>
        <v>2022.2268638816481</v>
      </c>
      <c r="AK152" s="453">
        <f>IFERROR(MateriaisCampo[[#This Row],[VENDA]]*(RESUMO!$F$58/RESUMO!$F$45),0)</f>
        <v>2022.2268638816481</v>
      </c>
      <c r="AL152" s="454">
        <f>IF(MateriaisCampo[[#This Row],[FATURAMENTO]]="NORMAL",MateriaisCampo[[#This Row],[VENDA]],0)</f>
        <v>1592.503655306798</v>
      </c>
    </row>
    <row r="153" spans="1:38" x14ac:dyDescent="0.25">
      <c r="A153" s="113" t="s">
        <v>652</v>
      </c>
      <c r="B153" s="113" t="s">
        <v>652</v>
      </c>
      <c r="C153" s="113" t="s">
        <v>723</v>
      </c>
      <c r="D153" s="113" t="s">
        <v>689</v>
      </c>
      <c r="E153" s="434" t="s">
        <v>655</v>
      </c>
      <c r="F153" s="434">
        <f t="shared" si="2"/>
        <v>0</v>
      </c>
      <c r="G153" s="113"/>
      <c r="H153" s="435" t="s">
        <v>603</v>
      </c>
      <c r="I153" s="436">
        <f>I152</f>
        <v>8</v>
      </c>
      <c r="J153" s="437">
        <f>J151</f>
        <v>156.33098778982026</v>
      </c>
      <c r="K153" s="438">
        <v>0.18</v>
      </c>
      <c r="L153" s="438"/>
      <c r="M153" s="458"/>
      <c r="N153" s="445">
        <f>MateriaisCampo[[#This Row],[UNIT S/IPI S/DESC]]-MateriaisCampo[[#This Row],[UNIT S/IPI S/DESC]]*MateriaisCampo[[#This Row],[% DESC]]</f>
        <v>156.33098778982026</v>
      </c>
      <c r="O153" s="441" t="s">
        <v>295</v>
      </c>
      <c r="P153" s="442" t="s">
        <v>155</v>
      </c>
      <c r="Q153" s="438">
        <v>1.6500000000000001E-2</v>
      </c>
      <c r="R153" s="438">
        <v>7.5999999999999998E-2</v>
      </c>
      <c r="S153" s="443">
        <f>MateriaisCampo[[#This Row],[UNIT S/ IP + DIF ICMS]]*MateriaisCampo[[#This Row],[QUANTIDADE]]</f>
        <v>1250.647902318562</v>
      </c>
      <c r="T153" s="444">
        <f>MateriaisCampo[[#This Row],[TOTAL S/ IPI]]+(MateriaisCampo[[#This Row],[TOTAL S/ IPI]]*MateriaisCampo[[#This Row],[IPI %]])</f>
        <v>1250.647902318562</v>
      </c>
      <c r="U153" s="445">
        <f>IF(AND(MateriaisCampo[[#This Row],[ICMS %]]&lt;&gt;18%,MateriaisCampo[[#This Row],[ORIGEM]]&lt;&gt;"SÃO PAULO"),((18%-MateriaisCampo[[#This Row],[ICMS %]])*MateriaisCampo[[#This Row],[UNIT S/ IPI C/DESC]]),0)</f>
        <v>0</v>
      </c>
      <c r="V153" s="437">
        <f>MateriaisCampo[[#This Row],[UNIT S/ IPI C/DESC]]*MateriaisCampo[[#This Row],[ICMS %]]</f>
        <v>28.139577802167643</v>
      </c>
      <c r="W153" s="437">
        <f>MateriaisCampo[[#This Row],[ICMS $]]*MateriaisCampo[[#This Row],[QUANTIDADE]]</f>
        <v>225.11662241734115</v>
      </c>
      <c r="X153" s="446">
        <f>MateriaisCampo[[#This Row],[UNIT S/ IPI C/DESC]]+MateriaisCampo[[#This Row],[DIFERENCIAL ICMS]]</f>
        <v>156.33098778982026</v>
      </c>
      <c r="Y153" s="446">
        <f>(MateriaisCampo[[#This Row],[PIS]]*MateriaisCampo[[#This Row],[UNIT S/ IPI C/DESC]])/2</f>
        <v>1.2897306492660172</v>
      </c>
      <c r="Z153" s="446">
        <f>(MateriaisCampo[[#This Row],[COFINS]]*MateriaisCampo[[#This Row],[UNIT S/ IPI C/DESC]])/2</f>
        <v>5.9405775360131692</v>
      </c>
      <c r="AA153" s="445">
        <f>MateriaisCampo[[#This Row],[UNIT S/ IP + DIF ICMS]]+(MateriaisCampo[[#This Row],[UNIT S/ IP + DIF ICMS]]*MateriaisCampo[[#This Row],[IPI %]])</f>
        <v>156.33098778982026</v>
      </c>
      <c r="AB153" s="448">
        <f>_xlfn.XLOOKUP(MateriaisCampo[[#This Row],[FATURAMENTO]],BASE!$U$48:$U$50,BASE!$W$48:$W$50,0,0,1)</f>
        <v>0.79709863947533133</v>
      </c>
      <c r="AC153" s="510" t="str">
        <f>RESUMO!$E$56</f>
        <v>SIM</v>
      </c>
      <c r="AD153" s="449" t="str">
        <f>RESUMO!$E$57</f>
        <v>SIM</v>
      </c>
      <c r="AE15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120.96110180237342</v>
      </c>
      <c r="AF153" s="450">
        <f>MateriaisCampo[[#This Row],[UNIT CRED]]*MateriaisCampo[[#This Row],[QUANTIDADE]]</f>
        <v>967.68881441898736</v>
      </c>
      <c r="AG153" s="451">
        <f>MateriaisCampo[[#This Row],[TOT CRED]]</f>
        <v>967.68881441898736</v>
      </c>
      <c r="AH153" s="452">
        <f>IF(MateriaisCampo[[#This Row],[QUANTIDADE]]&lt;&gt;0,((MateriaisCampo[[#This Row],[TOT CUSTO]]/MateriaisCampo[[#This Row],[QUANTIDADE]])/MateriaisCampo[[#This Row],[MARK-UP]]),0)</f>
        <v>151.7517353711616</v>
      </c>
      <c r="AI153" s="453">
        <f>MateriaisCampo[[#This Row],[UNIT VENDA]]*MateriaisCampo[[#This Row],[QUANTIDADE]]</f>
        <v>1214.0138829692928</v>
      </c>
      <c r="AJ153" s="453">
        <f>IFERROR(MateriaisCampo[[#This Row],[VENDA]]*(RESUMO!$F$55/RESUMO!$F$45),0)</f>
        <v>1541.6049307546575</v>
      </c>
      <c r="AK153" s="453">
        <f>IFERROR(MateriaisCampo[[#This Row],[VENDA]]*(RESUMO!$F$58/RESUMO!$F$45),0)</f>
        <v>1541.6049307546575</v>
      </c>
      <c r="AL153" s="454">
        <f>IF(MateriaisCampo[[#This Row],[FATURAMENTO]]="NORMAL",MateriaisCampo[[#This Row],[VENDA]],0)</f>
        <v>1214.0138829692928</v>
      </c>
    </row>
    <row r="154" spans="1:38" x14ac:dyDescent="0.25">
      <c r="A154" s="113" t="s">
        <v>652</v>
      </c>
      <c r="B154" s="113" t="s">
        <v>652</v>
      </c>
      <c r="C154" s="113" t="s">
        <v>690</v>
      </c>
      <c r="D154" s="113" t="s">
        <v>725</v>
      </c>
      <c r="E154" s="434" t="s">
        <v>655</v>
      </c>
      <c r="F154" s="434">
        <f t="shared" si="0"/>
        <v>0</v>
      </c>
      <c r="G154" s="113"/>
      <c r="H154" s="435" t="s">
        <v>603</v>
      </c>
      <c r="I154" s="436">
        <f>SUM(I152,I150,I148,I146,I144,I142,I140,I138,I136,I134,I132,I130,I128,I126,I124,I122,I120)*1.5</f>
        <v>237</v>
      </c>
      <c r="J154" s="437">
        <v>3.29</v>
      </c>
      <c r="K154" s="438">
        <v>0.18</v>
      </c>
      <c r="L154" s="438"/>
      <c r="M154" s="458"/>
      <c r="N154" s="445">
        <f>MateriaisCampo[[#This Row],[UNIT S/IPI S/DESC]]-MateriaisCampo[[#This Row],[UNIT S/IPI S/DESC]]*MateriaisCampo[[#This Row],[% DESC]]</f>
        <v>3.29</v>
      </c>
      <c r="O154" s="441" t="s">
        <v>295</v>
      </c>
      <c r="P154" s="442" t="s">
        <v>155</v>
      </c>
      <c r="Q154" s="438">
        <v>1.6500000000000001E-2</v>
      </c>
      <c r="R154" s="438">
        <v>7.5999999999999998E-2</v>
      </c>
      <c r="S154" s="443">
        <f>MateriaisCampo[[#This Row],[UNIT S/ IP + DIF ICMS]]*MateriaisCampo[[#This Row],[QUANTIDADE]]</f>
        <v>779.73</v>
      </c>
      <c r="T154" s="444">
        <f>MateriaisCampo[[#This Row],[TOTAL S/ IPI]]+(MateriaisCampo[[#This Row],[TOTAL S/ IPI]]*MateriaisCampo[[#This Row],[IPI %]])</f>
        <v>779.73</v>
      </c>
      <c r="U154" s="445">
        <f>IF(AND(MateriaisCampo[[#This Row],[ICMS %]]&lt;&gt;18%,MateriaisCampo[[#This Row],[ORIGEM]]&lt;&gt;"SÃO PAULO"),((18%-MateriaisCampo[[#This Row],[ICMS %]])*MateriaisCampo[[#This Row],[UNIT S/ IPI C/DESC]]),0)</f>
        <v>0</v>
      </c>
      <c r="V154" s="437">
        <f>MateriaisCampo[[#This Row],[UNIT S/ IPI C/DESC]]*MateriaisCampo[[#This Row],[ICMS %]]</f>
        <v>0.59219999999999995</v>
      </c>
      <c r="W154" s="437">
        <f>MateriaisCampo[[#This Row],[ICMS $]]*MateriaisCampo[[#This Row],[QUANTIDADE]]</f>
        <v>140.35139999999998</v>
      </c>
      <c r="X154" s="446">
        <f>MateriaisCampo[[#This Row],[UNIT S/ IPI C/DESC]]+MateriaisCampo[[#This Row],[DIFERENCIAL ICMS]]</f>
        <v>3.29</v>
      </c>
      <c r="Y154" s="446">
        <f>(MateriaisCampo[[#This Row],[PIS]]*MateriaisCampo[[#This Row],[UNIT S/ IPI C/DESC]])/2</f>
        <v>2.71425E-2</v>
      </c>
      <c r="Z154" s="446">
        <f>(MateriaisCampo[[#This Row],[COFINS]]*MateriaisCampo[[#This Row],[UNIT S/ IPI C/DESC]])/2</f>
        <v>0.12501999999999999</v>
      </c>
      <c r="AA154" s="445">
        <f>MateriaisCampo[[#This Row],[UNIT S/ IP + DIF ICMS]]+(MateriaisCampo[[#This Row],[UNIT S/ IP + DIF ICMS]]*MateriaisCampo[[#This Row],[IPI %]])</f>
        <v>3.29</v>
      </c>
      <c r="AB154" s="448">
        <f>_xlfn.XLOOKUP(MateriaisCampo[[#This Row],[FATURAMENTO]],BASE!$U$48:$U$50,BASE!$W$48:$W$50,0,0,1)</f>
        <v>0.79709863947533133</v>
      </c>
      <c r="AC154" s="510" t="str">
        <f>RESUMO!$E$56</f>
        <v>SIM</v>
      </c>
      <c r="AD154" s="449" t="str">
        <f>RESUMO!$E$57</f>
        <v>SIM</v>
      </c>
      <c r="AE15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2.5456374999999998</v>
      </c>
      <c r="AF154" s="450">
        <f>MateriaisCampo[[#This Row],[UNIT CRED]]*MateriaisCampo[[#This Row],[QUANTIDADE]]</f>
        <v>603.31608749999998</v>
      </c>
      <c r="AG154" s="451">
        <f>MateriaisCampo[[#This Row],[TOT CRED]]</f>
        <v>603.31608749999998</v>
      </c>
      <c r="AH154" s="452">
        <f>IF(MateriaisCampo[[#This Row],[QUANTIDADE]]&lt;&gt;0,((MateriaisCampo[[#This Row],[TOT CUSTO]]/MateriaisCampo[[#This Row],[QUANTIDADE]])/MateriaisCampo[[#This Row],[MARK-UP]]),0)</f>
        <v>3.1936292121582306</v>
      </c>
      <c r="AI154" s="453">
        <f>MateriaisCampo[[#This Row],[UNIT VENDA]]*MateriaisCampo[[#This Row],[QUANTIDADE]]</f>
        <v>756.89012328150068</v>
      </c>
      <c r="AJ154" s="453">
        <f>IFERROR(MateriaisCampo[[#This Row],[VENDA]]*(RESUMO!$F$55/RESUMO!$F$45),0)</f>
        <v>961.13031527809608</v>
      </c>
      <c r="AK154" s="453">
        <f>IFERROR(MateriaisCampo[[#This Row],[VENDA]]*(RESUMO!$F$58/RESUMO!$F$45),0)</f>
        <v>961.13031527809608</v>
      </c>
      <c r="AL154" s="454">
        <f>IF(MateriaisCampo[[#This Row],[FATURAMENTO]]="NORMAL",MateriaisCampo[[#This Row],[VENDA]],0)</f>
        <v>756.89012328150068</v>
      </c>
    </row>
    <row r="155" spans="1:38" ht="23" x14ac:dyDescent="0.25">
      <c r="A155" s="113" t="s">
        <v>652</v>
      </c>
      <c r="B155" s="113" t="s">
        <v>652</v>
      </c>
      <c r="C155" s="113" t="s">
        <v>724</v>
      </c>
      <c r="D155" s="113" t="s">
        <v>725</v>
      </c>
      <c r="E155" s="434" t="s">
        <v>655</v>
      </c>
      <c r="F155" s="434">
        <f t="shared" si="0"/>
        <v>0</v>
      </c>
      <c r="G155" s="113"/>
      <c r="H155" s="435" t="s">
        <v>603</v>
      </c>
      <c r="I155" s="436">
        <f>I154*8</f>
        <v>1896</v>
      </c>
      <c r="J155" s="437">
        <v>0.251</v>
      </c>
      <c r="K155" s="438">
        <v>0.18</v>
      </c>
      <c r="L155" s="438">
        <v>6.5000000000000002E-2</v>
      </c>
      <c r="M155" s="458"/>
      <c r="N155" s="445">
        <f>MateriaisCampo[[#This Row],[UNIT S/IPI S/DESC]]-MateriaisCampo[[#This Row],[UNIT S/IPI S/DESC]]*MateriaisCampo[[#This Row],[% DESC]]</f>
        <v>0.251</v>
      </c>
      <c r="O155" s="441" t="s">
        <v>295</v>
      </c>
      <c r="P155" s="442" t="s">
        <v>155</v>
      </c>
      <c r="Q155" s="438">
        <v>1.6500000000000001E-2</v>
      </c>
      <c r="R155" s="438">
        <v>7.5999999999999998E-2</v>
      </c>
      <c r="S155" s="443">
        <f>MateriaisCampo[[#This Row],[UNIT S/ IP + DIF ICMS]]*MateriaisCampo[[#This Row],[QUANTIDADE]]</f>
        <v>475.89600000000002</v>
      </c>
      <c r="T155" s="444">
        <f>MateriaisCampo[[#This Row],[TOTAL S/ IPI]]+(MateriaisCampo[[#This Row],[TOTAL S/ IPI]]*MateriaisCampo[[#This Row],[IPI %]])</f>
        <v>506.82924000000003</v>
      </c>
      <c r="U155" s="445">
        <f>IF(AND(MateriaisCampo[[#This Row],[ICMS %]]&lt;&gt;18%,MateriaisCampo[[#This Row],[ORIGEM]]&lt;&gt;"SÃO PAULO"),((18%-MateriaisCampo[[#This Row],[ICMS %]])*MateriaisCampo[[#This Row],[UNIT S/ IPI C/DESC]]),0)</f>
        <v>0</v>
      </c>
      <c r="V155" s="437">
        <f>MateriaisCampo[[#This Row],[UNIT S/ IPI C/DESC]]*MateriaisCampo[[#This Row],[ICMS %]]</f>
        <v>4.5179999999999998E-2</v>
      </c>
      <c r="W155" s="437">
        <f>MateriaisCampo[[#This Row],[ICMS $]]*MateriaisCampo[[#This Row],[QUANTIDADE]]</f>
        <v>85.661279999999991</v>
      </c>
      <c r="X155" s="446">
        <f>MateriaisCampo[[#This Row],[UNIT S/ IPI C/DESC]]+MateriaisCampo[[#This Row],[DIFERENCIAL ICMS]]</f>
        <v>0.251</v>
      </c>
      <c r="Y155" s="446">
        <f>(MateriaisCampo[[#This Row],[PIS]]*MateriaisCampo[[#This Row],[UNIT S/ IPI C/DESC]])/2</f>
        <v>2.0707500000000001E-3</v>
      </c>
      <c r="Z155" s="446">
        <f>(MateriaisCampo[[#This Row],[COFINS]]*MateriaisCampo[[#This Row],[UNIT S/ IPI C/DESC]])/2</f>
        <v>9.5379999999999996E-3</v>
      </c>
      <c r="AA155" s="445">
        <f>MateriaisCampo[[#This Row],[UNIT S/ IP + DIF ICMS]]+(MateriaisCampo[[#This Row],[UNIT S/ IP + DIF ICMS]]*MateriaisCampo[[#This Row],[IPI %]])</f>
        <v>0.26731500000000002</v>
      </c>
      <c r="AB155" s="448">
        <f>_xlfn.XLOOKUP(MateriaisCampo[[#This Row],[FATURAMENTO]],BASE!$U$48:$U$50,BASE!$W$48:$W$50,0,0,1)</f>
        <v>0.79709863947533133</v>
      </c>
      <c r="AC155" s="510" t="str">
        <f>RESUMO!$E$56</f>
        <v>SIM</v>
      </c>
      <c r="AD155" s="449" t="str">
        <f>RESUMO!$E$57</f>
        <v>SIM</v>
      </c>
      <c r="AE15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0.19421125</v>
      </c>
      <c r="AF155" s="450">
        <f>MateriaisCampo[[#This Row],[UNIT CRED]]*MateriaisCampo[[#This Row],[QUANTIDADE]]</f>
        <v>368.22453000000002</v>
      </c>
      <c r="AG155" s="451">
        <f>MateriaisCampo[[#This Row],[TOT CRED]]</f>
        <v>368.22453000000002</v>
      </c>
      <c r="AH155" s="452">
        <f>IF(MateriaisCampo[[#This Row],[QUANTIDADE]]&lt;&gt;0,((MateriaisCampo[[#This Row],[TOT CUSTO]]/MateriaisCampo[[#This Row],[QUANTIDADE]])/MateriaisCampo[[#This Row],[MARK-UP]]),0)</f>
        <v>0.24364769977255804</v>
      </c>
      <c r="AI155" s="453">
        <f>MateriaisCampo[[#This Row],[UNIT VENDA]]*MateriaisCampo[[#This Row],[QUANTIDADE]]</f>
        <v>461.95603876877004</v>
      </c>
      <c r="AJ155" s="453">
        <f>IFERROR(MateriaisCampo[[#This Row],[VENDA]]*(RESUMO!$F$55/RESUMO!$F$45),0)</f>
        <v>586.61084288097777</v>
      </c>
      <c r="AK155" s="453">
        <f>IFERROR(MateriaisCampo[[#This Row],[VENDA]]*(RESUMO!$F$58/RESUMO!$F$45),0)</f>
        <v>586.61084288097777</v>
      </c>
      <c r="AL155" s="454">
        <f>IF(MateriaisCampo[[#This Row],[FATURAMENTO]]="NORMAL",MateriaisCampo[[#This Row],[VENDA]],0)</f>
        <v>461.95603876877004</v>
      </c>
    </row>
    <row r="156" spans="1:38" x14ac:dyDescent="0.25">
      <c r="A156" s="113" t="s">
        <v>652</v>
      </c>
      <c r="B156" s="113" t="s">
        <v>652</v>
      </c>
      <c r="C156" s="113" t="s">
        <v>682</v>
      </c>
      <c r="D156" s="113" t="s">
        <v>725</v>
      </c>
      <c r="E156" s="434" t="s">
        <v>655</v>
      </c>
      <c r="F156" s="434">
        <f t="shared" si="0"/>
        <v>0</v>
      </c>
      <c r="G156" s="113"/>
      <c r="H156" s="435" t="s">
        <v>603</v>
      </c>
      <c r="I156" s="436">
        <f>I155</f>
        <v>1896</v>
      </c>
      <c r="J156" s="437">
        <v>0.06</v>
      </c>
      <c r="K156" s="438">
        <v>0.18</v>
      </c>
      <c r="L156" s="438">
        <v>6.5000000000000002E-2</v>
      </c>
      <c r="M156" s="458"/>
      <c r="N156" s="445">
        <f>MateriaisCampo[[#This Row],[UNIT S/IPI S/DESC]]-MateriaisCampo[[#This Row],[UNIT S/IPI S/DESC]]*MateriaisCampo[[#This Row],[% DESC]]</f>
        <v>0.06</v>
      </c>
      <c r="O156" s="441" t="s">
        <v>295</v>
      </c>
      <c r="P156" s="442" t="s">
        <v>155</v>
      </c>
      <c r="Q156" s="438">
        <v>1.6500000000000001E-2</v>
      </c>
      <c r="R156" s="438">
        <v>7.5999999999999998E-2</v>
      </c>
      <c r="S156" s="443">
        <f>MateriaisCampo[[#This Row],[UNIT S/ IP + DIF ICMS]]*MateriaisCampo[[#This Row],[QUANTIDADE]]</f>
        <v>113.75999999999999</v>
      </c>
      <c r="T156" s="444">
        <f>MateriaisCampo[[#This Row],[TOTAL S/ IPI]]+(MateriaisCampo[[#This Row],[TOTAL S/ IPI]]*MateriaisCampo[[#This Row],[IPI %]])</f>
        <v>121.1544</v>
      </c>
      <c r="U156" s="445">
        <f>IF(AND(MateriaisCampo[[#This Row],[ICMS %]]&lt;&gt;18%,MateriaisCampo[[#This Row],[ORIGEM]]&lt;&gt;"SÃO PAULO"),((18%-MateriaisCampo[[#This Row],[ICMS %]])*MateriaisCampo[[#This Row],[UNIT S/ IPI C/DESC]]),0)</f>
        <v>0</v>
      </c>
      <c r="V156" s="437">
        <f>MateriaisCampo[[#This Row],[UNIT S/ IPI C/DESC]]*MateriaisCampo[[#This Row],[ICMS %]]</f>
        <v>1.0799999999999999E-2</v>
      </c>
      <c r="W156" s="437">
        <f>MateriaisCampo[[#This Row],[ICMS $]]*MateriaisCampo[[#This Row],[QUANTIDADE]]</f>
        <v>20.476799999999997</v>
      </c>
      <c r="X156" s="446">
        <f>MateriaisCampo[[#This Row],[UNIT S/ IPI C/DESC]]+MateriaisCampo[[#This Row],[DIFERENCIAL ICMS]]</f>
        <v>0.06</v>
      </c>
      <c r="Y156" s="446">
        <f>(MateriaisCampo[[#This Row],[PIS]]*MateriaisCampo[[#This Row],[UNIT S/ IPI C/DESC]])/2</f>
        <v>4.95E-4</v>
      </c>
      <c r="Z156" s="446">
        <f>(MateriaisCampo[[#This Row],[COFINS]]*MateriaisCampo[[#This Row],[UNIT S/ IPI C/DESC]])/2</f>
        <v>2.2799999999999999E-3</v>
      </c>
      <c r="AA156" s="445">
        <f>MateriaisCampo[[#This Row],[UNIT S/ IP + DIF ICMS]]+(MateriaisCampo[[#This Row],[UNIT S/ IP + DIF ICMS]]*MateriaisCampo[[#This Row],[IPI %]])</f>
        <v>6.3899999999999998E-2</v>
      </c>
      <c r="AB156" s="448">
        <f>_xlfn.XLOOKUP(MateriaisCampo[[#This Row],[FATURAMENTO]],BASE!$U$48:$U$50,BASE!$W$48:$W$50,0,0,1)</f>
        <v>0.79709863947533133</v>
      </c>
      <c r="AC156" s="510" t="str">
        <f>RESUMO!$E$56</f>
        <v>SIM</v>
      </c>
      <c r="AD156" s="449" t="str">
        <f>RESUMO!$E$57</f>
        <v>SIM</v>
      </c>
      <c r="AE15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4.6425000000000001E-2</v>
      </c>
      <c r="AF156" s="450">
        <f>MateriaisCampo[[#This Row],[UNIT CRED]]*MateriaisCampo[[#This Row],[QUANTIDADE]]</f>
        <v>88.021799999999999</v>
      </c>
      <c r="AG156" s="451">
        <f>MateriaisCampo[[#This Row],[TOT CRED]]</f>
        <v>88.021799999999999</v>
      </c>
      <c r="AH156" s="452">
        <f>IF(MateriaisCampo[[#This Row],[QUANTIDADE]]&lt;&gt;0,((MateriaisCampo[[#This Row],[TOT CUSTO]]/MateriaisCampo[[#This Row],[QUANTIDADE]])/MateriaisCampo[[#This Row],[MARK-UP]]),0)</f>
        <v>5.8242478033280802E-2</v>
      </c>
      <c r="AI156" s="453">
        <f>MateriaisCampo[[#This Row],[UNIT VENDA]]*MateriaisCampo[[#This Row],[QUANTIDADE]]</f>
        <v>110.4277383511004</v>
      </c>
      <c r="AJ156" s="453">
        <f>IFERROR(MateriaisCampo[[#This Row],[VENDA]]*(RESUMO!$F$55/RESUMO!$F$45),0)</f>
        <v>140.22569949346081</v>
      </c>
      <c r="AK156" s="453">
        <f>IFERROR(MateriaisCampo[[#This Row],[VENDA]]*(RESUMO!$F$58/RESUMO!$F$45),0)</f>
        <v>140.22569949346081</v>
      </c>
      <c r="AL156" s="454">
        <f>IF(MateriaisCampo[[#This Row],[FATURAMENTO]]="NORMAL",MateriaisCampo[[#This Row],[VENDA]],0)</f>
        <v>110.4277383511004</v>
      </c>
    </row>
    <row r="157" spans="1:38" x14ac:dyDescent="0.25">
      <c r="A157" s="113" t="s">
        <v>652</v>
      </c>
      <c r="B157" s="113" t="s">
        <v>652</v>
      </c>
      <c r="C157" s="113" t="s">
        <v>683</v>
      </c>
      <c r="D157" s="113" t="s">
        <v>725</v>
      </c>
      <c r="E157" s="434" t="s">
        <v>655</v>
      </c>
      <c r="F157" s="434">
        <f t="shared" si="0"/>
        <v>0</v>
      </c>
      <c r="G157" s="113"/>
      <c r="H157" s="435" t="s">
        <v>603</v>
      </c>
      <c r="I157" s="436">
        <f>I155</f>
        <v>1896</v>
      </c>
      <c r="J157" s="437">
        <v>0.06</v>
      </c>
      <c r="K157" s="438">
        <v>0.18</v>
      </c>
      <c r="L157" s="438">
        <v>6.5000000000000002E-2</v>
      </c>
      <c r="M157" s="458"/>
      <c r="N157" s="445">
        <f>MateriaisCampo[[#This Row],[UNIT S/IPI S/DESC]]-MateriaisCampo[[#This Row],[UNIT S/IPI S/DESC]]*MateriaisCampo[[#This Row],[% DESC]]</f>
        <v>0.06</v>
      </c>
      <c r="O157" s="441" t="s">
        <v>295</v>
      </c>
      <c r="P157" s="442" t="s">
        <v>155</v>
      </c>
      <c r="Q157" s="438">
        <v>1.6500000000000001E-2</v>
      </c>
      <c r="R157" s="438">
        <v>7.5999999999999998E-2</v>
      </c>
      <c r="S157" s="443">
        <f>MateriaisCampo[[#This Row],[UNIT S/ IP + DIF ICMS]]*MateriaisCampo[[#This Row],[QUANTIDADE]]</f>
        <v>113.75999999999999</v>
      </c>
      <c r="T157" s="444">
        <f>MateriaisCampo[[#This Row],[TOTAL S/ IPI]]+(MateriaisCampo[[#This Row],[TOTAL S/ IPI]]*MateriaisCampo[[#This Row],[IPI %]])</f>
        <v>121.1544</v>
      </c>
      <c r="U157" s="445">
        <f>IF(AND(MateriaisCampo[[#This Row],[ICMS %]]&lt;&gt;18%,MateriaisCampo[[#This Row],[ORIGEM]]&lt;&gt;"SÃO PAULO"),((18%-MateriaisCampo[[#This Row],[ICMS %]])*MateriaisCampo[[#This Row],[UNIT S/ IPI C/DESC]]),0)</f>
        <v>0</v>
      </c>
      <c r="V157" s="437">
        <f>MateriaisCampo[[#This Row],[UNIT S/ IPI C/DESC]]*MateriaisCampo[[#This Row],[ICMS %]]</f>
        <v>1.0799999999999999E-2</v>
      </c>
      <c r="W157" s="437">
        <f>MateriaisCampo[[#This Row],[ICMS $]]*MateriaisCampo[[#This Row],[QUANTIDADE]]</f>
        <v>20.476799999999997</v>
      </c>
      <c r="X157" s="446">
        <f>MateriaisCampo[[#This Row],[UNIT S/ IPI C/DESC]]+MateriaisCampo[[#This Row],[DIFERENCIAL ICMS]]</f>
        <v>0.06</v>
      </c>
      <c r="Y157" s="446">
        <f>(MateriaisCampo[[#This Row],[PIS]]*MateriaisCampo[[#This Row],[UNIT S/ IPI C/DESC]])/2</f>
        <v>4.95E-4</v>
      </c>
      <c r="Z157" s="446">
        <f>(MateriaisCampo[[#This Row],[COFINS]]*MateriaisCampo[[#This Row],[UNIT S/ IPI C/DESC]])/2</f>
        <v>2.2799999999999999E-3</v>
      </c>
      <c r="AA157" s="445">
        <f>MateriaisCampo[[#This Row],[UNIT S/ IP + DIF ICMS]]+(MateriaisCampo[[#This Row],[UNIT S/ IP + DIF ICMS]]*MateriaisCampo[[#This Row],[IPI %]])</f>
        <v>6.3899999999999998E-2</v>
      </c>
      <c r="AB157" s="448">
        <f>_xlfn.XLOOKUP(MateriaisCampo[[#This Row],[FATURAMENTO]],BASE!$U$48:$U$50,BASE!$W$48:$W$50,0,0,1)</f>
        <v>0.79709863947533133</v>
      </c>
      <c r="AC157" s="510" t="str">
        <f>RESUMO!$E$56</f>
        <v>SIM</v>
      </c>
      <c r="AD157" s="449" t="str">
        <f>RESUMO!$E$57</f>
        <v>SIM</v>
      </c>
      <c r="AE15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4.6425000000000001E-2</v>
      </c>
      <c r="AF157" s="450">
        <f>MateriaisCampo[[#This Row],[UNIT CRED]]*MateriaisCampo[[#This Row],[QUANTIDADE]]</f>
        <v>88.021799999999999</v>
      </c>
      <c r="AG157" s="451">
        <f>MateriaisCampo[[#This Row],[TOT CRED]]</f>
        <v>88.021799999999999</v>
      </c>
      <c r="AH157" s="452">
        <f>IF(MateriaisCampo[[#This Row],[QUANTIDADE]]&lt;&gt;0,((MateriaisCampo[[#This Row],[TOT CUSTO]]/MateriaisCampo[[#This Row],[QUANTIDADE]])/MateriaisCampo[[#This Row],[MARK-UP]]),0)</f>
        <v>5.8242478033280802E-2</v>
      </c>
      <c r="AI157" s="453">
        <f>MateriaisCampo[[#This Row],[UNIT VENDA]]*MateriaisCampo[[#This Row],[QUANTIDADE]]</f>
        <v>110.4277383511004</v>
      </c>
      <c r="AJ157" s="453">
        <f>IFERROR(MateriaisCampo[[#This Row],[VENDA]]*(RESUMO!$F$55/RESUMO!$F$45),0)</f>
        <v>140.22569949346081</v>
      </c>
      <c r="AK157" s="453">
        <f>IFERROR(MateriaisCampo[[#This Row],[VENDA]]*(RESUMO!$F$58/RESUMO!$F$45),0)</f>
        <v>140.22569949346081</v>
      </c>
      <c r="AL157" s="454">
        <f>IF(MateriaisCampo[[#This Row],[FATURAMENTO]]="NORMAL",MateriaisCampo[[#This Row],[VENDA]],0)</f>
        <v>110.4277383511004</v>
      </c>
    </row>
    <row r="158" spans="1:38" x14ac:dyDescent="0.25">
      <c r="A158" s="113" t="s">
        <v>652</v>
      </c>
      <c r="B158" s="113" t="s">
        <v>652</v>
      </c>
      <c r="C158" s="113" t="s">
        <v>680</v>
      </c>
      <c r="D158" s="113" t="s">
        <v>725</v>
      </c>
      <c r="E158" s="434" t="s">
        <v>655</v>
      </c>
      <c r="F158" s="434">
        <f t="shared" si="0"/>
        <v>0</v>
      </c>
      <c r="G158" s="113"/>
      <c r="H158" s="435" t="s">
        <v>603</v>
      </c>
      <c r="I158" s="436">
        <f>SUM(I152,I150,I148,I146,I144,I142,I140,I138,I136,I134,I132,I130,I128,I126,I124,I122,I120)*4</f>
        <v>632</v>
      </c>
      <c r="J158" s="437">
        <v>1.06</v>
      </c>
      <c r="K158" s="438">
        <v>0.18</v>
      </c>
      <c r="L158" s="438">
        <v>0</v>
      </c>
      <c r="M158" s="458"/>
      <c r="N158" s="445">
        <f>MateriaisCampo[[#This Row],[UNIT S/IPI S/DESC]]-MateriaisCampo[[#This Row],[UNIT S/IPI S/DESC]]*MateriaisCampo[[#This Row],[% DESC]]</f>
        <v>1.06</v>
      </c>
      <c r="O158" s="441" t="s">
        <v>295</v>
      </c>
      <c r="P158" s="442" t="s">
        <v>155</v>
      </c>
      <c r="Q158" s="438">
        <v>1.6500000000000001E-2</v>
      </c>
      <c r="R158" s="438">
        <v>7.5999999999999998E-2</v>
      </c>
      <c r="S158" s="443">
        <f>MateriaisCampo[[#This Row],[UNIT S/ IP + DIF ICMS]]*MateriaisCampo[[#This Row],[QUANTIDADE]]</f>
        <v>669.92000000000007</v>
      </c>
      <c r="T158" s="444">
        <f>MateriaisCampo[[#This Row],[TOTAL S/ IPI]]+(MateriaisCampo[[#This Row],[TOTAL S/ IPI]]*MateriaisCampo[[#This Row],[IPI %]])</f>
        <v>669.92000000000007</v>
      </c>
      <c r="U158" s="445">
        <f>IF(AND(MateriaisCampo[[#This Row],[ICMS %]]&lt;&gt;18%,MateriaisCampo[[#This Row],[ORIGEM]]&lt;&gt;"SÃO PAULO"),((18%-MateriaisCampo[[#This Row],[ICMS %]])*MateriaisCampo[[#This Row],[UNIT S/ IPI C/DESC]]),0)</f>
        <v>0</v>
      </c>
      <c r="V158" s="437">
        <f>MateriaisCampo[[#This Row],[UNIT S/ IPI C/DESC]]*MateriaisCampo[[#This Row],[ICMS %]]</f>
        <v>0.1908</v>
      </c>
      <c r="W158" s="437">
        <f>MateriaisCampo[[#This Row],[ICMS $]]*MateriaisCampo[[#This Row],[QUANTIDADE]]</f>
        <v>120.5856</v>
      </c>
      <c r="X158" s="446">
        <f>MateriaisCampo[[#This Row],[UNIT S/ IPI C/DESC]]+MateriaisCampo[[#This Row],[DIFERENCIAL ICMS]]</f>
        <v>1.06</v>
      </c>
      <c r="Y158" s="446">
        <f>(MateriaisCampo[[#This Row],[PIS]]*MateriaisCampo[[#This Row],[UNIT S/ IPI C/DESC]])/2</f>
        <v>8.745000000000001E-3</v>
      </c>
      <c r="Z158" s="446">
        <f>(MateriaisCampo[[#This Row],[COFINS]]*MateriaisCampo[[#This Row],[UNIT S/ IPI C/DESC]])/2</f>
        <v>4.0280000000000003E-2</v>
      </c>
      <c r="AA158" s="445">
        <f>MateriaisCampo[[#This Row],[UNIT S/ IP + DIF ICMS]]+(MateriaisCampo[[#This Row],[UNIT S/ IP + DIF ICMS]]*MateriaisCampo[[#This Row],[IPI %]])</f>
        <v>1.06</v>
      </c>
      <c r="AB158" s="448">
        <f>_xlfn.XLOOKUP(MateriaisCampo[[#This Row],[FATURAMENTO]],BASE!$U$48:$U$50,BASE!$W$48:$W$50,0,0,1)</f>
        <v>0.79709863947533133</v>
      </c>
      <c r="AC158" s="510" t="str">
        <f>RESUMO!$E$56</f>
        <v>SIM</v>
      </c>
      <c r="AD158" s="449" t="str">
        <f>RESUMO!$E$57</f>
        <v>SIM</v>
      </c>
      <c r="AE15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0.8201750000000001</v>
      </c>
      <c r="AF158" s="450">
        <f>MateriaisCampo[[#This Row],[UNIT CRED]]*MateriaisCampo[[#This Row],[QUANTIDADE]]</f>
        <v>518.3506000000001</v>
      </c>
      <c r="AG158" s="451">
        <f>MateriaisCampo[[#This Row],[TOT CRED]]</f>
        <v>518.3506000000001</v>
      </c>
      <c r="AH158" s="452">
        <f>IF(MateriaisCampo[[#This Row],[QUANTIDADE]]&lt;&gt;0,((MateriaisCampo[[#This Row],[TOT CUSTO]]/MateriaisCampo[[#This Row],[QUANTIDADE]])/MateriaisCampo[[#This Row],[MARK-UP]]),0)</f>
        <v>1.0289504452546279</v>
      </c>
      <c r="AI158" s="453">
        <f>MateriaisCampo[[#This Row],[UNIT VENDA]]*MateriaisCampo[[#This Row],[QUANTIDADE]]</f>
        <v>650.29668140092485</v>
      </c>
      <c r="AJ158" s="453">
        <f>IFERROR(MateriaisCampo[[#This Row],[VENDA]]*(RESUMO!$F$55/RESUMO!$F$45),0)</f>
        <v>825.77356368371409</v>
      </c>
      <c r="AK158" s="453">
        <f>IFERROR(MateriaisCampo[[#This Row],[VENDA]]*(RESUMO!$F$58/RESUMO!$F$45),0)</f>
        <v>825.77356368371409</v>
      </c>
      <c r="AL158" s="454">
        <f>IF(MateriaisCampo[[#This Row],[FATURAMENTO]]="NORMAL",MateriaisCampo[[#This Row],[VENDA]],0)</f>
        <v>650.29668140092485</v>
      </c>
    </row>
    <row r="159" spans="1:38" ht="23" x14ac:dyDescent="0.25">
      <c r="A159" s="113" t="s">
        <v>652</v>
      </c>
      <c r="B159" s="113" t="s">
        <v>652</v>
      </c>
      <c r="C159" s="113" t="s">
        <v>681</v>
      </c>
      <c r="D159" s="113" t="s">
        <v>725</v>
      </c>
      <c r="E159" s="434" t="s">
        <v>655</v>
      </c>
      <c r="F159" s="434">
        <f t="shared" si="0"/>
        <v>0</v>
      </c>
      <c r="G159" s="113"/>
      <c r="H159" s="435" t="s">
        <v>603</v>
      </c>
      <c r="I159" s="436">
        <f>I158</f>
        <v>632</v>
      </c>
      <c r="J159" s="437">
        <v>0.25</v>
      </c>
      <c r="K159" s="438">
        <v>0.18</v>
      </c>
      <c r="L159" s="438">
        <v>6.5000000000000002E-2</v>
      </c>
      <c r="M159" s="458"/>
      <c r="N159" s="445">
        <f>MateriaisCampo[[#This Row],[UNIT S/IPI S/DESC]]-MateriaisCampo[[#This Row],[UNIT S/IPI S/DESC]]*MateriaisCampo[[#This Row],[% DESC]]</f>
        <v>0.25</v>
      </c>
      <c r="O159" s="441" t="s">
        <v>295</v>
      </c>
      <c r="P159" s="442" t="s">
        <v>155</v>
      </c>
      <c r="Q159" s="438">
        <v>1.6500000000000001E-2</v>
      </c>
      <c r="R159" s="438">
        <v>7.5999999999999998E-2</v>
      </c>
      <c r="S159" s="443">
        <f>MateriaisCampo[[#This Row],[UNIT S/ IP + DIF ICMS]]*MateriaisCampo[[#This Row],[QUANTIDADE]]</f>
        <v>158</v>
      </c>
      <c r="T159" s="444">
        <f>MateriaisCampo[[#This Row],[TOTAL S/ IPI]]+(MateriaisCampo[[#This Row],[TOTAL S/ IPI]]*MateriaisCampo[[#This Row],[IPI %]])</f>
        <v>168.27</v>
      </c>
      <c r="U159" s="445">
        <f>IF(AND(MateriaisCampo[[#This Row],[ICMS %]]&lt;&gt;18%,MateriaisCampo[[#This Row],[ORIGEM]]&lt;&gt;"SÃO PAULO"),((18%-MateriaisCampo[[#This Row],[ICMS %]])*MateriaisCampo[[#This Row],[UNIT S/ IPI C/DESC]]),0)</f>
        <v>0</v>
      </c>
      <c r="V159" s="437">
        <f>MateriaisCampo[[#This Row],[UNIT S/ IPI C/DESC]]*MateriaisCampo[[#This Row],[ICMS %]]</f>
        <v>4.4999999999999998E-2</v>
      </c>
      <c r="W159" s="437">
        <f>MateriaisCampo[[#This Row],[ICMS $]]*MateriaisCampo[[#This Row],[QUANTIDADE]]</f>
        <v>28.439999999999998</v>
      </c>
      <c r="X159" s="446">
        <f>MateriaisCampo[[#This Row],[UNIT S/ IPI C/DESC]]+MateriaisCampo[[#This Row],[DIFERENCIAL ICMS]]</f>
        <v>0.25</v>
      </c>
      <c r="Y159" s="446">
        <f>(MateriaisCampo[[#This Row],[PIS]]*MateriaisCampo[[#This Row],[UNIT S/ IPI C/DESC]])/2</f>
        <v>2.0625000000000001E-3</v>
      </c>
      <c r="Z159" s="446">
        <f>(MateriaisCampo[[#This Row],[COFINS]]*MateriaisCampo[[#This Row],[UNIT S/ IPI C/DESC]])/2</f>
        <v>9.4999999999999998E-3</v>
      </c>
      <c r="AA159" s="445">
        <f>MateriaisCampo[[#This Row],[UNIT S/ IP + DIF ICMS]]+(MateriaisCampo[[#This Row],[UNIT S/ IP + DIF ICMS]]*MateriaisCampo[[#This Row],[IPI %]])</f>
        <v>0.26624999999999999</v>
      </c>
      <c r="AB159" s="448">
        <f>_xlfn.XLOOKUP(MateriaisCampo[[#This Row],[FATURAMENTO]],BASE!$U$48:$U$50,BASE!$W$48:$W$50,0,0,1)</f>
        <v>0.79709863947533133</v>
      </c>
      <c r="AC159" s="510" t="str">
        <f>RESUMO!$E$56</f>
        <v>SIM</v>
      </c>
      <c r="AD159" s="449" t="str">
        <f>RESUMO!$E$57</f>
        <v>SIM</v>
      </c>
      <c r="AE15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0.19343750000000001</v>
      </c>
      <c r="AF159" s="450">
        <f>MateriaisCampo[[#This Row],[UNIT CRED]]*MateriaisCampo[[#This Row],[QUANTIDADE]]</f>
        <v>122.25250000000001</v>
      </c>
      <c r="AG159" s="451">
        <f>MateriaisCampo[[#This Row],[TOT CRED]]</f>
        <v>122.25250000000001</v>
      </c>
      <c r="AH159" s="452">
        <f>IF(MateriaisCampo[[#This Row],[QUANTIDADE]]&lt;&gt;0,((MateriaisCampo[[#This Row],[TOT CUSTO]]/MateriaisCampo[[#This Row],[QUANTIDADE]])/MateriaisCampo[[#This Row],[MARK-UP]]),0)</f>
        <v>0.24267699180533669</v>
      </c>
      <c r="AI159" s="453">
        <f>MateriaisCampo[[#This Row],[UNIT VENDA]]*MateriaisCampo[[#This Row],[QUANTIDADE]]</f>
        <v>153.37185882097279</v>
      </c>
      <c r="AJ159" s="453">
        <f>IFERROR(MateriaisCampo[[#This Row],[VENDA]]*(RESUMO!$F$55/RESUMO!$F$45),0)</f>
        <v>194.75791596314005</v>
      </c>
      <c r="AK159" s="453">
        <f>IFERROR(MateriaisCampo[[#This Row],[VENDA]]*(RESUMO!$F$58/RESUMO!$F$45),0)</f>
        <v>194.75791596314005</v>
      </c>
      <c r="AL159" s="454">
        <f>IF(MateriaisCampo[[#This Row],[FATURAMENTO]]="NORMAL",MateriaisCampo[[#This Row],[VENDA]],0)</f>
        <v>153.37185882097279</v>
      </c>
    </row>
    <row r="160" spans="1:38" x14ac:dyDescent="0.25">
      <c r="A160" s="113" t="s">
        <v>652</v>
      </c>
      <c r="B160" s="113" t="s">
        <v>652</v>
      </c>
      <c r="C160" s="113" t="s">
        <v>682</v>
      </c>
      <c r="D160" s="113" t="s">
        <v>725</v>
      </c>
      <c r="E160" s="434" t="s">
        <v>655</v>
      </c>
      <c r="F160" s="434">
        <f t="shared" si="0"/>
        <v>0</v>
      </c>
      <c r="G160" s="113"/>
      <c r="H160" s="435" t="s">
        <v>603</v>
      </c>
      <c r="I160" s="436">
        <f>I158</f>
        <v>632</v>
      </c>
      <c r="J160" s="437">
        <v>0.06</v>
      </c>
      <c r="K160" s="438">
        <v>0.18</v>
      </c>
      <c r="L160" s="438">
        <v>6.5000000000000002E-2</v>
      </c>
      <c r="M160" s="458"/>
      <c r="N160" s="445">
        <f>MateriaisCampo[[#This Row],[UNIT S/IPI S/DESC]]-MateriaisCampo[[#This Row],[UNIT S/IPI S/DESC]]*MateriaisCampo[[#This Row],[% DESC]]</f>
        <v>0.06</v>
      </c>
      <c r="O160" s="441" t="s">
        <v>295</v>
      </c>
      <c r="P160" s="442" t="s">
        <v>155</v>
      </c>
      <c r="Q160" s="438">
        <v>1.6500000000000001E-2</v>
      </c>
      <c r="R160" s="438">
        <v>7.5999999999999998E-2</v>
      </c>
      <c r="S160" s="443">
        <f>MateriaisCampo[[#This Row],[UNIT S/ IP + DIF ICMS]]*MateriaisCampo[[#This Row],[QUANTIDADE]]</f>
        <v>37.92</v>
      </c>
      <c r="T160" s="444">
        <f>MateriaisCampo[[#This Row],[TOTAL S/ IPI]]+(MateriaisCampo[[#This Row],[TOTAL S/ IPI]]*MateriaisCampo[[#This Row],[IPI %]])</f>
        <v>40.384799999999998</v>
      </c>
      <c r="U160" s="445">
        <f>IF(AND(MateriaisCampo[[#This Row],[ICMS %]]&lt;&gt;18%,MateriaisCampo[[#This Row],[ORIGEM]]&lt;&gt;"SÃO PAULO"),((18%-MateriaisCampo[[#This Row],[ICMS %]])*MateriaisCampo[[#This Row],[UNIT S/ IPI C/DESC]]),0)</f>
        <v>0</v>
      </c>
      <c r="V160" s="437">
        <f>MateriaisCampo[[#This Row],[UNIT S/ IPI C/DESC]]*MateriaisCampo[[#This Row],[ICMS %]]</f>
        <v>1.0799999999999999E-2</v>
      </c>
      <c r="W160" s="437">
        <f>MateriaisCampo[[#This Row],[ICMS $]]*MateriaisCampo[[#This Row],[QUANTIDADE]]</f>
        <v>6.8255999999999997</v>
      </c>
      <c r="X160" s="446">
        <f>MateriaisCampo[[#This Row],[UNIT S/ IPI C/DESC]]+MateriaisCampo[[#This Row],[DIFERENCIAL ICMS]]</f>
        <v>0.06</v>
      </c>
      <c r="Y160" s="446">
        <f>(MateriaisCampo[[#This Row],[PIS]]*MateriaisCampo[[#This Row],[UNIT S/ IPI C/DESC]])/2</f>
        <v>4.95E-4</v>
      </c>
      <c r="Z160" s="446">
        <f>(MateriaisCampo[[#This Row],[COFINS]]*MateriaisCampo[[#This Row],[UNIT S/ IPI C/DESC]])/2</f>
        <v>2.2799999999999999E-3</v>
      </c>
      <c r="AA160" s="445">
        <f>MateriaisCampo[[#This Row],[UNIT S/ IP + DIF ICMS]]+(MateriaisCampo[[#This Row],[UNIT S/ IP + DIF ICMS]]*MateriaisCampo[[#This Row],[IPI %]])</f>
        <v>6.3899999999999998E-2</v>
      </c>
      <c r="AB160" s="448">
        <f>_xlfn.XLOOKUP(MateriaisCampo[[#This Row],[FATURAMENTO]],BASE!$U$48:$U$50,BASE!$W$48:$W$50,0,0,1)</f>
        <v>0.79709863947533133</v>
      </c>
      <c r="AC160" s="510" t="str">
        <f>RESUMO!$E$56</f>
        <v>SIM</v>
      </c>
      <c r="AD160" s="449" t="str">
        <f>RESUMO!$E$57</f>
        <v>SIM</v>
      </c>
      <c r="AE16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4.6425000000000001E-2</v>
      </c>
      <c r="AF160" s="450">
        <f>MateriaisCampo[[#This Row],[UNIT CRED]]*MateriaisCampo[[#This Row],[QUANTIDADE]]</f>
        <v>29.340600000000002</v>
      </c>
      <c r="AG160" s="451">
        <f>MateriaisCampo[[#This Row],[TOT CRED]]</f>
        <v>29.340600000000002</v>
      </c>
      <c r="AH160" s="452">
        <f>IF(MateriaisCampo[[#This Row],[QUANTIDADE]]&lt;&gt;0,((MateriaisCampo[[#This Row],[TOT CUSTO]]/MateriaisCampo[[#This Row],[QUANTIDADE]])/MateriaisCampo[[#This Row],[MARK-UP]]),0)</f>
        <v>5.8242478033280802E-2</v>
      </c>
      <c r="AI160" s="453">
        <f>MateriaisCampo[[#This Row],[UNIT VENDA]]*MateriaisCampo[[#This Row],[QUANTIDADE]]</f>
        <v>36.809246117033467</v>
      </c>
      <c r="AJ160" s="453">
        <f>IFERROR(MateriaisCampo[[#This Row],[VENDA]]*(RESUMO!$F$55/RESUMO!$F$45),0)</f>
        <v>46.74189983115361</v>
      </c>
      <c r="AK160" s="453">
        <f>IFERROR(MateriaisCampo[[#This Row],[VENDA]]*(RESUMO!$F$58/RESUMO!$F$45),0)</f>
        <v>46.74189983115361</v>
      </c>
      <c r="AL160" s="454">
        <f>IF(MateriaisCampo[[#This Row],[FATURAMENTO]]="NORMAL",MateriaisCampo[[#This Row],[VENDA]],0)</f>
        <v>36.809246117033467</v>
      </c>
    </row>
    <row r="161" spans="1:38" x14ac:dyDescent="0.25">
      <c r="A161" s="113" t="s">
        <v>652</v>
      </c>
      <c r="B161" s="113" t="s">
        <v>652</v>
      </c>
      <c r="C161" s="113" t="s">
        <v>683</v>
      </c>
      <c r="D161" s="113" t="s">
        <v>725</v>
      </c>
      <c r="E161" s="434" t="s">
        <v>655</v>
      </c>
      <c r="F161" s="434">
        <f t="shared" si="0"/>
        <v>0</v>
      </c>
      <c r="G161" s="113"/>
      <c r="H161" s="435" t="s">
        <v>603</v>
      </c>
      <c r="I161" s="436">
        <f>I158</f>
        <v>632</v>
      </c>
      <c r="J161" s="437">
        <v>0.06</v>
      </c>
      <c r="K161" s="438">
        <v>0.18</v>
      </c>
      <c r="L161" s="438">
        <v>6.5000000000000002E-2</v>
      </c>
      <c r="M161" s="458"/>
      <c r="N161" s="445">
        <f>MateriaisCampo[[#This Row],[UNIT S/IPI S/DESC]]-MateriaisCampo[[#This Row],[UNIT S/IPI S/DESC]]*MateriaisCampo[[#This Row],[% DESC]]</f>
        <v>0.06</v>
      </c>
      <c r="O161" s="441" t="s">
        <v>295</v>
      </c>
      <c r="P161" s="442" t="s">
        <v>155</v>
      </c>
      <c r="Q161" s="438">
        <v>1.6500000000000001E-2</v>
      </c>
      <c r="R161" s="438">
        <v>7.5999999999999998E-2</v>
      </c>
      <c r="S161" s="443">
        <f>MateriaisCampo[[#This Row],[UNIT S/ IP + DIF ICMS]]*MateriaisCampo[[#This Row],[QUANTIDADE]]</f>
        <v>37.92</v>
      </c>
      <c r="T161" s="444">
        <f>MateriaisCampo[[#This Row],[TOTAL S/ IPI]]+(MateriaisCampo[[#This Row],[TOTAL S/ IPI]]*MateriaisCampo[[#This Row],[IPI %]])</f>
        <v>40.384799999999998</v>
      </c>
      <c r="U161" s="445">
        <f>IF(AND(MateriaisCampo[[#This Row],[ICMS %]]&lt;&gt;18%,MateriaisCampo[[#This Row],[ORIGEM]]&lt;&gt;"SÃO PAULO"),((18%-MateriaisCampo[[#This Row],[ICMS %]])*MateriaisCampo[[#This Row],[UNIT S/ IPI C/DESC]]),0)</f>
        <v>0</v>
      </c>
      <c r="V161" s="437">
        <f>MateriaisCampo[[#This Row],[UNIT S/ IPI C/DESC]]*MateriaisCampo[[#This Row],[ICMS %]]</f>
        <v>1.0799999999999999E-2</v>
      </c>
      <c r="W161" s="437">
        <f>MateriaisCampo[[#This Row],[ICMS $]]*MateriaisCampo[[#This Row],[QUANTIDADE]]</f>
        <v>6.8255999999999997</v>
      </c>
      <c r="X161" s="446">
        <f>MateriaisCampo[[#This Row],[UNIT S/ IPI C/DESC]]+MateriaisCampo[[#This Row],[DIFERENCIAL ICMS]]</f>
        <v>0.06</v>
      </c>
      <c r="Y161" s="446">
        <f>(MateriaisCampo[[#This Row],[PIS]]*MateriaisCampo[[#This Row],[UNIT S/ IPI C/DESC]])/2</f>
        <v>4.95E-4</v>
      </c>
      <c r="Z161" s="446">
        <f>(MateriaisCampo[[#This Row],[COFINS]]*MateriaisCampo[[#This Row],[UNIT S/ IPI C/DESC]])/2</f>
        <v>2.2799999999999999E-3</v>
      </c>
      <c r="AA161" s="445">
        <f>MateriaisCampo[[#This Row],[UNIT S/ IP + DIF ICMS]]+(MateriaisCampo[[#This Row],[UNIT S/ IP + DIF ICMS]]*MateriaisCampo[[#This Row],[IPI %]])</f>
        <v>6.3899999999999998E-2</v>
      </c>
      <c r="AB161" s="448">
        <f>_xlfn.XLOOKUP(MateriaisCampo[[#This Row],[FATURAMENTO]],BASE!$U$48:$U$50,BASE!$W$48:$W$50,0,0,1)</f>
        <v>0.79709863947533133</v>
      </c>
      <c r="AC161" s="510" t="str">
        <f>RESUMO!$E$56</f>
        <v>SIM</v>
      </c>
      <c r="AD161" s="449" t="str">
        <f>RESUMO!$E$57</f>
        <v>SIM</v>
      </c>
      <c r="AE16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4.6425000000000001E-2</v>
      </c>
      <c r="AF161" s="450">
        <f>MateriaisCampo[[#This Row],[UNIT CRED]]*MateriaisCampo[[#This Row],[QUANTIDADE]]</f>
        <v>29.340600000000002</v>
      </c>
      <c r="AG161" s="451">
        <f>MateriaisCampo[[#This Row],[TOT CRED]]</f>
        <v>29.340600000000002</v>
      </c>
      <c r="AH161" s="452">
        <f>IF(MateriaisCampo[[#This Row],[QUANTIDADE]]&lt;&gt;0,((MateriaisCampo[[#This Row],[TOT CUSTO]]/MateriaisCampo[[#This Row],[QUANTIDADE]])/MateriaisCampo[[#This Row],[MARK-UP]]),0)</f>
        <v>5.8242478033280802E-2</v>
      </c>
      <c r="AI161" s="453">
        <f>MateriaisCampo[[#This Row],[UNIT VENDA]]*MateriaisCampo[[#This Row],[QUANTIDADE]]</f>
        <v>36.809246117033467</v>
      </c>
      <c r="AJ161" s="453">
        <f>IFERROR(MateriaisCampo[[#This Row],[VENDA]]*(RESUMO!$F$55/RESUMO!$F$45),0)</f>
        <v>46.74189983115361</v>
      </c>
      <c r="AK161" s="453">
        <f>IFERROR(MateriaisCampo[[#This Row],[VENDA]]*(RESUMO!$F$58/RESUMO!$F$45),0)</f>
        <v>46.74189983115361</v>
      </c>
      <c r="AL161" s="454">
        <f>IF(MateriaisCampo[[#This Row],[FATURAMENTO]]="NORMAL",MateriaisCampo[[#This Row],[VENDA]],0)</f>
        <v>36.809246117033467</v>
      </c>
    </row>
    <row r="162" spans="1:38" x14ac:dyDescent="0.25">
      <c r="A162" s="113" t="s">
        <v>652</v>
      </c>
      <c r="B162" s="113" t="s">
        <v>652</v>
      </c>
      <c r="C162" s="113" t="s">
        <v>684</v>
      </c>
      <c r="D162" s="113" t="s">
        <v>725</v>
      </c>
      <c r="E162" s="434" t="s">
        <v>655</v>
      </c>
      <c r="F162" s="434">
        <f t="shared" si="0"/>
        <v>0</v>
      </c>
      <c r="G162" s="113"/>
      <c r="H162" s="435" t="s">
        <v>603</v>
      </c>
      <c r="I162" s="436">
        <f>I158</f>
        <v>632</v>
      </c>
      <c r="J162" s="437">
        <v>0.06</v>
      </c>
      <c r="K162" s="438">
        <v>0.18</v>
      </c>
      <c r="L162" s="438">
        <v>6.5000000000000002E-2</v>
      </c>
      <c r="M162" s="458"/>
      <c r="N162" s="445">
        <f>MateriaisCampo[[#This Row],[UNIT S/IPI S/DESC]]-MateriaisCampo[[#This Row],[UNIT S/IPI S/DESC]]*MateriaisCampo[[#This Row],[% DESC]]</f>
        <v>0.06</v>
      </c>
      <c r="O162" s="441" t="s">
        <v>295</v>
      </c>
      <c r="P162" s="442" t="s">
        <v>155</v>
      </c>
      <c r="Q162" s="438">
        <v>1.6500000000000001E-2</v>
      </c>
      <c r="R162" s="438">
        <v>7.5999999999999998E-2</v>
      </c>
      <c r="S162" s="443">
        <f>MateriaisCampo[[#This Row],[UNIT S/ IP + DIF ICMS]]*MateriaisCampo[[#This Row],[QUANTIDADE]]</f>
        <v>37.92</v>
      </c>
      <c r="T162" s="444">
        <f>MateriaisCampo[[#This Row],[TOTAL S/ IPI]]+(MateriaisCampo[[#This Row],[TOTAL S/ IPI]]*MateriaisCampo[[#This Row],[IPI %]])</f>
        <v>40.384799999999998</v>
      </c>
      <c r="U162" s="445">
        <f>IF(AND(MateriaisCampo[[#This Row],[ICMS %]]&lt;&gt;18%,MateriaisCampo[[#This Row],[ORIGEM]]&lt;&gt;"SÃO PAULO"),((18%-MateriaisCampo[[#This Row],[ICMS %]])*MateriaisCampo[[#This Row],[UNIT S/ IPI C/DESC]]),0)</f>
        <v>0</v>
      </c>
      <c r="V162" s="437">
        <f>MateriaisCampo[[#This Row],[UNIT S/ IPI C/DESC]]*MateriaisCampo[[#This Row],[ICMS %]]</f>
        <v>1.0799999999999999E-2</v>
      </c>
      <c r="W162" s="437">
        <f>MateriaisCampo[[#This Row],[ICMS $]]*MateriaisCampo[[#This Row],[QUANTIDADE]]</f>
        <v>6.8255999999999997</v>
      </c>
      <c r="X162" s="446">
        <f>MateriaisCampo[[#This Row],[UNIT S/ IPI C/DESC]]+MateriaisCampo[[#This Row],[DIFERENCIAL ICMS]]</f>
        <v>0.06</v>
      </c>
      <c r="Y162" s="446">
        <f>(MateriaisCampo[[#This Row],[PIS]]*MateriaisCampo[[#This Row],[UNIT S/ IPI C/DESC]])/2</f>
        <v>4.95E-4</v>
      </c>
      <c r="Z162" s="446">
        <f>(MateriaisCampo[[#This Row],[COFINS]]*MateriaisCampo[[#This Row],[UNIT S/ IPI C/DESC]])/2</f>
        <v>2.2799999999999999E-3</v>
      </c>
      <c r="AA162" s="445">
        <f>MateriaisCampo[[#This Row],[UNIT S/ IP + DIF ICMS]]+(MateriaisCampo[[#This Row],[UNIT S/ IP + DIF ICMS]]*MateriaisCampo[[#This Row],[IPI %]])</f>
        <v>6.3899999999999998E-2</v>
      </c>
      <c r="AB162" s="448">
        <f>_xlfn.XLOOKUP(MateriaisCampo[[#This Row],[FATURAMENTO]],BASE!$U$48:$U$50,BASE!$W$48:$W$50,0,0,1)</f>
        <v>0.79709863947533133</v>
      </c>
      <c r="AC162" s="510" t="str">
        <f>RESUMO!$E$56</f>
        <v>SIM</v>
      </c>
      <c r="AD162" s="449" t="str">
        <f>RESUMO!$E$57</f>
        <v>SIM</v>
      </c>
      <c r="AE16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4.6425000000000001E-2</v>
      </c>
      <c r="AF162" s="450">
        <f>MateriaisCampo[[#This Row],[UNIT CRED]]*MateriaisCampo[[#This Row],[QUANTIDADE]]</f>
        <v>29.340600000000002</v>
      </c>
      <c r="AG162" s="451">
        <f>MateriaisCampo[[#This Row],[TOT CRED]]</f>
        <v>29.340600000000002</v>
      </c>
      <c r="AH162" s="452">
        <f>IF(MateriaisCampo[[#This Row],[QUANTIDADE]]&lt;&gt;0,((MateriaisCampo[[#This Row],[TOT CUSTO]]/MateriaisCampo[[#This Row],[QUANTIDADE]])/MateriaisCampo[[#This Row],[MARK-UP]]),0)</f>
        <v>5.8242478033280802E-2</v>
      </c>
      <c r="AI162" s="453">
        <f>MateriaisCampo[[#This Row],[UNIT VENDA]]*MateriaisCampo[[#This Row],[QUANTIDADE]]</f>
        <v>36.809246117033467</v>
      </c>
      <c r="AJ162" s="453">
        <f>IFERROR(MateriaisCampo[[#This Row],[VENDA]]*(RESUMO!$F$55/RESUMO!$F$45),0)</f>
        <v>46.74189983115361</v>
      </c>
      <c r="AK162" s="453">
        <f>IFERROR(MateriaisCampo[[#This Row],[VENDA]]*(RESUMO!$F$58/RESUMO!$F$45),0)</f>
        <v>46.74189983115361</v>
      </c>
      <c r="AL162" s="454">
        <f>IF(MateriaisCampo[[#This Row],[FATURAMENTO]]="NORMAL",MateriaisCampo[[#This Row],[VENDA]],0)</f>
        <v>36.809246117033467</v>
      </c>
    </row>
    <row r="163" spans="1:38" ht="14.5" customHeight="1" x14ac:dyDescent="0.25">
      <c r="A163" s="113"/>
      <c r="B163" s="113"/>
      <c r="C163" s="113"/>
      <c r="D163" s="113"/>
      <c r="E163" s="434"/>
      <c r="F163" s="434">
        <f t="shared" si="0"/>
        <v>0</v>
      </c>
      <c r="G163" s="113"/>
      <c r="H163" s="435"/>
      <c r="I163" s="436"/>
      <c r="J163" s="437"/>
      <c r="K163" s="438"/>
      <c r="L163" s="438"/>
      <c r="M163" s="458"/>
      <c r="N163" s="445">
        <f>MateriaisCampo[[#This Row],[UNIT S/IPI S/DESC]]-MateriaisCampo[[#This Row],[UNIT S/IPI S/DESC]]*MateriaisCampo[[#This Row],[% DESC]]</f>
        <v>0</v>
      </c>
      <c r="O163" s="441" t="s">
        <v>295</v>
      </c>
      <c r="P163" s="442" t="s">
        <v>155</v>
      </c>
      <c r="Q163" s="438">
        <v>1.6500000000000001E-2</v>
      </c>
      <c r="R163" s="438">
        <v>7.5999999999999998E-2</v>
      </c>
      <c r="S163" s="443">
        <f>MateriaisCampo[[#This Row],[UNIT S/ IP + DIF ICMS]]*MateriaisCampo[[#This Row],[QUANTIDADE]]</f>
        <v>0</v>
      </c>
      <c r="T163" s="444">
        <f>MateriaisCampo[[#This Row],[TOTAL S/ IPI]]+(MateriaisCampo[[#This Row],[TOTAL S/ IPI]]*MateriaisCampo[[#This Row],[IPI %]])</f>
        <v>0</v>
      </c>
      <c r="U163" s="445">
        <f>IF(AND(MateriaisCampo[[#This Row],[ICMS %]]&lt;&gt;18%,MateriaisCampo[[#This Row],[ORIGEM]]&lt;&gt;"SÃO PAULO"),((18%-MateriaisCampo[[#This Row],[ICMS %]])*MateriaisCampo[[#This Row],[UNIT S/ IPI C/DESC]]),0)</f>
        <v>0</v>
      </c>
      <c r="V163" s="437">
        <f>MateriaisCampo[[#This Row],[UNIT S/ IPI C/DESC]]*MateriaisCampo[[#This Row],[ICMS %]]</f>
        <v>0</v>
      </c>
      <c r="W163" s="437">
        <f>MateriaisCampo[[#This Row],[ICMS $]]*MateriaisCampo[[#This Row],[QUANTIDADE]]</f>
        <v>0</v>
      </c>
      <c r="X163" s="446">
        <f>MateriaisCampo[[#This Row],[UNIT S/ IPI C/DESC]]+MateriaisCampo[[#This Row],[DIFERENCIAL ICMS]]</f>
        <v>0</v>
      </c>
      <c r="Y163" s="446">
        <f>(MateriaisCampo[[#This Row],[PIS]]*MateriaisCampo[[#This Row],[UNIT S/ IPI C/DESC]])/2</f>
        <v>0</v>
      </c>
      <c r="Z163" s="446">
        <f>(MateriaisCampo[[#This Row],[COFINS]]*MateriaisCampo[[#This Row],[UNIT S/ IPI C/DESC]])/2</f>
        <v>0</v>
      </c>
      <c r="AA163" s="445">
        <f>MateriaisCampo[[#This Row],[UNIT S/ IP + DIF ICMS]]+(MateriaisCampo[[#This Row],[UNIT S/ IP + DIF ICMS]]*MateriaisCampo[[#This Row],[IPI %]])</f>
        <v>0</v>
      </c>
      <c r="AB163" s="448">
        <f>_xlfn.XLOOKUP(MateriaisCampo[[#This Row],[FATURAMENTO]],BASE!$U$48:$U$50,BASE!$W$48:$W$50,0,0,1)</f>
        <v>0.79709863947533133</v>
      </c>
      <c r="AC163" s="510" t="str">
        <f>RESUMO!$E$56</f>
        <v>SIM</v>
      </c>
      <c r="AD163" s="449" t="str">
        <f>RESUMO!$E$57</f>
        <v>SIM</v>
      </c>
      <c r="AE16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63" s="450">
        <f>MateriaisCampo[[#This Row],[UNIT CRED]]*MateriaisCampo[[#This Row],[QUANTIDADE]]</f>
        <v>0</v>
      </c>
      <c r="AG163" s="451">
        <f>MateriaisCampo[[#This Row],[TOT CRED]]</f>
        <v>0</v>
      </c>
      <c r="AH163" s="452">
        <f>IF(MateriaisCampo[[#This Row],[QUANTIDADE]]&lt;&gt;0,((MateriaisCampo[[#This Row],[TOT CUSTO]]/MateriaisCampo[[#This Row],[QUANTIDADE]])/MateriaisCampo[[#This Row],[MARK-UP]]),0)</f>
        <v>0</v>
      </c>
      <c r="AI163" s="453">
        <f>MateriaisCampo[[#This Row],[UNIT VENDA]]*MateriaisCampo[[#This Row],[QUANTIDADE]]</f>
        <v>0</v>
      </c>
      <c r="AJ163" s="453">
        <f>IFERROR(MateriaisCampo[[#This Row],[VENDA]]*(RESUMO!$F$55/RESUMO!$F$45),0)</f>
        <v>0</v>
      </c>
      <c r="AK163" s="453">
        <f>IFERROR(MateriaisCampo[[#This Row],[VENDA]]*(RESUMO!$F$58/RESUMO!$F$45),0)</f>
        <v>0</v>
      </c>
      <c r="AL163" s="454">
        <f>IF(MateriaisCampo[[#This Row],[FATURAMENTO]]="NORMAL",MateriaisCampo[[#This Row],[VENDA]],0)</f>
        <v>0</v>
      </c>
    </row>
    <row r="164" spans="1:38" x14ac:dyDescent="0.25">
      <c r="A164" s="113"/>
      <c r="B164" s="113"/>
      <c r="C164" s="113"/>
      <c r="D164" s="113"/>
      <c r="E164" s="434"/>
      <c r="F164" s="434">
        <f t="shared" si="0"/>
        <v>0</v>
      </c>
      <c r="G164" s="113"/>
      <c r="H164" s="435"/>
      <c r="I164" s="436"/>
      <c r="J164" s="437"/>
      <c r="K164" s="438"/>
      <c r="L164" s="438"/>
      <c r="M164" s="458"/>
      <c r="N164" s="445">
        <f>MateriaisCampo[[#This Row],[UNIT S/IPI S/DESC]]-MateriaisCampo[[#This Row],[UNIT S/IPI S/DESC]]*MateriaisCampo[[#This Row],[% DESC]]</f>
        <v>0</v>
      </c>
      <c r="O164" s="441" t="s">
        <v>295</v>
      </c>
      <c r="P164" s="442" t="s">
        <v>155</v>
      </c>
      <c r="Q164" s="438">
        <v>1.6500000000000001E-2</v>
      </c>
      <c r="R164" s="438">
        <v>7.5999999999999998E-2</v>
      </c>
      <c r="S164" s="443">
        <f>MateriaisCampo[[#This Row],[UNIT S/ IP + DIF ICMS]]*MateriaisCampo[[#This Row],[QUANTIDADE]]</f>
        <v>0</v>
      </c>
      <c r="T164" s="444">
        <f>MateriaisCampo[[#This Row],[TOTAL S/ IPI]]+(MateriaisCampo[[#This Row],[TOTAL S/ IPI]]*MateriaisCampo[[#This Row],[IPI %]])</f>
        <v>0</v>
      </c>
      <c r="U164" s="445">
        <f>IF(AND(MateriaisCampo[[#This Row],[ICMS %]]&lt;&gt;18%,MateriaisCampo[[#This Row],[ORIGEM]]&lt;&gt;"SÃO PAULO"),((18%-MateriaisCampo[[#This Row],[ICMS %]])*MateriaisCampo[[#This Row],[UNIT S/ IPI C/DESC]]),0)</f>
        <v>0</v>
      </c>
      <c r="V164" s="437">
        <f>MateriaisCampo[[#This Row],[UNIT S/ IPI C/DESC]]*MateriaisCampo[[#This Row],[ICMS %]]</f>
        <v>0</v>
      </c>
      <c r="W164" s="437">
        <f>MateriaisCampo[[#This Row],[ICMS $]]*MateriaisCampo[[#This Row],[QUANTIDADE]]</f>
        <v>0</v>
      </c>
      <c r="X164" s="446">
        <f>MateriaisCampo[[#This Row],[UNIT S/ IPI C/DESC]]+MateriaisCampo[[#This Row],[DIFERENCIAL ICMS]]</f>
        <v>0</v>
      </c>
      <c r="Y164" s="446">
        <f>(MateriaisCampo[[#This Row],[PIS]]*MateriaisCampo[[#This Row],[UNIT S/ IPI C/DESC]])/2</f>
        <v>0</v>
      </c>
      <c r="Z164" s="446">
        <f>(MateriaisCampo[[#This Row],[COFINS]]*MateriaisCampo[[#This Row],[UNIT S/ IPI C/DESC]])/2</f>
        <v>0</v>
      </c>
      <c r="AA164" s="445">
        <f>MateriaisCampo[[#This Row],[UNIT S/ IP + DIF ICMS]]+(MateriaisCampo[[#This Row],[UNIT S/ IP + DIF ICMS]]*MateriaisCampo[[#This Row],[IPI %]])</f>
        <v>0</v>
      </c>
      <c r="AB164" s="448">
        <f>_xlfn.XLOOKUP(MateriaisCampo[[#This Row],[FATURAMENTO]],BASE!$U$48:$U$50,BASE!$W$48:$W$50,0,0,1)</f>
        <v>0.79709863947533133</v>
      </c>
      <c r="AC164" s="510" t="str">
        <f>RESUMO!$E$56</f>
        <v>SIM</v>
      </c>
      <c r="AD164" s="449" t="str">
        <f>RESUMO!$E$57</f>
        <v>SIM</v>
      </c>
      <c r="AE16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64" s="450">
        <f>MateriaisCampo[[#This Row],[UNIT CRED]]*MateriaisCampo[[#This Row],[QUANTIDADE]]</f>
        <v>0</v>
      </c>
      <c r="AG164" s="451">
        <f>MateriaisCampo[[#This Row],[TOT CRED]]</f>
        <v>0</v>
      </c>
      <c r="AH164" s="452">
        <f>IF(MateriaisCampo[[#This Row],[QUANTIDADE]]&lt;&gt;0,((MateriaisCampo[[#This Row],[TOT CUSTO]]/MateriaisCampo[[#This Row],[QUANTIDADE]])/MateriaisCampo[[#This Row],[MARK-UP]]),0)</f>
        <v>0</v>
      </c>
      <c r="AI164" s="453">
        <f>MateriaisCampo[[#This Row],[UNIT VENDA]]*MateriaisCampo[[#This Row],[QUANTIDADE]]</f>
        <v>0</v>
      </c>
      <c r="AJ164" s="453">
        <f>IFERROR(MateriaisCampo[[#This Row],[VENDA]]*(RESUMO!$F$55/RESUMO!$F$45),0)</f>
        <v>0</v>
      </c>
      <c r="AK164" s="453">
        <f>IFERROR(MateriaisCampo[[#This Row],[VENDA]]*(RESUMO!$F$58/RESUMO!$F$45),0)</f>
        <v>0</v>
      </c>
      <c r="AL164" s="454">
        <f>IF(MateriaisCampo[[#This Row],[FATURAMENTO]]="NORMAL",MateriaisCampo[[#This Row],[VENDA]],0)</f>
        <v>0</v>
      </c>
    </row>
    <row r="165" spans="1:38" ht="14.5" customHeight="1" x14ac:dyDescent="0.25">
      <c r="A165" s="484" t="s">
        <v>652</v>
      </c>
      <c r="B165" s="484" t="s">
        <v>652</v>
      </c>
      <c r="C165" s="484" t="s">
        <v>728</v>
      </c>
      <c r="D165" s="484"/>
      <c r="E165" s="485"/>
      <c r="F165" s="485">
        <v>0</v>
      </c>
      <c r="G165" s="484"/>
      <c r="H165" s="486"/>
      <c r="I165" s="487"/>
      <c r="J165" s="488"/>
      <c r="K165" s="438"/>
      <c r="L165" s="438"/>
      <c r="M165" s="458"/>
      <c r="N165" s="445">
        <f>MateriaisCampo[[#This Row],[UNIT S/IPI S/DESC]]-MateriaisCampo[[#This Row],[UNIT S/IPI S/DESC]]*MateriaisCampo[[#This Row],[% DESC]]</f>
        <v>0</v>
      </c>
      <c r="O165" s="441" t="s">
        <v>295</v>
      </c>
      <c r="P165" s="442" t="s">
        <v>155</v>
      </c>
      <c r="Q165" s="438">
        <v>1.6500000000000001E-2</v>
      </c>
      <c r="R165" s="438">
        <v>7.5999999999999998E-2</v>
      </c>
      <c r="S165" s="443">
        <f>MateriaisCampo[[#This Row],[UNIT S/ IP + DIF ICMS]]*MateriaisCampo[[#This Row],[QUANTIDADE]]</f>
        <v>0</v>
      </c>
      <c r="T165" s="444">
        <f>MateriaisCampo[[#This Row],[TOTAL S/ IPI]]+(MateriaisCampo[[#This Row],[TOTAL S/ IPI]]*MateriaisCampo[[#This Row],[IPI %]])</f>
        <v>0</v>
      </c>
      <c r="U165" s="445">
        <f>IF(AND(MateriaisCampo[[#This Row],[ICMS %]]&lt;&gt;18%,MateriaisCampo[[#This Row],[ORIGEM]]&lt;&gt;"SÃO PAULO"),((18%-MateriaisCampo[[#This Row],[ICMS %]])*MateriaisCampo[[#This Row],[UNIT S/ IPI C/DESC]]),0)</f>
        <v>0</v>
      </c>
      <c r="V165" s="437">
        <f>MateriaisCampo[[#This Row],[UNIT S/ IPI C/DESC]]*MateriaisCampo[[#This Row],[ICMS %]]</f>
        <v>0</v>
      </c>
      <c r="W165" s="437">
        <f>MateriaisCampo[[#This Row],[ICMS $]]*MateriaisCampo[[#This Row],[QUANTIDADE]]</f>
        <v>0</v>
      </c>
      <c r="X165" s="446">
        <f>MateriaisCampo[[#This Row],[UNIT S/ IPI C/DESC]]+MateriaisCampo[[#This Row],[DIFERENCIAL ICMS]]</f>
        <v>0</v>
      </c>
      <c r="Y165" s="446">
        <f>(MateriaisCampo[[#This Row],[PIS]]*MateriaisCampo[[#This Row],[UNIT S/ IPI C/DESC]])/2</f>
        <v>0</v>
      </c>
      <c r="Z165" s="446">
        <f>(MateriaisCampo[[#This Row],[COFINS]]*MateriaisCampo[[#This Row],[UNIT S/ IPI C/DESC]])/2</f>
        <v>0</v>
      </c>
      <c r="AA165" s="445">
        <f>MateriaisCampo[[#This Row],[UNIT S/ IP + DIF ICMS]]+(MateriaisCampo[[#This Row],[UNIT S/ IP + DIF ICMS]]*MateriaisCampo[[#This Row],[IPI %]])</f>
        <v>0</v>
      </c>
      <c r="AB165" s="448">
        <f>_xlfn.XLOOKUP(MateriaisCampo[[#This Row],[FATURAMENTO]],BASE!$U$48:$U$50,BASE!$W$48:$W$50,0,0,1)</f>
        <v>0.79709863947533133</v>
      </c>
      <c r="AC165" s="510" t="str">
        <f>RESUMO!$E$56</f>
        <v>SIM</v>
      </c>
      <c r="AD165" s="449" t="str">
        <f>RESUMO!$E$57</f>
        <v>SIM</v>
      </c>
      <c r="AE16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65" s="450">
        <f>MateriaisCampo[[#This Row],[UNIT CRED]]*MateriaisCampo[[#This Row],[QUANTIDADE]]</f>
        <v>0</v>
      </c>
      <c r="AG165" s="451">
        <f>MateriaisCampo[[#This Row],[TOT CRED]]</f>
        <v>0</v>
      </c>
      <c r="AH165" s="452">
        <f>IF(MateriaisCampo[[#This Row],[QUANTIDADE]]&lt;&gt;0,((MateriaisCampo[[#This Row],[TOT CUSTO]]/MateriaisCampo[[#This Row],[QUANTIDADE]])/MateriaisCampo[[#This Row],[MARK-UP]]),0)</f>
        <v>0</v>
      </c>
      <c r="AI165" s="453">
        <f>MateriaisCampo[[#This Row],[UNIT VENDA]]*MateriaisCampo[[#This Row],[QUANTIDADE]]</f>
        <v>0</v>
      </c>
      <c r="AJ165" s="453">
        <f>IFERROR(MateriaisCampo[[#This Row],[VENDA]]*(RESUMO!$F$55/RESUMO!$F$45),0)</f>
        <v>0</v>
      </c>
      <c r="AK165" s="453">
        <f>IFERROR(MateriaisCampo[[#This Row],[VENDA]]*(RESUMO!$F$58/RESUMO!$F$45),0)</f>
        <v>0</v>
      </c>
      <c r="AL165" s="454">
        <f>IF(MateriaisCampo[[#This Row],[FATURAMENTO]]="NORMAL",MateriaisCampo[[#This Row],[VENDA]],0)</f>
        <v>0</v>
      </c>
    </row>
    <row r="166" spans="1:38" x14ac:dyDescent="0.25">
      <c r="A166" s="113" t="s">
        <v>652</v>
      </c>
      <c r="B166" s="113" t="s">
        <v>652</v>
      </c>
      <c r="C166" s="113" t="s">
        <v>731</v>
      </c>
      <c r="D166" s="113" t="s">
        <v>726</v>
      </c>
      <c r="E166" s="434" t="s">
        <v>655</v>
      </c>
      <c r="F166" s="434">
        <f t="shared" si="0"/>
        <v>0</v>
      </c>
      <c r="G166" s="113"/>
      <c r="H166" s="435" t="s">
        <v>603</v>
      </c>
      <c r="I166" s="436">
        <v>22</v>
      </c>
      <c r="J166" s="437">
        <f>0.85*69</f>
        <v>58.65</v>
      </c>
      <c r="K166" s="438">
        <v>0.18</v>
      </c>
      <c r="L166" s="438">
        <v>0</v>
      </c>
      <c r="M166" s="458"/>
      <c r="N166" s="445">
        <f>MateriaisCampo[[#This Row],[UNIT S/IPI S/DESC]]-MateriaisCampo[[#This Row],[UNIT S/IPI S/DESC]]*MateriaisCampo[[#This Row],[% DESC]]</f>
        <v>58.65</v>
      </c>
      <c r="O166" s="441" t="s">
        <v>295</v>
      </c>
      <c r="P166" s="442" t="s">
        <v>155</v>
      </c>
      <c r="Q166" s="438">
        <v>1.6500000000000001E-2</v>
      </c>
      <c r="R166" s="438">
        <v>7.5999999999999998E-2</v>
      </c>
      <c r="S166" s="443">
        <f>MateriaisCampo[[#This Row],[UNIT S/ IP + DIF ICMS]]*MateriaisCampo[[#This Row],[QUANTIDADE]]</f>
        <v>1290.3</v>
      </c>
      <c r="T166" s="444">
        <f>MateriaisCampo[[#This Row],[TOTAL S/ IPI]]+(MateriaisCampo[[#This Row],[TOTAL S/ IPI]]*MateriaisCampo[[#This Row],[IPI %]])</f>
        <v>1290.3</v>
      </c>
      <c r="U166" s="445">
        <f>IF(AND(MateriaisCampo[[#This Row],[ICMS %]]&lt;&gt;18%,MateriaisCampo[[#This Row],[ORIGEM]]&lt;&gt;"SÃO PAULO"),((18%-MateriaisCampo[[#This Row],[ICMS %]])*MateriaisCampo[[#This Row],[UNIT S/ IPI C/DESC]]),0)</f>
        <v>0</v>
      </c>
      <c r="V166" s="437">
        <f>MateriaisCampo[[#This Row],[UNIT S/ IPI C/DESC]]*MateriaisCampo[[#This Row],[ICMS %]]</f>
        <v>10.556999999999999</v>
      </c>
      <c r="W166" s="437">
        <f>MateriaisCampo[[#This Row],[ICMS $]]*MateriaisCampo[[#This Row],[QUANTIDADE]]</f>
        <v>232.25399999999996</v>
      </c>
      <c r="X166" s="446">
        <f>MateriaisCampo[[#This Row],[UNIT S/ IPI C/DESC]]+MateriaisCampo[[#This Row],[DIFERENCIAL ICMS]]</f>
        <v>58.65</v>
      </c>
      <c r="Y166" s="446">
        <f>(MateriaisCampo[[#This Row],[PIS]]*MateriaisCampo[[#This Row],[UNIT S/ IPI C/DESC]])/2</f>
        <v>0.48386250000000003</v>
      </c>
      <c r="Z166" s="446">
        <f>(MateriaisCampo[[#This Row],[COFINS]]*MateriaisCampo[[#This Row],[UNIT S/ IPI C/DESC]])/2</f>
        <v>2.2286999999999999</v>
      </c>
      <c r="AA166" s="445">
        <f>MateriaisCampo[[#This Row],[UNIT S/ IP + DIF ICMS]]+(MateriaisCampo[[#This Row],[UNIT S/ IP + DIF ICMS]]*MateriaisCampo[[#This Row],[IPI %]])</f>
        <v>58.65</v>
      </c>
      <c r="AB166" s="448">
        <f>_xlfn.XLOOKUP(MateriaisCampo[[#This Row],[FATURAMENTO]],BASE!$U$48:$U$50,BASE!$W$48:$W$50,0,0,1)</f>
        <v>0.79709863947533133</v>
      </c>
      <c r="AC166" s="510" t="str">
        <f>RESUMO!$E$56</f>
        <v>SIM</v>
      </c>
      <c r="AD166" s="449" t="str">
        <f>RESUMO!$E$57</f>
        <v>SIM</v>
      </c>
      <c r="AE16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45.380437499999999</v>
      </c>
      <c r="AF166" s="450">
        <f>MateriaisCampo[[#This Row],[UNIT CRED]]*MateriaisCampo[[#This Row],[QUANTIDADE]]</f>
        <v>998.36962500000004</v>
      </c>
      <c r="AG166" s="451">
        <f>MateriaisCampo[[#This Row],[TOT CRED]]</f>
        <v>998.36962500000004</v>
      </c>
      <c r="AH166" s="452">
        <f>IF(MateriaisCampo[[#This Row],[QUANTIDADE]]&lt;&gt;0,((MateriaisCampo[[#This Row],[TOT CUSTO]]/MateriaisCampo[[#This Row],[QUANTIDADE]])/MateriaisCampo[[#This Row],[MARK-UP]]),0)</f>
        <v>56.932022277531985</v>
      </c>
      <c r="AI166" s="453">
        <f>MateriaisCampo[[#This Row],[UNIT VENDA]]*MateriaisCampo[[#This Row],[QUANTIDADE]]</f>
        <v>1252.5044901057036</v>
      </c>
      <c r="AJ166" s="453">
        <f>IFERROR(MateriaisCampo[[#This Row],[VENDA]]*(RESUMO!$F$55/RESUMO!$F$45),0)</f>
        <v>1590.4818921977187</v>
      </c>
      <c r="AK166" s="453">
        <f>IFERROR(MateriaisCampo[[#This Row],[VENDA]]*(RESUMO!$F$58/RESUMO!$F$45),0)</f>
        <v>1590.4818921977187</v>
      </c>
      <c r="AL166" s="454">
        <f>IF(MateriaisCampo[[#This Row],[FATURAMENTO]]="NORMAL",MateriaisCampo[[#This Row],[VENDA]],0)</f>
        <v>1252.5044901057036</v>
      </c>
    </row>
    <row r="167" spans="1:38" x14ac:dyDescent="0.25">
      <c r="A167" s="113" t="s">
        <v>652</v>
      </c>
      <c r="B167" s="113" t="s">
        <v>652</v>
      </c>
      <c r="C167" s="113" t="s">
        <v>729</v>
      </c>
      <c r="D167" s="113" t="s">
        <v>726</v>
      </c>
      <c r="E167" s="434" t="s">
        <v>655</v>
      </c>
      <c r="F167" s="434">
        <f t="shared" si="0"/>
        <v>0</v>
      </c>
      <c r="G167" s="113"/>
      <c r="H167" s="435" t="s">
        <v>603</v>
      </c>
      <c r="I167" s="436">
        <f>I166</f>
        <v>22</v>
      </c>
      <c r="J167" s="437">
        <f>J166*0.8</f>
        <v>46.92</v>
      </c>
      <c r="K167" s="438">
        <v>0.18</v>
      </c>
      <c r="L167" s="438">
        <v>0</v>
      </c>
      <c r="M167" s="458"/>
      <c r="N167" s="445">
        <f>MateriaisCampo[[#This Row],[UNIT S/IPI S/DESC]]-MateriaisCampo[[#This Row],[UNIT S/IPI S/DESC]]*MateriaisCampo[[#This Row],[% DESC]]</f>
        <v>46.92</v>
      </c>
      <c r="O167" s="441" t="s">
        <v>295</v>
      </c>
      <c r="P167" s="442" t="s">
        <v>155</v>
      </c>
      <c r="Q167" s="438">
        <v>1.6500000000000001E-2</v>
      </c>
      <c r="R167" s="438">
        <v>7.5999999999999998E-2</v>
      </c>
      <c r="S167" s="443">
        <f>MateriaisCampo[[#This Row],[UNIT S/ IP + DIF ICMS]]*MateriaisCampo[[#This Row],[QUANTIDADE]]</f>
        <v>1032.24</v>
      </c>
      <c r="T167" s="444">
        <f>MateriaisCampo[[#This Row],[TOTAL S/ IPI]]+(MateriaisCampo[[#This Row],[TOTAL S/ IPI]]*MateriaisCampo[[#This Row],[IPI %]])</f>
        <v>1032.24</v>
      </c>
      <c r="U167" s="445">
        <f>IF(AND(MateriaisCampo[[#This Row],[ICMS %]]&lt;&gt;18%,MateriaisCampo[[#This Row],[ORIGEM]]&lt;&gt;"SÃO PAULO"),((18%-MateriaisCampo[[#This Row],[ICMS %]])*MateriaisCampo[[#This Row],[UNIT S/ IPI C/DESC]]),0)</f>
        <v>0</v>
      </c>
      <c r="V167" s="437">
        <f>MateriaisCampo[[#This Row],[UNIT S/ IPI C/DESC]]*MateriaisCampo[[#This Row],[ICMS %]]</f>
        <v>8.4456000000000007</v>
      </c>
      <c r="W167" s="437">
        <f>MateriaisCampo[[#This Row],[ICMS $]]*MateriaisCampo[[#This Row],[QUANTIDADE]]</f>
        <v>185.8032</v>
      </c>
      <c r="X167" s="446">
        <f>MateriaisCampo[[#This Row],[UNIT S/ IPI C/DESC]]+MateriaisCampo[[#This Row],[DIFERENCIAL ICMS]]</f>
        <v>46.92</v>
      </c>
      <c r="Y167" s="446">
        <f>(MateriaisCampo[[#This Row],[PIS]]*MateriaisCampo[[#This Row],[UNIT S/ IPI C/DESC]])/2</f>
        <v>0.38709000000000005</v>
      </c>
      <c r="Z167" s="446">
        <f>(MateriaisCampo[[#This Row],[COFINS]]*MateriaisCampo[[#This Row],[UNIT S/ IPI C/DESC]])/2</f>
        <v>1.7829600000000001</v>
      </c>
      <c r="AA167" s="445">
        <f>MateriaisCampo[[#This Row],[UNIT S/ IP + DIF ICMS]]+(MateriaisCampo[[#This Row],[UNIT S/ IP + DIF ICMS]]*MateriaisCampo[[#This Row],[IPI %]])</f>
        <v>46.92</v>
      </c>
      <c r="AB167" s="448">
        <f>_xlfn.XLOOKUP(MateriaisCampo[[#This Row],[FATURAMENTO]],BASE!$U$48:$U$50,BASE!$W$48:$W$50,0,0,1)</f>
        <v>0.79709863947533133</v>
      </c>
      <c r="AC167" s="510" t="str">
        <f>RESUMO!$E$56</f>
        <v>SIM</v>
      </c>
      <c r="AD167" s="449" t="str">
        <f>RESUMO!$E$57</f>
        <v>SIM</v>
      </c>
      <c r="AE16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36.304349999999999</v>
      </c>
      <c r="AF167" s="450">
        <f>MateriaisCampo[[#This Row],[UNIT CRED]]*MateriaisCampo[[#This Row],[QUANTIDADE]]</f>
        <v>798.69569999999999</v>
      </c>
      <c r="AG167" s="451">
        <f>MateriaisCampo[[#This Row],[TOT CRED]]</f>
        <v>798.69569999999999</v>
      </c>
      <c r="AH167" s="452">
        <f>IF(MateriaisCampo[[#This Row],[QUANTIDADE]]&lt;&gt;0,((MateriaisCampo[[#This Row],[TOT CUSTO]]/MateriaisCampo[[#This Row],[QUANTIDADE]])/MateriaisCampo[[#This Row],[MARK-UP]]),0)</f>
        <v>45.545617822025591</v>
      </c>
      <c r="AI167" s="453">
        <f>MateriaisCampo[[#This Row],[UNIT VENDA]]*MateriaisCampo[[#This Row],[QUANTIDADE]]</f>
        <v>1002.003592084563</v>
      </c>
      <c r="AJ167" s="453">
        <f>IFERROR(MateriaisCampo[[#This Row],[VENDA]]*(RESUMO!$F$55/RESUMO!$F$45),0)</f>
        <v>1272.3855137581752</v>
      </c>
      <c r="AK167" s="453">
        <f>IFERROR(MateriaisCampo[[#This Row],[VENDA]]*(RESUMO!$F$58/RESUMO!$F$45),0)</f>
        <v>1272.3855137581752</v>
      </c>
      <c r="AL167" s="454">
        <f>IF(MateriaisCampo[[#This Row],[FATURAMENTO]]="NORMAL",MateriaisCampo[[#This Row],[VENDA]],0)</f>
        <v>1002.003592084563</v>
      </c>
    </row>
    <row r="168" spans="1:38" x14ac:dyDescent="0.25">
      <c r="A168" s="113" t="s">
        <v>652</v>
      </c>
      <c r="B168" s="113" t="s">
        <v>652</v>
      </c>
      <c r="C168" s="113" t="s">
        <v>730</v>
      </c>
      <c r="D168" s="113" t="s">
        <v>726</v>
      </c>
      <c r="E168" s="434" t="s">
        <v>655</v>
      </c>
      <c r="F168" s="434">
        <f t="shared" si="0"/>
        <v>0</v>
      </c>
      <c r="G168" s="113"/>
      <c r="H168" s="435" t="s">
        <v>603</v>
      </c>
      <c r="I168" s="436">
        <v>22</v>
      </c>
      <c r="J168" s="437">
        <v>5</v>
      </c>
      <c r="K168" s="438">
        <v>0.18</v>
      </c>
      <c r="L168" s="438">
        <v>0</v>
      </c>
      <c r="M168" s="458"/>
      <c r="N168" s="445">
        <f>MateriaisCampo[[#This Row],[UNIT S/IPI S/DESC]]-MateriaisCampo[[#This Row],[UNIT S/IPI S/DESC]]*MateriaisCampo[[#This Row],[% DESC]]</f>
        <v>5</v>
      </c>
      <c r="O168" s="441" t="s">
        <v>295</v>
      </c>
      <c r="P168" s="442" t="s">
        <v>155</v>
      </c>
      <c r="Q168" s="438">
        <v>1.6500000000000001E-2</v>
      </c>
      <c r="R168" s="438">
        <v>7.5999999999999998E-2</v>
      </c>
      <c r="S168" s="443">
        <f>MateriaisCampo[[#This Row],[UNIT S/ IP + DIF ICMS]]*MateriaisCampo[[#This Row],[QUANTIDADE]]</f>
        <v>110</v>
      </c>
      <c r="T168" s="444">
        <f>MateriaisCampo[[#This Row],[TOTAL S/ IPI]]+(MateriaisCampo[[#This Row],[TOTAL S/ IPI]]*MateriaisCampo[[#This Row],[IPI %]])</f>
        <v>110</v>
      </c>
      <c r="U168" s="445">
        <f>IF(AND(MateriaisCampo[[#This Row],[ICMS %]]&lt;&gt;18%,MateriaisCampo[[#This Row],[ORIGEM]]&lt;&gt;"SÃO PAULO"),((18%-MateriaisCampo[[#This Row],[ICMS %]])*MateriaisCampo[[#This Row],[UNIT S/ IPI C/DESC]]),0)</f>
        <v>0</v>
      </c>
      <c r="V168" s="437">
        <f>MateriaisCampo[[#This Row],[UNIT S/ IPI C/DESC]]*MateriaisCampo[[#This Row],[ICMS %]]</f>
        <v>0.89999999999999991</v>
      </c>
      <c r="W168" s="437">
        <f>MateriaisCampo[[#This Row],[ICMS $]]*MateriaisCampo[[#This Row],[QUANTIDADE]]</f>
        <v>19.799999999999997</v>
      </c>
      <c r="X168" s="446">
        <f>MateriaisCampo[[#This Row],[UNIT S/ IPI C/DESC]]+MateriaisCampo[[#This Row],[DIFERENCIAL ICMS]]</f>
        <v>5</v>
      </c>
      <c r="Y168" s="446">
        <f>(MateriaisCampo[[#This Row],[PIS]]*MateriaisCampo[[#This Row],[UNIT S/ IPI C/DESC]])/2</f>
        <v>4.1250000000000002E-2</v>
      </c>
      <c r="Z168" s="446">
        <f>(MateriaisCampo[[#This Row],[COFINS]]*MateriaisCampo[[#This Row],[UNIT S/ IPI C/DESC]])/2</f>
        <v>0.19</v>
      </c>
      <c r="AA168" s="445">
        <f>MateriaisCampo[[#This Row],[UNIT S/ IP + DIF ICMS]]+(MateriaisCampo[[#This Row],[UNIT S/ IP + DIF ICMS]]*MateriaisCampo[[#This Row],[IPI %]])</f>
        <v>5</v>
      </c>
      <c r="AB168" s="448">
        <f>_xlfn.XLOOKUP(MateriaisCampo[[#This Row],[FATURAMENTO]],BASE!$U$48:$U$50,BASE!$W$48:$W$50,0,0,1)</f>
        <v>0.79709863947533133</v>
      </c>
      <c r="AC168" s="510" t="str">
        <f>RESUMO!$E$56</f>
        <v>SIM</v>
      </c>
      <c r="AD168" s="449" t="str">
        <f>RESUMO!$E$57</f>
        <v>SIM</v>
      </c>
      <c r="AE16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3.8687499999999999</v>
      </c>
      <c r="AF168" s="450">
        <f>MateriaisCampo[[#This Row],[UNIT CRED]]*MateriaisCampo[[#This Row],[QUANTIDADE]]</f>
        <v>85.112499999999997</v>
      </c>
      <c r="AG168" s="451">
        <f>MateriaisCampo[[#This Row],[TOT CRED]]</f>
        <v>85.112499999999997</v>
      </c>
      <c r="AH168" s="452">
        <f>IF(MateriaisCampo[[#This Row],[QUANTIDADE]]&lt;&gt;0,((MateriaisCampo[[#This Row],[TOT CUSTO]]/MateriaisCampo[[#This Row],[QUANTIDADE]])/MateriaisCampo[[#This Row],[MARK-UP]]),0)</f>
        <v>4.8535398361067337</v>
      </c>
      <c r="AI168" s="453">
        <f>MateriaisCampo[[#This Row],[UNIT VENDA]]*MateriaisCampo[[#This Row],[QUANTIDADE]]</f>
        <v>106.77787639434814</v>
      </c>
      <c r="AJ168" s="453">
        <f>IFERROR(MateriaisCampo[[#This Row],[VENDA]]*(RESUMO!$F$55/RESUMO!$F$45),0)</f>
        <v>135.59095415155318</v>
      </c>
      <c r="AK168" s="453">
        <f>IFERROR(MateriaisCampo[[#This Row],[VENDA]]*(RESUMO!$F$58/RESUMO!$F$45),0)</f>
        <v>135.59095415155318</v>
      </c>
      <c r="AL168" s="454">
        <f>IF(MateriaisCampo[[#This Row],[FATURAMENTO]]="NORMAL",MateriaisCampo[[#This Row],[VENDA]],0)</f>
        <v>106.77787639434814</v>
      </c>
    </row>
    <row r="169" spans="1:38" x14ac:dyDescent="0.25">
      <c r="A169" s="113" t="s">
        <v>652</v>
      </c>
      <c r="B169" s="113" t="s">
        <v>652</v>
      </c>
      <c r="C169" s="113" t="s">
        <v>732</v>
      </c>
      <c r="D169" s="113" t="s">
        <v>726</v>
      </c>
      <c r="E169" s="434" t="s">
        <v>655</v>
      </c>
      <c r="F169" s="434">
        <f t="shared" si="0"/>
        <v>0</v>
      </c>
      <c r="G169" s="113"/>
      <c r="H169" s="435" t="s">
        <v>603</v>
      </c>
      <c r="I169" s="436">
        <v>1</v>
      </c>
      <c r="J169" s="437">
        <v>500</v>
      </c>
      <c r="K169" s="438">
        <v>0.12</v>
      </c>
      <c r="L169" s="438">
        <v>0</v>
      </c>
      <c r="M169" s="458"/>
      <c r="N169" s="445">
        <f>MateriaisCampo[[#This Row],[UNIT S/IPI S/DESC]]-MateriaisCampo[[#This Row],[UNIT S/IPI S/DESC]]*MateriaisCampo[[#This Row],[% DESC]]</f>
        <v>500</v>
      </c>
      <c r="O169" s="441" t="s">
        <v>295</v>
      </c>
      <c r="P169" s="442" t="s">
        <v>155</v>
      </c>
      <c r="Q169" s="438">
        <v>1.6500000000000001E-2</v>
      </c>
      <c r="R169" s="438">
        <v>7.5999999999999998E-2</v>
      </c>
      <c r="S169" s="443">
        <f>MateriaisCampo[[#This Row],[UNIT S/ IP + DIF ICMS]]*MateriaisCampo[[#This Row],[QUANTIDADE]]</f>
        <v>500</v>
      </c>
      <c r="T169" s="444">
        <f>MateriaisCampo[[#This Row],[TOTAL S/ IPI]]+(MateriaisCampo[[#This Row],[TOTAL S/ IPI]]*MateriaisCampo[[#This Row],[IPI %]])</f>
        <v>500</v>
      </c>
      <c r="U169" s="445">
        <f>IF(AND(MateriaisCampo[[#This Row],[ICMS %]]&lt;&gt;18%,MateriaisCampo[[#This Row],[ORIGEM]]&lt;&gt;"SÃO PAULO"),((18%-MateriaisCampo[[#This Row],[ICMS %]])*MateriaisCampo[[#This Row],[UNIT S/ IPI C/DESC]]),0)</f>
        <v>0</v>
      </c>
      <c r="V169" s="437">
        <f>MateriaisCampo[[#This Row],[UNIT S/ IPI C/DESC]]*MateriaisCampo[[#This Row],[ICMS %]]</f>
        <v>60</v>
      </c>
      <c r="W169" s="437">
        <f>MateriaisCampo[[#This Row],[ICMS $]]*MateriaisCampo[[#This Row],[QUANTIDADE]]</f>
        <v>60</v>
      </c>
      <c r="X169" s="446">
        <f>MateriaisCampo[[#This Row],[UNIT S/ IPI C/DESC]]+MateriaisCampo[[#This Row],[DIFERENCIAL ICMS]]</f>
        <v>500</v>
      </c>
      <c r="Y169" s="446">
        <f>(MateriaisCampo[[#This Row],[PIS]]*MateriaisCampo[[#This Row],[UNIT S/ IPI C/DESC]])/2</f>
        <v>4.125</v>
      </c>
      <c r="Z169" s="446">
        <f>(MateriaisCampo[[#This Row],[COFINS]]*MateriaisCampo[[#This Row],[UNIT S/ IPI C/DESC]])/2</f>
        <v>19</v>
      </c>
      <c r="AA169" s="445">
        <f>MateriaisCampo[[#This Row],[UNIT S/ IP + DIF ICMS]]+(MateriaisCampo[[#This Row],[UNIT S/ IP + DIF ICMS]]*MateriaisCampo[[#This Row],[IPI %]])</f>
        <v>500</v>
      </c>
      <c r="AB169" s="448">
        <f>_xlfn.XLOOKUP(MateriaisCampo[[#This Row],[FATURAMENTO]],BASE!$U$48:$U$50,BASE!$W$48:$W$50,0,0,1)</f>
        <v>0.79709863947533133</v>
      </c>
      <c r="AC169" s="510" t="str">
        <f>RESUMO!$E$56</f>
        <v>SIM</v>
      </c>
      <c r="AD169" s="449" t="str">
        <f>RESUMO!$E$57</f>
        <v>SIM</v>
      </c>
      <c r="AE16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416.875</v>
      </c>
      <c r="AF169" s="450">
        <f>MateriaisCampo[[#This Row],[UNIT CRED]]*MateriaisCampo[[#This Row],[QUANTIDADE]]</f>
        <v>416.875</v>
      </c>
      <c r="AG169" s="451">
        <f>MateriaisCampo[[#This Row],[TOT CRED]]</f>
        <v>416.875</v>
      </c>
      <c r="AH169" s="452">
        <f>IF(MateriaisCampo[[#This Row],[QUANTIDADE]]&lt;&gt;0,((MateriaisCampo[[#This Row],[TOT CUSTO]]/MateriaisCampo[[#This Row],[QUANTIDADE]])/MateriaisCampo[[#This Row],[MARK-UP]]),0)</f>
        <v>522.99047991650912</v>
      </c>
      <c r="AI169" s="453">
        <f>MateriaisCampo[[#This Row],[UNIT VENDA]]*MateriaisCampo[[#This Row],[QUANTIDADE]]</f>
        <v>522.99047991650912</v>
      </c>
      <c r="AJ169" s="453">
        <f>IFERROR(MateriaisCampo[[#This Row],[VENDA]]*(RESUMO!$F$55/RESUMO!$F$45),0)</f>
        <v>664.11489513207505</v>
      </c>
      <c r="AK169" s="453">
        <f>IFERROR(MateriaisCampo[[#This Row],[VENDA]]*(RESUMO!$F$58/RESUMO!$F$45),0)</f>
        <v>664.11489513207505</v>
      </c>
      <c r="AL169" s="454">
        <f>IF(MateriaisCampo[[#This Row],[FATURAMENTO]]="NORMAL",MateriaisCampo[[#This Row],[VENDA]],0)</f>
        <v>522.99047991650912</v>
      </c>
    </row>
    <row r="170" spans="1:38" x14ac:dyDescent="0.25">
      <c r="A170" s="113" t="s">
        <v>652</v>
      </c>
      <c r="B170" s="113" t="s">
        <v>652</v>
      </c>
      <c r="C170" s="113" t="s">
        <v>727</v>
      </c>
      <c r="D170" s="113" t="s">
        <v>726</v>
      </c>
      <c r="E170" s="434" t="s">
        <v>655</v>
      </c>
      <c r="F170" s="434">
        <f t="shared" si="0"/>
        <v>0</v>
      </c>
      <c r="G170" s="113"/>
      <c r="H170" s="435" t="s">
        <v>603</v>
      </c>
      <c r="I170" s="436">
        <f>I168*4</f>
        <v>88</v>
      </c>
      <c r="J170" s="437">
        <v>0.35</v>
      </c>
      <c r="K170" s="438">
        <v>0.18</v>
      </c>
      <c r="L170" s="438">
        <v>6.5000000000000002E-2</v>
      </c>
      <c r="M170" s="458"/>
      <c r="N170" s="445">
        <f>MateriaisCampo[[#This Row],[UNIT S/IPI S/DESC]]-MateriaisCampo[[#This Row],[UNIT S/IPI S/DESC]]*MateriaisCampo[[#This Row],[% DESC]]</f>
        <v>0.35</v>
      </c>
      <c r="O170" s="441" t="s">
        <v>295</v>
      </c>
      <c r="P170" s="442" t="s">
        <v>155</v>
      </c>
      <c r="Q170" s="438">
        <v>1.6500000000000001E-2</v>
      </c>
      <c r="R170" s="438">
        <v>7.5999999999999998E-2</v>
      </c>
      <c r="S170" s="443">
        <f>MateriaisCampo[[#This Row],[UNIT S/ IP + DIF ICMS]]*MateriaisCampo[[#This Row],[QUANTIDADE]]</f>
        <v>30.799999999999997</v>
      </c>
      <c r="T170" s="444">
        <f>MateriaisCampo[[#This Row],[TOTAL S/ IPI]]+(MateriaisCampo[[#This Row],[TOTAL S/ IPI]]*MateriaisCampo[[#This Row],[IPI %]])</f>
        <v>32.802</v>
      </c>
      <c r="U170" s="445">
        <f>IF(AND(MateriaisCampo[[#This Row],[ICMS %]]&lt;&gt;18%,MateriaisCampo[[#This Row],[ORIGEM]]&lt;&gt;"SÃO PAULO"),((18%-MateriaisCampo[[#This Row],[ICMS %]])*MateriaisCampo[[#This Row],[UNIT S/ IPI C/DESC]]),0)</f>
        <v>0</v>
      </c>
      <c r="V170" s="437">
        <f>MateriaisCampo[[#This Row],[UNIT S/ IPI C/DESC]]*MateriaisCampo[[#This Row],[ICMS %]]</f>
        <v>6.3E-2</v>
      </c>
      <c r="W170" s="437">
        <f>MateriaisCampo[[#This Row],[ICMS $]]*MateriaisCampo[[#This Row],[QUANTIDADE]]</f>
        <v>5.5440000000000005</v>
      </c>
      <c r="X170" s="446">
        <f>MateriaisCampo[[#This Row],[UNIT S/ IPI C/DESC]]+MateriaisCampo[[#This Row],[DIFERENCIAL ICMS]]</f>
        <v>0.35</v>
      </c>
      <c r="Y170" s="446">
        <f>(MateriaisCampo[[#This Row],[PIS]]*MateriaisCampo[[#This Row],[UNIT S/ IPI C/DESC]])/2</f>
        <v>2.8874999999999999E-3</v>
      </c>
      <c r="Z170" s="446">
        <f>(MateriaisCampo[[#This Row],[COFINS]]*MateriaisCampo[[#This Row],[UNIT S/ IPI C/DESC]])/2</f>
        <v>1.3299999999999999E-2</v>
      </c>
      <c r="AA170" s="445">
        <f>MateriaisCampo[[#This Row],[UNIT S/ IP + DIF ICMS]]+(MateriaisCampo[[#This Row],[UNIT S/ IP + DIF ICMS]]*MateriaisCampo[[#This Row],[IPI %]])</f>
        <v>0.37274999999999997</v>
      </c>
      <c r="AB170" s="448">
        <f>_xlfn.XLOOKUP(MateriaisCampo[[#This Row],[FATURAMENTO]],BASE!$U$48:$U$50,BASE!$W$48:$W$50,0,0,1)</f>
        <v>0.79709863947533133</v>
      </c>
      <c r="AC170" s="510" t="str">
        <f>RESUMO!$E$56</f>
        <v>SIM</v>
      </c>
      <c r="AD170" s="449" t="str">
        <f>RESUMO!$E$57</f>
        <v>SIM</v>
      </c>
      <c r="AE17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0.27081250000000001</v>
      </c>
      <c r="AF170" s="450">
        <f>MateriaisCampo[[#This Row],[UNIT CRED]]*MateriaisCampo[[#This Row],[QUANTIDADE]]</f>
        <v>23.831500000000002</v>
      </c>
      <c r="AG170" s="451">
        <f>MateriaisCampo[[#This Row],[TOT CRED]]</f>
        <v>23.831500000000002</v>
      </c>
      <c r="AH170" s="452">
        <f>IF(MateriaisCampo[[#This Row],[QUANTIDADE]]&lt;&gt;0,((MateriaisCampo[[#This Row],[TOT CUSTO]]/MateriaisCampo[[#This Row],[QUANTIDADE]])/MateriaisCampo[[#This Row],[MARK-UP]]),0)</f>
        <v>0.33974778852747139</v>
      </c>
      <c r="AI170" s="453">
        <f>MateriaisCampo[[#This Row],[UNIT VENDA]]*MateriaisCampo[[#This Row],[QUANTIDADE]]</f>
        <v>29.897805390417481</v>
      </c>
      <c r="AJ170" s="453">
        <f>IFERROR(MateriaisCampo[[#This Row],[VENDA]]*(RESUMO!$F$55/RESUMO!$F$45),0)</f>
        <v>37.965467162434898</v>
      </c>
      <c r="AK170" s="453">
        <f>IFERROR(MateriaisCampo[[#This Row],[VENDA]]*(RESUMO!$F$58/RESUMO!$F$45),0)</f>
        <v>37.965467162434898</v>
      </c>
      <c r="AL170" s="454">
        <f>IF(MateriaisCampo[[#This Row],[FATURAMENTO]]="NORMAL",MateriaisCampo[[#This Row],[VENDA]],0)</f>
        <v>29.897805390417481</v>
      </c>
    </row>
    <row r="171" spans="1:38" x14ac:dyDescent="0.25">
      <c r="A171" s="113" t="s">
        <v>652</v>
      </c>
      <c r="B171" s="113" t="s">
        <v>652</v>
      </c>
      <c r="C171" s="113" t="s">
        <v>679</v>
      </c>
      <c r="D171" s="113" t="s">
        <v>726</v>
      </c>
      <c r="E171" s="434" t="s">
        <v>655</v>
      </c>
      <c r="F171" s="434">
        <f t="shared" si="0"/>
        <v>0</v>
      </c>
      <c r="G171" s="113"/>
      <c r="H171" s="435" t="s">
        <v>603</v>
      </c>
      <c r="I171" s="436">
        <f>I170</f>
        <v>88</v>
      </c>
      <c r="J171" s="437">
        <v>0.25</v>
      </c>
      <c r="K171" s="438">
        <v>0.18</v>
      </c>
      <c r="L171" s="438">
        <v>6.5000000000000002E-2</v>
      </c>
      <c r="M171" s="458"/>
      <c r="N171" s="445">
        <f>MateriaisCampo[[#This Row],[UNIT S/IPI S/DESC]]-MateriaisCampo[[#This Row],[UNIT S/IPI S/DESC]]*MateriaisCampo[[#This Row],[% DESC]]</f>
        <v>0.25</v>
      </c>
      <c r="O171" s="441" t="s">
        <v>295</v>
      </c>
      <c r="P171" s="442" t="s">
        <v>155</v>
      </c>
      <c r="Q171" s="438">
        <v>1.6500000000000001E-2</v>
      </c>
      <c r="R171" s="438">
        <v>7.5999999999999998E-2</v>
      </c>
      <c r="S171" s="443">
        <f>MateriaisCampo[[#This Row],[UNIT S/ IP + DIF ICMS]]*MateriaisCampo[[#This Row],[QUANTIDADE]]</f>
        <v>22</v>
      </c>
      <c r="T171" s="444">
        <f>MateriaisCampo[[#This Row],[TOTAL S/ IPI]]+(MateriaisCampo[[#This Row],[TOTAL S/ IPI]]*MateriaisCampo[[#This Row],[IPI %]])</f>
        <v>23.43</v>
      </c>
      <c r="U171" s="445">
        <f>IF(AND(MateriaisCampo[[#This Row],[ICMS %]]&lt;&gt;18%,MateriaisCampo[[#This Row],[ORIGEM]]&lt;&gt;"SÃO PAULO"),((18%-MateriaisCampo[[#This Row],[ICMS %]])*MateriaisCampo[[#This Row],[UNIT S/ IPI C/DESC]]),0)</f>
        <v>0</v>
      </c>
      <c r="V171" s="437">
        <f>MateriaisCampo[[#This Row],[UNIT S/ IPI C/DESC]]*MateriaisCampo[[#This Row],[ICMS %]]</f>
        <v>4.4999999999999998E-2</v>
      </c>
      <c r="W171" s="437">
        <f>MateriaisCampo[[#This Row],[ICMS $]]*MateriaisCampo[[#This Row],[QUANTIDADE]]</f>
        <v>3.96</v>
      </c>
      <c r="X171" s="446">
        <f>MateriaisCampo[[#This Row],[UNIT S/ IPI C/DESC]]+MateriaisCampo[[#This Row],[DIFERENCIAL ICMS]]</f>
        <v>0.25</v>
      </c>
      <c r="Y171" s="446">
        <f>(MateriaisCampo[[#This Row],[PIS]]*MateriaisCampo[[#This Row],[UNIT S/ IPI C/DESC]])/2</f>
        <v>2.0625000000000001E-3</v>
      </c>
      <c r="Z171" s="446">
        <f>(MateriaisCampo[[#This Row],[COFINS]]*MateriaisCampo[[#This Row],[UNIT S/ IPI C/DESC]])/2</f>
        <v>9.4999999999999998E-3</v>
      </c>
      <c r="AA171" s="445">
        <f>MateriaisCampo[[#This Row],[UNIT S/ IP + DIF ICMS]]+(MateriaisCampo[[#This Row],[UNIT S/ IP + DIF ICMS]]*MateriaisCampo[[#This Row],[IPI %]])</f>
        <v>0.26624999999999999</v>
      </c>
      <c r="AB171" s="448">
        <f>_xlfn.XLOOKUP(MateriaisCampo[[#This Row],[FATURAMENTO]],BASE!$U$48:$U$50,BASE!$W$48:$W$50,0,0,1)</f>
        <v>0.79709863947533133</v>
      </c>
      <c r="AC171" s="510" t="str">
        <f>RESUMO!$E$56</f>
        <v>SIM</v>
      </c>
      <c r="AD171" s="449" t="str">
        <f>RESUMO!$E$57</f>
        <v>SIM</v>
      </c>
      <c r="AE17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0.19343750000000001</v>
      </c>
      <c r="AF171" s="450">
        <f>MateriaisCampo[[#This Row],[UNIT CRED]]*MateriaisCampo[[#This Row],[QUANTIDADE]]</f>
        <v>17.022500000000001</v>
      </c>
      <c r="AG171" s="451">
        <f>MateriaisCampo[[#This Row],[TOT CRED]]</f>
        <v>17.022500000000001</v>
      </c>
      <c r="AH171" s="452">
        <f>IF(MateriaisCampo[[#This Row],[QUANTIDADE]]&lt;&gt;0,((MateriaisCampo[[#This Row],[TOT CUSTO]]/MateriaisCampo[[#This Row],[QUANTIDADE]])/MateriaisCampo[[#This Row],[MARK-UP]]),0)</f>
        <v>0.24267699180533669</v>
      </c>
      <c r="AI171" s="453">
        <f>MateriaisCampo[[#This Row],[UNIT VENDA]]*MateriaisCampo[[#This Row],[QUANTIDADE]]</f>
        <v>21.35557527886963</v>
      </c>
      <c r="AJ171" s="453">
        <f>IFERROR(MateriaisCampo[[#This Row],[VENDA]]*(RESUMO!$F$55/RESUMO!$F$45),0)</f>
        <v>27.118190830310638</v>
      </c>
      <c r="AK171" s="453">
        <f>IFERROR(MateriaisCampo[[#This Row],[VENDA]]*(RESUMO!$F$58/RESUMO!$F$45),0)</f>
        <v>27.118190830310638</v>
      </c>
      <c r="AL171" s="454">
        <f>IF(MateriaisCampo[[#This Row],[FATURAMENTO]]="NORMAL",MateriaisCampo[[#This Row],[VENDA]],0)</f>
        <v>21.35557527886963</v>
      </c>
    </row>
    <row r="172" spans="1:38" ht="23" x14ac:dyDescent="0.25">
      <c r="A172" s="113" t="s">
        <v>652</v>
      </c>
      <c r="B172" s="113" t="s">
        <v>652</v>
      </c>
      <c r="C172" s="113" t="s">
        <v>677</v>
      </c>
      <c r="D172" s="113" t="s">
        <v>726</v>
      </c>
      <c r="E172" s="434" t="s">
        <v>655</v>
      </c>
      <c r="F172" s="434">
        <f t="shared" si="0"/>
        <v>0</v>
      </c>
      <c r="G172" s="113"/>
      <c r="H172" s="435" t="s">
        <v>603</v>
      </c>
      <c r="I172" s="436">
        <f>I170</f>
        <v>88</v>
      </c>
      <c r="J172" s="437">
        <v>0.12</v>
      </c>
      <c r="K172" s="438">
        <v>0.18</v>
      </c>
      <c r="L172" s="438">
        <v>6.5000000000000002E-2</v>
      </c>
      <c r="M172" s="458"/>
      <c r="N172" s="445">
        <f>MateriaisCampo[[#This Row],[UNIT S/IPI S/DESC]]-MateriaisCampo[[#This Row],[UNIT S/IPI S/DESC]]*MateriaisCampo[[#This Row],[% DESC]]</f>
        <v>0.12</v>
      </c>
      <c r="O172" s="441" t="s">
        <v>295</v>
      </c>
      <c r="P172" s="442" t="s">
        <v>155</v>
      </c>
      <c r="Q172" s="438">
        <v>1.6500000000000001E-2</v>
      </c>
      <c r="R172" s="438">
        <v>7.5999999999999998E-2</v>
      </c>
      <c r="S172" s="443">
        <f>MateriaisCampo[[#This Row],[UNIT S/ IP + DIF ICMS]]*MateriaisCampo[[#This Row],[QUANTIDADE]]</f>
        <v>10.559999999999999</v>
      </c>
      <c r="T172" s="444">
        <f>MateriaisCampo[[#This Row],[TOTAL S/ IPI]]+(MateriaisCampo[[#This Row],[TOTAL S/ IPI]]*MateriaisCampo[[#This Row],[IPI %]])</f>
        <v>11.246399999999998</v>
      </c>
      <c r="U172" s="445">
        <f>IF(AND(MateriaisCampo[[#This Row],[ICMS %]]&lt;&gt;18%,MateriaisCampo[[#This Row],[ORIGEM]]&lt;&gt;"SÃO PAULO"),((18%-MateriaisCampo[[#This Row],[ICMS %]])*MateriaisCampo[[#This Row],[UNIT S/ IPI C/DESC]]),0)</f>
        <v>0</v>
      </c>
      <c r="V172" s="437">
        <f>MateriaisCampo[[#This Row],[UNIT S/ IPI C/DESC]]*MateriaisCampo[[#This Row],[ICMS %]]</f>
        <v>2.1599999999999998E-2</v>
      </c>
      <c r="W172" s="437">
        <f>MateriaisCampo[[#This Row],[ICMS $]]*MateriaisCampo[[#This Row],[QUANTIDADE]]</f>
        <v>1.9007999999999998</v>
      </c>
      <c r="X172" s="446">
        <f>MateriaisCampo[[#This Row],[UNIT S/ IPI C/DESC]]+MateriaisCampo[[#This Row],[DIFERENCIAL ICMS]]</f>
        <v>0.12</v>
      </c>
      <c r="Y172" s="446">
        <f>(MateriaisCampo[[#This Row],[PIS]]*MateriaisCampo[[#This Row],[UNIT S/ IPI C/DESC]])/2</f>
        <v>9.8999999999999999E-4</v>
      </c>
      <c r="Z172" s="446">
        <f>(MateriaisCampo[[#This Row],[COFINS]]*MateriaisCampo[[#This Row],[UNIT S/ IPI C/DESC]])/2</f>
        <v>4.5599999999999998E-3</v>
      </c>
      <c r="AA172" s="445">
        <f>MateriaisCampo[[#This Row],[UNIT S/ IP + DIF ICMS]]+(MateriaisCampo[[#This Row],[UNIT S/ IP + DIF ICMS]]*MateriaisCampo[[#This Row],[IPI %]])</f>
        <v>0.1278</v>
      </c>
      <c r="AB172" s="448">
        <f>_xlfn.XLOOKUP(MateriaisCampo[[#This Row],[FATURAMENTO]],BASE!$U$48:$U$50,BASE!$W$48:$W$50,0,0,1)</f>
        <v>0.79709863947533133</v>
      </c>
      <c r="AC172" s="510" t="str">
        <f>RESUMO!$E$56</f>
        <v>SIM</v>
      </c>
      <c r="AD172" s="449" t="str">
        <f>RESUMO!$E$57</f>
        <v>SIM</v>
      </c>
      <c r="AE17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9.2850000000000002E-2</v>
      </c>
      <c r="AF172" s="450">
        <f>MateriaisCampo[[#This Row],[UNIT CRED]]*MateriaisCampo[[#This Row],[QUANTIDADE]]</f>
        <v>8.1707999999999998</v>
      </c>
      <c r="AG172" s="451">
        <f>MateriaisCampo[[#This Row],[TOT CRED]]</f>
        <v>8.1707999999999998</v>
      </c>
      <c r="AH172" s="452">
        <f>IF(MateriaisCampo[[#This Row],[QUANTIDADE]]&lt;&gt;0,((MateriaisCampo[[#This Row],[TOT CUSTO]]/MateriaisCampo[[#This Row],[QUANTIDADE]])/MateriaisCampo[[#This Row],[MARK-UP]]),0)</f>
        <v>0.1164849560665616</v>
      </c>
      <c r="AI172" s="453">
        <f>MateriaisCampo[[#This Row],[UNIT VENDA]]*MateriaisCampo[[#This Row],[QUANTIDADE]]</f>
        <v>10.250676133857421</v>
      </c>
      <c r="AJ172" s="453">
        <f>IFERROR(MateriaisCampo[[#This Row],[VENDA]]*(RESUMO!$F$55/RESUMO!$F$45),0)</f>
        <v>13.016731598549105</v>
      </c>
      <c r="AK172" s="453">
        <f>IFERROR(MateriaisCampo[[#This Row],[VENDA]]*(RESUMO!$F$58/RESUMO!$F$45),0)</f>
        <v>13.016731598549105</v>
      </c>
      <c r="AL172" s="454">
        <f>IF(MateriaisCampo[[#This Row],[FATURAMENTO]]="NORMAL",MateriaisCampo[[#This Row],[VENDA]],0)</f>
        <v>10.250676133857421</v>
      </c>
    </row>
    <row r="173" spans="1:38" x14ac:dyDescent="0.25">
      <c r="A173" s="113" t="s">
        <v>652</v>
      </c>
      <c r="B173" s="113" t="s">
        <v>652</v>
      </c>
      <c r="C173" s="113" t="s">
        <v>678</v>
      </c>
      <c r="D173" s="113" t="s">
        <v>726</v>
      </c>
      <c r="E173" s="434" t="s">
        <v>655</v>
      </c>
      <c r="F173" s="434">
        <f t="shared" si="0"/>
        <v>0</v>
      </c>
      <c r="G173" s="113"/>
      <c r="H173" s="435" t="s">
        <v>603</v>
      </c>
      <c r="I173" s="436">
        <f>I170</f>
        <v>88</v>
      </c>
      <c r="J173" s="437">
        <f>J172</f>
        <v>0.12</v>
      </c>
      <c r="K173" s="438">
        <v>0.18</v>
      </c>
      <c r="L173" s="438">
        <v>6.5000000000000002E-2</v>
      </c>
      <c r="M173" s="458"/>
      <c r="N173" s="445">
        <f>MateriaisCampo[[#This Row],[UNIT S/IPI S/DESC]]-MateriaisCampo[[#This Row],[UNIT S/IPI S/DESC]]*MateriaisCampo[[#This Row],[% DESC]]</f>
        <v>0.12</v>
      </c>
      <c r="O173" s="441" t="s">
        <v>295</v>
      </c>
      <c r="P173" s="442" t="s">
        <v>155</v>
      </c>
      <c r="Q173" s="438">
        <v>1.6500000000000001E-2</v>
      </c>
      <c r="R173" s="438">
        <v>7.5999999999999998E-2</v>
      </c>
      <c r="S173" s="443">
        <f>MateriaisCampo[[#This Row],[UNIT S/ IP + DIF ICMS]]*MateriaisCampo[[#This Row],[QUANTIDADE]]</f>
        <v>10.559999999999999</v>
      </c>
      <c r="T173" s="444">
        <f>MateriaisCampo[[#This Row],[TOTAL S/ IPI]]+(MateriaisCampo[[#This Row],[TOTAL S/ IPI]]*MateriaisCampo[[#This Row],[IPI %]])</f>
        <v>11.246399999999998</v>
      </c>
      <c r="U173" s="445">
        <f>IF(AND(MateriaisCampo[[#This Row],[ICMS %]]&lt;&gt;18%,MateriaisCampo[[#This Row],[ORIGEM]]&lt;&gt;"SÃO PAULO"),((18%-MateriaisCampo[[#This Row],[ICMS %]])*MateriaisCampo[[#This Row],[UNIT S/ IPI C/DESC]]),0)</f>
        <v>0</v>
      </c>
      <c r="V173" s="437">
        <f>MateriaisCampo[[#This Row],[UNIT S/ IPI C/DESC]]*MateriaisCampo[[#This Row],[ICMS %]]</f>
        <v>2.1599999999999998E-2</v>
      </c>
      <c r="W173" s="437">
        <f>MateriaisCampo[[#This Row],[ICMS $]]*MateriaisCampo[[#This Row],[QUANTIDADE]]</f>
        <v>1.9007999999999998</v>
      </c>
      <c r="X173" s="446">
        <f>MateriaisCampo[[#This Row],[UNIT S/ IPI C/DESC]]+MateriaisCampo[[#This Row],[DIFERENCIAL ICMS]]</f>
        <v>0.12</v>
      </c>
      <c r="Y173" s="446">
        <f>(MateriaisCampo[[#This Row],[PIS]]*MateriaisCampo[[#This Row],[UNIT S/ IPI C/DESC]])/2</f>
        <v>9.8999999999999999E-4</v>
      </c>
      <c r="Z173" s="446">
        <f>(MateriaisCampo[[#This Row],[COFINS]]*MateriaisCampo[[#This Row],[UNIT S/ IPI C/DESC]])/2</f>
        <v>4.5599999999999998E-3</v>
      </c>
      <c r="AA173" s="445">
        <f>MateriaisCampo[[#This Row],[UNIT S/ IP + DIF ICMS]]+(MateriaisCampo[[#This Row],[UNIT S/ IP + DIF ICMS]]*MateriaisCampo[[#This Row],[IPI %]])</f>
        <v>0.1278</v>
      </c>
      <c r="AB173" s="448">
        <f>_xlfn.XLOOKUP(MateriaisCampo[[#This Row],[FATURAMENTO]],BASE!$U$48:$U$50,BASE!$W$48:$W$50,0,0,1)</f>
        <v>0.79709863947533133</v>
      </c>
      <c r="AC173" s="510" t="str">
        <f>RESUMO!$E$56</f>
        <v>SIM</v>
      </c>
      <c r="AD173" s="449" t="str">
        <f>RESUMO!$E$57</f>
        <v>SIM</v>
      </c>
      <c r="AE17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9.2850000000000002E-2</v>
      </c>
      <c r="AF173" s="450">
        <f>MateriaisCampo[[#This Row],[UNIT CRED]]*MateriaisCampo[[#This Row],[QUANTIDADE]]</f>
        <v>8.1707999999999998</v>
      </c>
      <c r="AG173" s="451">
        <f>MateriaisCampo[[#This Row],[TOT CRED]]</f>
        <v>8.1707999999999998</v>
      </c>
      <c r="AH173" s="452">
        <f>IF(MateriaisCampo[[#This Row],[QUANTIDADE]]&lt;&gt;0,((MateriaisCampo[[#This Row],[TOT CUSTO]]/MateriaisCampo[[#This Row],[QUANTIDADE]])/MateriaisCampo[[#This Row],[MARK-UP]]),0)</f>
        <v>0.1164849560665616</v>
      </c>
      <c r="AI173" s="453">
        <f>MateriaisCampo[[#This Row],[UNIT VENDA]]*MateriaisCampo[[#This Row],[QUANTIDADE]]</f>
        <v>10.250676133857421</v>
      </c>
      <c r="AJ173" s="453">
        <f>IFERROR(MateriaisCampo[[#This Row],[VENDA]]*(RESUMO!$F$55/RESUMO!$F$45),0)</f>
        <v>13.016731598549105</v>
      </c>
      <c r="AK173" s="453">
        <f>IFERROR(MateriaisCampo[[#This Row],[VENDA]]*(RESUMO!$F$58/RESUMO!$F$45),0)</f>
        <v>13.016731598549105</v>
      </c>
      <c r="AL173" s="454">
        <f>IF(MateriaisCampo[[#This Row],[FATURAMENTO]]="NORMAL",MateriaisCampo[[#This Row],[VENDA]],0)</f>
        <v>10.250676133857421</v>
      </c>
    </row>
    <row r="174" spans="1:38" x14ac:dyDescent="0.25">
      <c r="A174" s="113" t="s">
        <v>652</v>
      </c>
      <c r="B174" s="113" t="s">
        <v>652</v>
      </c>
      <c r="C174" s="113" t="s">
        <v>679</v>
      </c>
      <c r="D174" s="113" t="s">
        <v>726</v>
      </c>
      <c r="E174" s="434" t="s">
        <v>655</v>
      </c>
      <c r="F174" s="434">
        <f t="shared" si="0"/>
        <v>0</v>
      </c>
      <c r="G174" s="113"/>
      <c r="H174" s="435" t="s">
        <v>603</v>
      </c>
      <c r="I174" s="436">
        <f>I173</f>
        <v>88</v>
      </c>
      <c r="J174" s="437">
        <f>J173</f>
        <v>0.12</v>
      </c>
      <c r="K174" s="438">
        <v>0.18</v>
      </c>
      <c r="L174" s="438">
        <v>6.5000000000000002E-2</v>
      </c>
      <c r="M174" s="458"/>
      <c r="N174" s="445">
        <f>MateriaisCampo[[#This Row],[UNIT S/IPI S/DESC]]-MateriaisCampo[[#This Row],[UNIT S/IPI S/DESC]]*MateriaisCampo[[#This Row],[% DESC]]</f>
        <v>0.12</v>
      </c>
      <c r="O174" s="441" t="s">
        <v>295</v>
      </c>
      <c r="P174" s="442" t="s">
        <v>155</v>
      </c>
      <c r="Q174" s="438">
        <v>1.6500000000000001E-2</v>
      </c>
      <c r="R174" s="438">
        <v>7.5999999999999998E-2</v>
      </c>
      <c r="S174" s="443">
        <f>MateriaisCampo[[#This Row],[UNIT S/ IP + DIF ICMS]]*MateriaisCampo[[#This Row],[QUANTIDADE]]</f>
        <v>10.559999999999999</v>
      </c>
      <c r="T174" s="444">
        <f>MateriaisCampo[[#This Row],[TOTAL S/ IPI]]+(MateriaisCampo[[#This Row],[TOTAL S/ IPI]]*MateriaisCampo[[#This Row],[IPI %]])</f>
        <v>11.246399999999998</v>
      </c>
      <c r="U174" s="445">
        <f>IF(AND(MateriaisCampo[[#This Row],[ICMS %]]&lt;&gt;18%,MateriaisCampo[[#This Row],[ORIGEM]]&lt;&gt;"SÃO PAULO"),((18%-MateriaisCampo[[#This Row],[ICMS %]])*MateriaisCampo[[#This Row],[UNIT S/ IPI C/DESC]]),0)</f>
        <v>0</v>
      </c>
      <c r="V174" s="437">
        <f>MateriaisCampo[[#This Row],[UNIT S/ IPI C/DESC]]*MateriaisCampo[[#This Row],[ICMS %]]</f>
        <v>2.1599999999999998E-2</v>
      </c>
      <c r="W174" s="437">
        <f>MateriaisCampo[[#This Row],[ICMS $]]*MateriaisCampo[[#This Row],[QUANTIDADE]]</f>
        <v>1.9007999999999998</v>
      </c>
      <c r="X174" s="446">
        <f>MateriaisCampo[[#This Row],[UNIT S/ IPI C/DESC]]+MateriaisCampo[[#This Row],[DIFERENCIAL ICMS]]</f>
        <v>0.12</v>
      </c>
      <c r="Y174" s="446">
        <f>(MateriaisCampo[[#This Row],[PIS]]*MateriaisCampo[[#This Row],[UNIT S/ IPI C/DESC]])/2</f>
        <v>9.8999999999999999E-4</v>
      </c>
      <c r="Z174" s="446">
        <f>(MateriaisCampo[[#This Row],[COFINS]]*MateriaisCampo[[#This Row],[UNIT S/ IPI C/DESC]])/2</f>
        <v>4.5599999999999998E-3</v>
      </c>
      <c r="AA174" s="445">
        <f>MateriaisCampo[[#This Row],[UNIT S/ IP + DIF ICMS]]+(MateriaisCampo[[#This Row],[UNIT S/ IP + DIF ICMS]]*MateriaisCampo[[#This Row],[IPI %]])</f>
        <v>0.1278</v>
      </c>
      <c r="AB174" s="448">
        <f>_xlfn.XLOOKUP(MateriaisCampo[[#This Row],[FATURAMENTO]],BASE!$U$48:$U$50,BASE!$W$48:$W$50,0,0,1)</f>
        <v>0.79709863947533133</v>
      </c>
      <c r="AC174" s="510" t="str">
        <f>RESUMO!$E$56</f>
        <v>SIM</v>
      </c>
      <c r="AD174" s="449" t="str">
        <f>RESUMO!$E$57</f>
        <v>SIM</v>
      </c>
      <c r="AE17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9.2850000000000002E-2</v>
      </c>
      <c r="AF174" s="450">
        <f>MateriaisCampo[[#This Row],[UNIT CRED]]*MateriaisCampo[[#This Row],[QUANTIDADE]]</f>
        <v>8.1707999999999998</v>
      </c>
      <c r="AG174" s="451">
        <f>MateriaisCampo[[#This Row],[TOT CRED]]</f>
        <v>8.1707999999999998</v>
      </c>
      <c r="AH174" s="452">
        <f>IF(MateriaisCampo[[#This Row],[QUANTIDADE]]&lt;&gt;0,((MateriaisCampo[[#This Row],[TOT CUSTO]]/MateriaisCampo[[#This Row],[QUANTIDADE]])/MateriaisCampo[[#This Row],[MARK-UP]]),0)</f>
        <v>0.1164849560665616</v>
      </c>
      <c r="AI174" s="453">
        <f>MateriaisCampo[[#This Row],[UNIT VENDA]]*MateriaisCampo[[#This Row],[QUANTIDADE]]</f>
        <v>10.250676133857421</v>
      </c>
      <c r="AJ174" s="453">
        <f>IFERROR(MateriaisCampo[[#This Row],[VENDA]]*(RESUMO!$F$55/RESUMO!$F$45),0)</f>
        <v>13.016731598549105</v>
      </c>
      <c r="AK174" s="453">
        <f>IFERROR(MateriaisCampo[[#This Row],[VENDA]]*(RESUMO!$F$58/RESUMO!$F$45),0)</f>
        <v>13.016731598549105</v>
      </c>
      <c r="AL174" s="454">
        <f>IF(MateriaisCampo[[#This Row],[FATURAMENTO]]="NORMAL",MateriaisCampo[[#This Row],[VENDA]],0)</f>
        <v>10.250676133857421</v>
      </c>
    </row>
    <row r="175" spans="1:38" x14ac:dyDescent="0.25">
      <c r="A175" s="113"/>
      <c r="B175" s="113"/>
      <c r="C175" s="113"/>
      <c r="D175" s="113"/>
      <c r="E175" s="434"/>
      <c r="F175" s="434">
        <f t="shared" si="0"/>
        <v>0</v>
      </c>
      <c r="G175" s="113"/>
      <c r="H175" s="435"/>
      <c r="I175" s="436"/>
      <c r="J175" s="437"/>
      <c r="K175" s="438"/>
      <c r="L175" s="438"/>
      <c r="M175" s="458"/>
      <c r="N175" s="445">
        <f>MateriaisCampo[[#This Row],[UNIT S/IPI S/DESC]]-MateriaisCampo[[#This Row],[UNIT S/IPI S/DESC]]*MateriaisCampo[[#This Row],[% DESC]]</f>
        <v>0</v>
      </c>
      <c r="O175" s="441" t="s">
        <v>295</v>
      </c>
      <c r="P175" s="442" t="s">
        <v>155</v>
      </c>
      <c r="Q175" s="438">
        <v>1.6500000000000001E-2</v>
      </c>
      <c r="R175" s="438">
        <v>7.5999999999999998E-2</v>
      </c>
      <c r="S175" s="443">
        <f>MateriaisCampo[[#This Row],[UNIT S/ IP + DIF ICMS]]*MateriaisCampo[[#This Row],[QUANTIDADE]]</f>
        <v>0</v>
      </c>
      <c r="T175" s="444">
        <f>MateriaisCampo[[#This Row],[TOTAL S/ IPI]]+(MateriaisCampo[[#This Row],[TOTAL S/ IPI]]*MateriaisCampo[[#This Row],[IPI %]])</f>
        <v>0</v>
      </c>
      <c r="U175" s="445">
        <f>IF(AND(MateriaisCampo[[#This Row],[ICMS %]]&lt;&gt;18%,MateriaisCampo[[#This Row],[ORIGEM]]&lt;&gt;"SÃO PAULO"),((18%-MateriaisCampo[[#This Row],[ICMS %]])*MateriaisCampo[[#This Row],[UNIT S/ IPI C/DESC]]),0)</f>
        <v>0</v>
      </c>
      <c r="V175" s="437">
        <f>MateriaisCampo[[#This Row],[UNIT S/ IPI C/DESC]]*MateriaisCampo[[#This Row],[ICMS %]]</f>
        <v>0</v>
      </c>
      <c r="W175" s="437">
        <f>MateriaisCampo[[#This Row],[ICMS $]]*MateriaisCampo[[#This Row],[QUANTIDADE]]</f>
        <v>0</v>
      </c>
      <c r="X175" s="446">
        <f>MateriaisCampo[[#This Row],[UNIT S/ IPI C/DESC]]+MateriaisCampo[[#This Row],[DIFERENCIAL ICMS]]</f>
        <v>0</v>
      </c>
      <c r="Y175" s="446">
        <f>(MateriaisCampo[[#This Row],[PIS]]*MateriaisCampo[[#This Row],[UNIT S/ IPI C/DESC]])/2</f>
        <v>0</v>
      </c>
      <c r="Z175" s="446">
        <f>(MateriaisCampo[[#This Row],[COFINS]]*MateriaisCampo[[#This Row],[UNIT S/ IPI C/DESC]])/2</f>
        <v>0</v>
      </c>
      <c r="AA175" s="445">
        <f>MateriaisCampo[[#This Row],[UNIT S/ IP + DIF ICMS]]+(MateriaisCampo[[#This Row],[UNIT S/ IP + DIF ICMS]]*MateriaisCampo[[#This Row],[IPI %]])</f>
        <v>0</v>
      </c>
      <c r="AB175" s="448">
        <f>_xlfn.XLOOKUP(MateriaisCampo[[#This Row],[FATURAMENTO]],BASE!$U$48:$U$50,BASE!$W$48:$W$50,0,0,1)</f>
        <v>0.79709863947533133</v>
      </c>
      <c r="AC175" s="510" t="str">
        <f>RESUMO!$E$56</f>
        <v>SIM</v>
      </c>
      <c r="AD175" s="449" t="str">
        <f>RESUMO!$E$57</f>
        <v>SIM</v>
      </c>
      <c r="AE17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75" s="450">
        <f>MateriaisCampo[[#This Row],[UNIT CRED]]*MateriaisCampo[[#This Row],[QUANTIDADE]]</f>
        <v>0</v>
      </c>
      <c r="AG175" s="451">
        <f>MateriaisCampo[[#This Row],[TOT CRED]]</f>
        <v>0</v>
      </c>
      <c r="AH175" s="452">
        <f>IF(MateriaisCampo[[#This Row],[QUANTIDADE]]&lt;&gt;0,((MateriaisCampo[[#This Row],[TOT CUSTO]]/MateriaisCampo[[#This Row],[QUANTIDADE]])/MateriaisCampo[[#This Row],[MARK-UP]]),0)</f>
        <v>0</v>
      </c>
      <c r="AI175" s="453">
        <f>MateriaisCampo[[#This Row],[UNIT VENDA]]*MateriaisCampo[[#This Row],[QUANTIDADE]]</f>
        <v>0</v>
      </c>
      <c r="AJ175" s="453">
        <f>IFERROR(MateriaisCampo[[#This Row],[VENDA]]*(RESUMO!$F$55/RESUMO!$F$45),0)</f>
        <v>0</v>
      </c>
      <c r="AK175" s="453">
        <f>IFERROR(MateriaisCampo[[#This Row],[VENDA]]*(RESUMO!$F$58/RESUMO!$F$45),0)</f>
        <v>0</v>
      </c>
      <c r="AL175" s="454">
        <f>IF(MateriaisCampo[[#This Row],[FATURAMENTO]]="NORMAL",MateriaisCampo[[#This Row],[VENDA]],0)</f>
        <v>0</v>
      </c>
    </row>
    <row r="176" spans="1:38" x14ac:dyDescent="0.25">
      <c r="A176" s="113"/>
      <c r="B176" s="113"/>
      <c r="C176" s="113"/>
      <c r="D176" s="113"/>
      <c r="E176" s="434"/>
      <c r="F176" s="434">
        <f t="shared" si="0"/>
        <v>0</v>
      </c>
      <c r="G176" s="113"/>
      <c r="H176" s="435"/>
      <c r="I176" s="436"/>
      <c r="J176" s="437"/>
      <c r="K176" s="438"/>
      <c r="L176" s="438"/>
      <c r="M176" s="458"/>
      <c r="N176" s="445">
        <f>MateriaisCampo[[#This Row],[UNIT S/IPI S/DESC]]-MateriaisCampo[[#This Row],[UNIT S/IPI S/DESC]]*MateriaisCampo[[#This Row],[% DESC]]</f>
        <v>0</v>
      </c>
      <c r="O176" s="441" t="s">
        <v>295</v>
      </c>
      <c r="P176" s="442" t="s">
        <v>155</v>
      </c>
      <c r="Q176" s="438">
        <v>1.6500000000000001E-2</v>
      </c>
      <c r="R176" s="438">
        <v>7.5999999999999998E-2</v>
      </c>
      <c r="S176" s="443">
        <f>MateriaisCampo[[#This Row],[UNIT S/ IP + DIF ICMS]]*MateriaisCampo[[#This Row],[QUANTIDADE]]</f>
        <v>0</v>
      </c>
      <c r="T176" s="444">
        <f>MateriaisCampo[[#This Row],[TOTAL S/ IPI]]+(MateriaisCampo[[#This Row],[TOTAL S/ IPI]]*MateriaisCampo[[#This Row],[IPI %]])</f>
        <v>0</v>
      </c>
      <c r="U176" s="445">
        <f>IF(AND(MateriaisCampo[[#This Row],[ICMS %]]&lt;&gt;18%,MateriaisCampo[[#This Row],[ORIGEM]]&lt;&gt;"SÃO PAULO"),((18%-MateriaisCampo[[#This Row],[ICMS %]])*MateriaisCampo[[#This Row],[UNIT S/ IPI C/DESC]]),0)</f>
        <v>0</v>
      </c>
      <c r="V176" s="437">
        <f>MateriaisCampo[[#This Row],[UNIT S/ IPI C/DESC]]*MateriaisCampo[[#This Row],[ICMS %]]</f>
        <v>0</v>
      </c>
      <c r="W176" s="437">
        <f>MateriaisCampo[[#This Row],[ICMS $]]*MateriaisCampo[[#This Row],[QUANTIDADE]]</f>
        <v>0</v>
      </c>
      <c r="X176" s="446">
        <f>MateriaisCampo[[#This Row],[UNIT S/ IPI C/DESC]]+MateriaisCampo[[#This Row],[DIFERENCIAL ICMS]]</f>
        <v>0</v>
      </c>
      <c r="Y176" s="446">
        <f>(MateriaisCampo[[#This Row],[PIS]]*MateriaisCampo[[#This Row],[UNIT S/ IPI C/DESC]])/2</f>
        <v>0</v>
      </c>
      <c r="Z176" s="446">
        <f>(MateriaisCampo[[#This Row],[COFINS]]*MateriaisCampo[[#This Row],[UNIT S/ IPI C/DESC]])/2</f>
        <v>0</v>
      </c>
      <c r="AA176" s="445">
        <f>MateriaisCampo[[#This Row],[UNIT S/ IP + DIF ICMS]]+(MateriaisCampo[[#This Row],[UNIT S/ IP + DIF ICMS]]*MateriaisCampo[[#This Row],[IPI %]])</f>
        <v>0</v>
      </c>
      <c r="AB176" s="448">
        <f>_xlfn.XLOOKUP(MateriaisCampo[[#This Row],[FATURAMENTO]],BASE!$U$48:$U$50,BASE!$W$48:$W$50,0,0,1)</f>
        <v>0.79709863947533133</v>
      </c>
      <c r="AC176" s="510" t="str">
        <f>RESUMO!$E$56</f>
        <v>SIM</v>
      </c>
      <c r="AD176" s="449" t="str">
        <f>RESUMO!$E$57</f>
        <v>SIM</v>
      </c>
      <c r="AE17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76" s="450">
        <f>MateriaisCampo[[#This Row],[UNIT CRED]]*MateriaisCampo[[#This Row],[QUANTIDADE]]</f>
        <v>0</v>
      </c>
      <c r="AG176" s="451">
        <f>MateriaisCampo[[#This Row],[TOT CRED]]</f>
        <v>0</v>
      </c>
      <c r="AH176" s="452">
        <f>IF(MateriaisCampo[[#This Row],[QUANTIDADE]]&lt;&gt;0,((MateriaisCampo[[#This Row],[TOT CUSTO]]/MateriaisCampo[[#This Row],[QUANTIDADE]])/MateriaisCampo[[#This Row],[MARK-UP]]),0)</f>
        <v>0</v>
      </c>
      <c r="AI176" s="453">
        <f>MateriaisCampo[[#This Row],[UNIT VENDA]]*MateriaisCampo[[#This Row],[QUANTIDADE]]</f>
        <v>0</v>
      </c>
      <c r="AJ176" s="453">
        <f>IFERROR(MateriaisCampo[[#This Row],[VENDA]]*(RESUMO!$F$55/RESUMO!$F$45),0)</f>
        <v>0</v>
      </c>
      <c r="AK176" s="453">
        <f>IFERROR(MateriaisCampo[[#This Row],[VENDA]]*(RESUMO!$F$58/RESUMO!$F$45),0)</f>
        <v>0</v>
      </c>
      <c r="AL176" s="454">
        <f>IF(MateriaisCampo[[#This Row],[FATURAMENTO]]="NORMAL",MateriaisCampo[[#This Row],[VENDA]],0)</f>
        <v>0</v>
      </c>
    </row>
    <row r="177" spans="1:38" x14ac:dyDescent="0.25">
      <c r="A177" s="484" t="s">
        <v>652</v>
      </c>
      <c r="B177" s="484" t="s">
        <v>652</v>
      </c>
      <c r="C177" s="484" t="s">
        <v>734</v>
      </c>
      <c r="D177" s="484"/>
      <c r="E177" s="485"/>
      <c r="F177" s="485">
        <v>0</v>
      </c>
      <c r="G177" s="484"/>
      <c r="H177" s="486"/>
      <c r="I177" s="487"/>
      <c r="J177" s="488"/>
      <c r="K177" s="438"/>
      <c r="L177" s="438"/>
      <c r="M177" s="458"/>
      <c r="N177" s="445">
        <f>MateriaisCampo[[#This Row],[UNIT S/IPI S/DESC]]-MateriaisCampo[[#This Row],[UNIT S/IPI S/DESC]]*MateriaisCampo[[#This Row],[% DESC]]</f>
        <v>0</v>
      </c>
      <c r="O177" s="441" t="s">
        <v>295</v>
      </c>
      <c r="P177" s="442" t="s">
        <v>155</v>
      </c>
      <c r="Q177" s="438">
        <v>1.6500000000000001E-2</v>
      </c>
      <c r="R177" s="438">
        <v>7.5999999999999998E-2</v>
      </c>
      <c r="S177" s="443">
        <f>MateriaisCampo[[#This Row],[UNIT S/ IP + DIF ICMS]]*MateriaisCampo[[#This Row],[QUANTIDADE]]</f>
        <v>0</v>
      </c>
      <c r="T177" s="444">
        <f>MateriaisCampo[[#This Row],[TOTAL S/ IPI]]+(MateriaisCampo[[#This Row],[TOTAL S/ IPI]]*MateriaisCampo[[#This Row],[IPI %]])</f>
        <v>0</v>
      </c>
      <c r="U177" s="445">
        <f>IF(AND(MateriaisCampo[[#This Row],[ICMS %]]&lt;&gt;18%,MateriaisCampo[[#This Row],[ORIGEM]]&lt;&gt;"SÃO PAULO"),((18%-MateriaisCampo[[#This Row],[ICMS %]])*MateriaisCampo[[#This Row],[UNIT S/ IPI C/DESC]]),0)</f>
        <v>0</v>
      </c>
      <c r="V177" s="437">
        <f>MateriaisCampo[[#This Row],[UNIT S/ IPI C/DESC]]*MateriaisCampo[[#This Row],[ICMS %]]</f>
        <v>0</v>
      </c>
      <c r="W177" s="437">
        <f>MateriaisCampo[[#This Row],[ICMS $]]*MateriaisCampo[[#This Row],[QUANTIDADE]]</f>
        <v>0</v>
      </c>
      <c r="X177" s="446">
        <f>MateriaisCampo[[#This Row],[UNIT S/ IPI C/DESC]]+MateriaisCampo[[#This Row],[DIFERENCIAL ICMS]]</f>
        <v>0</v>
      </c>
      <c r="Y177" s="446">
        <f>(MateriaisCampo[[#This Row],[PIS]]*MateriaisCampo[[#This Row],[UNIT S/ IPI C/DESC]])/2</f>
        <v>0</v>
      </c>
      <c r="Z177" s="446">
        <f>(MateriaisCampo[[#This Row],[COFINS]]*MateriaisCampo[[#This Row],[UNIT S/ IPI C/DESC]])/2</f>
        <v>0</v>
      </c>
      <c r="AA177" s="445">
        <f>MateriaisCampo[[#This Row],[UNIT S/ IP + DIF ICMS]]+(MateriaisCampo[[#This Row],[UNIT S/ IP + DIF ICMS]]*MateriaisCampo[[#This Row],[IPI %]])</f>
        <v>0</v>
      </c>
      <c r="AB177" s="448">
        <f>_xlfn.XLOOKUP(MateriaisCampo[[#This Row],[FATURAMENTO]],BASE!$U$48:$U$50,BASE!$W$48:$W$50,0,0,1)</f>
        <v>0.79709863947533133</v>
      </c>
      <c r="AC177" s="510" t="str">
        <f>RESUMO!$E$56</f>
        <v>SIM</v>
      </c>
      <c r="AD177" s="449" t="str">
        <f>RESUMO!$E$57</f>
        <v>SIM</v>
      </c>
      <c r="AE17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77" s="450">
        <f>MateriaisCampo[[#This Row],[UNIT CRED]]*MateriaisCampo[[#This Row],[QUANTIDADE]]</f>
        <v>0</v>
      </c>
      <c r="AG177" s="451">
        <f>MateriaisCampo[[#This Row],[TOT CRED]]</f>
        <v>0</v>
      </c>
      <c r="AH177" s="452">
        <f>IF(MateriaisCampo[[#This Row],[QUANTIDADE]]&lt;&gt;0,((MateriaisCampo[[#This Row],[TOT CUSTO]]/MateriaisCampo[[#This Row],[QUANTIDADE]])/MateriaisCampo[[#This Row],[MARK-UP]]),0)</f>
        <v>0</v>
      </c>
      <c r="AI177" s="453">
        <f>MateriaisCampo[[#This Row],[UNIT VENDA]]*MateriaisCampo[[#This Row],[QUANTIDADE]]</f>
        <v>0</v>
      </c>
      <c r="AJ177" s="453">
        <f>IFERROR(MateriaisCampo[[#This Row],[VENDA]]*(RESUMO!$F$55/RESUMO!$F$45),0)</f>
        <v>0</v>
      </c>
      <c r="AK177" s="453">
        <f>IFERROR(MateriaisCampo[[#This Row],[VENDA]]*(RESUMO!$F$58/RESUMO!$F$45),0)</f>
        <v>0</v>
      </c>
      <c r="AL177" s="454">
        <f>IF(MateriaisCampo[[#This Row],[FATURAMENTO]]="NORMAL",MateriaisCampo[[#This Row],[VENDA]],0)</f>
        <v>0</v>
      </c>
    </row>
    <row r="178" spans="1:38" x14ac:dyDescent="0.25">
      <c r="A178" s="113" t="s">
        <v>652</v>
      </c>
      <c r="B178" s="113" t="s">
        <v>652</v>
      </c>
      <c r="C178" s="113" t="s">
        <v>735</v>
      </c>
      <c r="D178" s="113" t="s">
        <v>736</v>
      </c>
      <c r="E178" s="434" t="s">
        <v>748</v>
      </c>
      <c r="F178" s="434">
        <f t="shared" si="0"/>
        <v>0</v>
      </c>
      <c r="G178" s="113"/>
      <c r="H178" s="435" t="s">
        <v>603</v>
      </c>
      <c r="I178" s="436">
        <v>11</v>
      </c>
      <c r="J178" s="437">
        <v>132</v>
      </c>
      <c r="K178" s="438">
        <v>0.18</v>
      </c>
      <c r="L178" s="438">
        <v>0</v>
      </c>
      <c r="M178" s="458"/>
      <c r="N178" s="445">
        <f>MateriaisCampo[[#This Row],[UNIT S/IPI S/DESC]]-MateriaisCampo[[#This Row],[UNIT S/IPI S/DESC]]*MateriaisCampo[[#This Row],[% DESC]]</f>
        <v>132</v>
      </c>
      <c r="O178" s="441" t="s">
        <v>295</v>
      </c>
      <c r="P178" s="442" t="s">
        <v>155</v>
      </c>
      <c r="Q178" s="438">
        <v>1.6500000000000001E-2</v>
      </c>
      <c r="R178" s="438">
        <v>7.5999999999999998E-2</v>
      </c>
      <c r="S178" s="443">
        <f>MateriaisCampo[[#This Row],[UNIT S/ IP + DIF ICMS]]*MateriaisCampo[[#This Row],[QUANTIDADE]]</f>
        <v>1452</v>
      </c>
      <c r="T178" s="444">
        <f>MateriaisCampo[[#This Row],[TOTAL S/ IPI]]+(MateriaisCampo[[#This Row],[TOTAL S/ IPI]]*MateriaisCampo[[#This Row],[IPI %]])</f>
        <v>1452</v>
      </c>
      <c r="U178" s="445">
        <f>IF(AND(MateriaisCampo[[#This Row],[ICMS %]]&lt;&gt;18%,MateriaisCampo[[#This Row],[ORIGEM]]&lt;&gt;"SÃO PAULO"),((18%-MateriaisCampo[[#This Row],[ICMS %]])*MateriaisCampo[[#This Row],[UNIT S/ IPI C/DESC]]),0)</f>
        <v>0</v>
      </c>
      <c r="V178" s="437">
        <f>MateriaisCampo[[#This Row],[UNIT S/ IPI C/DESC]]*MateriaisCampo[[#This Row],[ICMS %]]</f>
        <v>23.759999999999998</v>
      </c>
      <c r="W178" s="437">
        <f>MateriaisCampo[[#This Row],[ICMS $]]*MateriaisCampo[[#This Row],[QUANTIDADE]]</f>
        <v>261.35999999999996</v>
      </c>
      <c r="X178" s="446">
        <f>MateriaisCampo[[#This Row],[UNIT S/ IPI C/DESC]]+MateriaisCampo[[#This Row],[DIFERENCIAL ICMS]]</f>
        <v>132</v>
      </c>
      <c r="Y178" s="446">
        <f>(MateriaisCampo[[#This Row],[PIS]]*MateriaisCampo[[#This Row],[UNIT S/ IPI C/DESC]])/2</f>
        <v>1.089</v>
      </c>
      <c r="Z178" s="446">
        <f>(MateriaisCampo[[#This Row],[COFINS]]*MateriaisCampo[[#This Row],[UNIT S/ IPI C/DESC]])/2</f>
        <v>5.016</v>
      </c>
      <c r="AA178" s="445">
        <f>MateriaisCampo[[#This Row],[UNIT S/ IP + DIF ICMS]]+(MateriaisCampo[[#This Row],[UNIT S/ IP + DIF ICMS]]*MateriaisCampo[[#This Row],[IPI %]])</f>
        <v>132</v>
      </c>
      <c r="AB178" s="448">
        <f>_xlfn.XLOOKUP(MateriaisCampo[[#This Row],[FATURAMENTO]],BASE!$U$48:$U$50,BASE!$W$48:$W$50,0,0,1)</f>
        <v>0.79709863947533133</v>
      </c>
      <c r="AC178" s="510" t="str">
        <f>RESUMO!$E$56</f>
        <v>SIM</v>
      </c>
      <c r="AD178" s="449" t="str">
        <f>RESUMO!$E$57</f>
        <v>SIM</v>
      </c>
      <c r="AE17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102.13500000000001</v>
      </c>
      <c r="AF178" s="450">
        <f>MateriaisCampo[[#This Row],[UNIT CRED]]*MateriaisCampo[[#This Row],[QUANTIDADE]]</f>
        <v>1123.4850000000001</v>
      </c>
      <c r="AG178" s="451">
        <f>MateriaisCampo[[#This Row],[TOT CRED]]</f>
        <v>1123.4850000000001</v>
      </c>
      <c r="AH178" s="452">
        <f>IF(MateriaisCampo[[#This Row],[QUANTIDADE]]&lt;&gt;0,((MateriaisCampo[[#This Row],[TOT CUSTO]]/MateriaisCampo[[#This Row],[QUANTIDADE]])/MateriaisCampo[[#This Row],[MARK-UP]]),0)</f>
        <v>128.13345167321776</v>
      </c>
      <c r="AI178" s="453">
        <f>MateriaisCampo[[#This Row],[UNIT VENDA]]*MateriaisCampo[[#This Row],[QUANTIDADE]]</f>
        <v>1409.4679684053954</v>
      </c>
      <c r="AJ178" s="453">
        <f>IFERROR(MateriaisCampo[[#This Row],[VENDA]]*(RESUMO!$F$55/RESUMO!$F$45),0)</f>
        <v>1789.800594800502</v>
      </c>
      <c r="AK178" s="453">
        <f>IFERROR(MateriaisCampo[[#This Row],[VENDA]]*(RESUMO!$F$58/RESUMO!$F$45),0)</f>
        <v>1789.800594800502</v>
      </c>
      <c r="AL178" s="454">
        <f>IF(MateriaisCampo[[#This Row],[FATURAMENTO]]="NORMAL",MateriaisCampo[[#This Row],[VENDA]],0)</f>
        <v>1409.4679684053954</v>
      </c>
    </row>
    <row r="179" spans="1:38" x14ac:dyDescent="0.25">
      <c r="A179" s="113" t="s">
        <v>652</v>
      </c>
      <c r="B179" s="113" t="s">
        <v>652</v>
      </c>
      <c r="C179" s="113" t="s">
        <v>737</v>
      </c>
      <c r="D179" s="113" t="s">
        <v>736</v>
      </c>
      <c r="E179" s="434" t="s">
        <v>748</v>
      </c>
      <c r="F179" s="434">
        <f t="shared" si="0"/>
        <v>0</v>
      </c>
      <c r="G179" s="113"/>
      <c r="H179" s="435" t="s">
        <v>603</v>
      </c>
      <c r="I179" s="436">
        <v>6</v>
      </c>
      <c r="J179" s="437">
        <v>58.9</v>
      </c>
      <c r="K179" s="438">
        <v>0.18</v>
      </c>
      <c r="L179" s="438">
        <v>0</v>
      </c>
      <c r="M179" s="458"/>
      <c r="N179" s="445">
        <f>MateriaisCampo[[#This Row],[UNIT S/IPI S/DESC]]-MateriaisCampo[[#This Row],[UNIT S/IPI S/DESC]]*MateriaisCampo[[#This Row],[% DESC]]</f>
        <v>58.9</v>
      </c>
      <c r="O179" s="441" t="s">
        <v>295</v>
      </c>
      <c r="P179" s="442" t="s">
        <v>155</v>
      </c>
      <c r="Q179" s="438">
        <v>1.6500000000000001E-2</v>
      </c>
      <c r="R179" s="438">
        <v>7.5999999999999998E-2</v>
      </c>
      <c r="S179" s="443">
        <f>MateriaisCampo[[#This Row],[UNIT S/ IP + DIF ICMS]]*MateriaisCampo[[#This Row],[QUANTIDADE]]</f>
        <v>353.4</v>
      </c>
      <c r="T179" s="444">
        <f>MateriaisCampo[[#This Row],[TOTAL S/ IPI]]+(MateriaisCampo[[#This Row],[TOTAL S/ IPI]]*MateriaisCampo[[#This Row],[IPI %]])</f>
        <v>353.4</v>
      </c>
      <c r="U179" s="445">
        <f>IF(AND(MateriaisCampo[[#This Row],[ICMS %]]&lt;&gt;18%,MateriaisCampo[[#This Row],[ORIGEM]]&lt;&gt;"SÃO PAULO"),((18%-MateriaisCampo[[#This Row],[ICMS %]])*MateriaisCampo[[#This Row],[UNIT S/ IPI C/DESC]]),0)</f>
        <v>0</v>
      </c>
      <c r="V179" s="437">
        <f>MateriaisCampo[[#This Row],[UNIT S/ IPI C/DESC]]*MateriaisCampo[[#This Row],[ICMS %]]</f>
        <v>10.601999999999999</v>
      </c>
      <c r="W179" s="437">
        <f>MateriaisCampo[[#This Row],[ICMS $]]*MateriaisCampo[[#This Row],[QUANTIDADE]]</f>
        <v>63.611999999999995</v>
      </c>
      <c r="X179" s="446">
        <f>MateriaisCampo[[#This Row],[UNIT S/ IPI C/DESC]]+MateriaisCampo[[#This Row],[DIFERENCIAL ICMS]]</f>
        <v>58.9</v>
      </c>
      <c r="Y179" s="446">
        <f>(MateriaisCampo[[#This Row],[PIS]]*MateriaisCampo[[#This Row],[UNIT S/ IPI C/DESC]])/2</f>
        <v>0.485925</v>
      </c>
      <c r="Z179" s="446">
        <f>(MateriaisCampo[[#This Row],[COFINS]]*MateriaisCampo[[#This Row],[UNIT S/ IPI C/DESC]])/2</f>
        <v>2.2382</v>
      </c>
      <c r="AA179" s="445">
        <f>MateriaisCampo[[#This Row],[UNIT S/ IP + DIF ICMS]]+(MateriaisCampo[[#This Row],[UNIT S/ IP + DIF ICMS]]*MateriaisCampo[[#This Row],[IPI %]])</f>
        <v>58.9</v>
      </c>
      <c r="AB179" s="448">
        <f>_xlfn.XLOOKUP(MateriaisCampo[[#This Row],[FATURAMENTO]],BASE!$U$48:$U$50,BASE!$W$48:$W$50,0,0,1)</f>
        <v>0.79709863947533133</v>
      </c>
      <c r="AC179" s="510" t="str">
        <f>RESUMO!$E$56</f>
        <v>SIM</v>
      </c>
      <c r="AD179" s="449" t="str">
        <f>RESUMO!$E$57</f>
        <v>SIM</v>
      </c>
      <c r="AE17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45.573875000000001</v>
      </c>
      <c r="AF179" s="450">
        <f>MateriaisCampo[[#This Row],[UNIT CRED]]*MateriaisCampo[[#This Row],[QUANTIDADE]]</f>
        <v>273.44325000000003</v>
      </c>
      <c r="AG179" s="451">
        <f>MateriaisCampo[[#This Row],[TOT CRED]]</f>
        <v>273.44325000000003</v>
      </c>
      <c r="AH179" s="452">
        <f>IF(MateriaisCampo[[#This Row],[QUANTIDADE]]&lt;&gt;0,((MateriaisCampo[[#This Row],[TOT CUSTO]]/MateriaisCampo[[#This Row],[QUANTIDADE]])/MateriaisCampo[[#This Row],[MARK-UP]]),0)</f>
        <v>57.174699269337331</v>
      </c>
      <c r="AI179" s="453">
        <f>MateriaisCampo[[#This Row],[UNIT VENDA]]*MateriaisCampo[[#This Row],[QUANTIDADE]]</f>
        <v>343.04819561602397</v>
      </c>
      <c r="AJ179" s="453">
        <f>IFERROR(MateriaisCampo[[#This Row],[VENDA]]*(RESUMO!$F$55/RESUMO!$F$45),0)</f>
        <v>435.61675633780817</v>
      </c>
      <c r="AK179" s="453">
        <f>IFERROR(MateriaisCampo[[#This Row],[VENDA]]*(RESUMO!$F$58/RESUMO!$F$45),0)</f>
        <v>435.61675633780817</v>
      </c>
      <c r="AL179" s="454">
        <f>IF(MateriaisCampo[[#This Row],[FATURAMENTO]]="NORMAL",MateriaisCampo[[#This Row],[VENDA]],0)</f>
        <v>343.04819561602397</v>
      </c>
    </row>
    <row r="180" spans="1:38" x14ac:dyDescent="0.25">
      <c r="A180" s="113" t="s">
        <v>652</v>
      </c>
      <c r="B180" s="113" t="s">
        <v>652</v>
      </c>
      <c r="C180" s="113" t="s">
        <v>741</v>
      </c>
      <c r="D180" s="113" t="s">
        <v>736</v>
      </c>
      <c r="E180" s="434" t="s">
        <v>748</v>
      </c>
      <c r="F180" s="434">
        <f t="shared" si="0"/>
        <v>0</v>
      </c>
      <c r="G180" s="113"/>
      <c r="H180" s="435" t="s">
        <v>603</v>
      </c>
      <c r="I180" s="436">
        <v>175</v>
      </c>
      <c r="J180" s="437">
        <v>48</v>
      </c>
      <c r="K180" s="438">
        <v>0.18</v>
      </c>
      <c r="L180" s="438">
        <v>0</v>
      </c>
      <c r="M180" s="458"/>
      <c r="N180" s="445">
        <f>MateriaisCampo[[#This Row],[UNIT S/IPI S/DESC]]-MateriaisCampo[[#This Row],[UNIT S/IPI S/DESC]]*MateriaisCampo[[#This Row],[% DESC]]</f>
        <v>48</v>
      </c>
      <c r="O180" s="441" t="s">
        <v>295</v>
      </c>
      <c r="P180" s="442" t="s">
        <v>155</v>
      </c>
      <c r="Q180" s="438">
        <v>1.6500000000000001E-2</v>
      </c>
      <c r="R180" s="438">
        <v>7.5999999999999998E-2</v>
      </c>
      <c r="S180" s="443">
        <f>MateriaisCampo[[#This Row],[UNIT S/ IP + DIF ICMS]]*MateriaisCampo[[#This Row],[QUANTIDADE]]</f>
        <v>8400</v>
      </c>
      <c r="T180" s="444">
        <f>MateriaisCampo[[#This Row],[TOTAL S/ IPI]]+(MateriaisCampo[[#This Row],[TOTAL S/ IPI]]*MateriaisCampo[[#This Row],[IPI %]])</f>
        <v>8400</v>
      </c>
      <c r="U180" s="445">
        <f>IF(AND(MateriaisCampo[[#This Row],[ICMS %]]&lt;&gt;18%,MateriaisCampo[[#This Row],[ORIGEM]]&lt;&gt;"SÃO PAULO"),((18%-MateriaisCampo[[#This Row],[ICMS %]])*MateriaisCampo[[#This Row],[UNIT S/ IPI C/DESC]]),0)</f>
        <v>0</v>
      </c>
      <c r="V180" s="437">
        <f>MateriaisCampo[[#This Row],[UNIT S/ IPI C/DESC]]*MateriaisCampo[[#This Row],[ICMS %]]</f>
        <v>8.64</v>
      </c>
      <c r="W180" s="437">
        <f>MateriaisCampo[[#This Row],[ICMS $]]*MateriaisCampo[[#This Row],[QUANTIDADE]]</f>
        <v>1512</v>
      </c>
      <c r="X180" s="446">
        <f>MateriaisCampo[[#This Row],[UNIT S/ IPI C/DESC]]+MateriaisCampo[[#This Row],[DIFERENCIAL ICMS]]</f>
        <v>48</v>
      </c>
      <c r="Y180" s="446">
        <f>(MateriaisCampo[[#This Row],[PIS]]*MateriaisCampo[[#This Row],[UNIT S/ IPI C/DESC]])/2</f>
        <v>0.39600000000000002</v>
      </c>
      <c r="Z180" s="446">
        <f>(MateriaisCampo[[#This Row],[COFINS]]*MateriaisCampo[[#This Row],[UNIT S/ IPI C/DESC]])/2</f>
        <v>1.8239999999999998</v>
      </c>
      <c r="AA180" s="445">
        <f>MateriaisCampo[[#This Row],[UNIT S/ IP + DIF ICMS]]+(MateriaisCampo[[#This Row],[UNIT S/ IP + DIF ICMS]]*MateriaisCampo[[#This Row],[IPI %]])</f>
        <v>48</v>
      </c>
      <c r="AB180" s="448">
        <f>_xlfn.XLOOKUP(MateriaisCampo[[#This Row],[FATURAMENTO]],BASE!$U$48:$U$50,BASE!$W$48:$W$50,0,0,1)</f>
        <v>0.79709863947533133</v>
      </c>
      <c r="AC180" s="510" t="str">
        <f>RESUMO!$E$56</f>
        <v>SIM</v>
      </c>
      <c r="AD180" s="449" t="str">
        <f>RESUMO!$E$57</f>
        <v>SIM</v>
      </c>
      <c r="AE18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37.14</v>
      </c>
      <c r="AF180" s="450">
        <f>MateriaisCampo[[#This Row],[UNIT CRED]]*MateriaisCampo[[#This Row],[QUANTIDADE]]</f>
        <v>6499.5</v>
      </c>
      <c r="AG180" s="451">
        <f>MateriaisCampo[[#This Row],[TOT CRED]]</f>
        <v>6499.5</v>
      </c>
      <c r="AH180" s="452">
        <f>IF(MateriaisCampo[[#This Row],[QUANTIDADE]]&lt;&gt;0,((MateriaisCampo[[#This Row],[TOT CUSTO]]/MateriaisCampo[[#This Row],[QUANTIDADE]])/MateriaisCampo[[#This Row],[MARK-UP]]),0)</f>
        <v>46.593982426624642</v>
      </c>
      <c r="AI180" s="453">
        <f>MateriaisCampo[[#This Row],[UNIT VENDA]]*MateriaisCampo[[#This Row],[QUANTIDADE]]</f>
        <v>8153.9469246593126</v>
      </c>
      <c r="AJ180" s="453">
        <f>IFERROR(MateriaisCampo[[#This Row],[VENDA]]*(RESUMO!$F$55/RESUMO!$F$45),0)</f>
        <v>10354.218317027699</v>
      </c>
      <c r="AK180" s="453">
        <f>IFERROR(MateriaisCampo[[#This Row],[VENDA]]*(RESUMO!$F$58/RESUMO!$F$45),0)</f>
        <v>10354.218317027699</v>
      </c>
      <c r="AL180" s="454">
        <f>IF(MateriaisCampo[[#This Row],[FATURAMENTO]]="NORMAL",MateriaisCampo[[#This Row],[VENDA]],0)</f>
        <v>8153.9469246593126</v>
      </c>
    </row>
    <row r="181" spans="1:38" x14ac:dyDescent="0.25">
      <c r="A181" s="113" t="s">
        <v>652</v>
      </c>
      <c r="B181" s="113" t="s">
        <v>652</v>
      </c>
      <c r="C181" s="113" t="s">
        <v>738</v>
      </c>
      <c r="D181" s="113" t="s">
        <v>736</v>
      </c>
      <c r="E181" s="434" t="s">
        <v>748</v>
      </c>
      <c r="F181" s="434">
        <f t="shared" si="0"/>
        <v>0</v>
      </c>
      <c r="G181" s="113"/>
      <c r="H181" s="435" t="s">
        <v>603</v>
      </c>
      <c r="I181" s="436">
        <v>5</v>
      </c>
      <c r="J181" s="437">
        <v>12</v>
      </c>
      <c r="K181" s="438">
        <v>0.18</v>
      </c>
      <c r="L181" s="438">
        <v>0</v>
      </c>
      <c r="M181" s="458"/>
      <c r="N181" s="445">
        <f>MateriaisCampo[[#This Row],[UNIT S/IPI S/DESC]]-MateriaisCampo[[#This Row],[UNIT S/IPI S/DESC]]*MateriaisCampo[[#This Row],[% DESC]]</f>
        <v>12</v>
      </c>
      <c r="O181" s="441" t="s">
        <v>295</v>
      </c>
      <c r="P181" s="442" t="s">
        <v>155</v>
      </c>
      <c r="Q181" s="438">
        <v>1.6500000000000001E-2</v>
      </c>
      <c r="R181" s="438">
        <v>7.5999999999999998E-2</v>
      </c>
      <c r="S181" s="443">
        <f>MateriaisCampo[[#This Row],[UNIT S/ IP + DIF ICMS]]*MateriaisCampo[[#This Row],[QUANTIDADE]]</f>
        <v>60</v>
      </c>
      <c r="T181" s="444">
        <f>MateriaisCampo[[#This Row],[TOTAL S/ IPI]]+(MateriaisCampo[[#This Row],[TOTAL S/ IPI]]*MateriaisCampo[[#This Row],[IPI %]])</f>
        <v>60</v>
      </c>
      <c r="U181" s="445">
        <f>IF(AND(MateriaisCampo[[#This Row],[ICMS %]]&lt;&gt;18%,MateriaisCampo[[#This Row],[ORIGEM]]&lt;&gt;"SÃO PAULO"),((18%-MateriaisCampo[[#This Row],[ICMS %]])*MateriaisCampo[[#This Row],[UNIT S/ IPI C/DESC]]),0)</f>
        <v>0</v>
      </c>
      <c r="V181" s="437">
        <f>MateriaisCampo[[#This Row],[UNIT S/ IPI C/DESC]]*MateriaisCampo[[#This Row],[ICMS %]]</f>
        <v>2.16</v>
      </c>
      <c r="W181" s="437">
        <f>MateriaisCampo[[#This Row],[ICMS $]]*MateriaisCampo[[#This Row],[QUANTIDADE]]</f>
        <v>10.8</v>
      </c>
      <c r="X181" s="446">
        <f>MateriaisCampo[[#This Row],[UNIT S/ IPI C/DESC]]+MateriaisCampo[[#This Row],[DIFERENCIAL ICMS]]</f>
        <v>12</v>
      </c>
      <c r="Y181" s="446">
        <f>(MateriaisCampo[[#This Row],[PIS]]*MateriaisCampo[[#This Row],[UNIT S/ IPI C/DESC]])/2</f>
        <v>9.9000000000000005E-2</v>
      </c>
      <c r="Z181" s="446">
        <f>(MateriaisCampo[[#This Row],[COFINS]]*MateriaisCampo[[#This Row],[UNIT S/ IPI C/DESC]])/2</f>
        <v>0.45599999999999996</v>
      </c>
      <c r="AA181" s="445">
        <f>MateriaisCampo[[#This Row],[UNIT S/ IP + DIF ICMS]]+(MateriaisCampo[[#This Row],[UNIT S/ IP + DIF ICMS]]*MateriaisCampo[[#This Row],[IPI %]])</f>
        <v>12</v>
      </c>
      <c r="AB181" s="448">
        <f>_xlfn.XLOOKUP(MateriaisCampo[[#This Row],[FATURAMENTO]],BASE!$U$48:$U$50,BASE!$W$48:$W$50,0,0,1)</f>
        <v>0.79709863947533133</v>
      </c>
      <c r="AC181" s="510" t="str">
        <f>RESUMO!$E$56</f>
        <v>SIM</v>
      </c>
      <c r="AD181" s="449" t="str">
        <f>RESUMO!$E$57</f>
        <v>SIM</v>
      </c>
      <c r="AE18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9.2850000000000001</v>
      </c>
      <c r="AF181" s="450">
        <f>MateriaisCampo[[#This Row],[UNIT CRED]]*MateriaisCampo[[#This Row],[QUANTIDADE]]</f>
        <v>46.424999999999997</v>
      </c>
      <c r="AG181" s="451">
        <f>MateriaisCampo[[#This Row],[TOT CRED]]</f>
        <v>46.424999999999997</v>
      </c>
      <c r="AH181" s="452">
        <f>IF(MateriaisCampo[[#This Row],[QUANTIDADE]]&lt;&gt;0,((MateriaisCampo[[#This Row],[TOT CUSTO]]/MateriaisCampo[[#This Row],[QUANTIDADE]])/MateriaisCampo[[#This Row],[MARK-UP]]),0)</f>
        <v>11.64849560665616</v>
      </c>
      <c r="AI181" s="453">
        <f>MateriaisCampo[[#This Row],[UNIT VENDA]]*MateriaisCampo[[#This Row],[QUANTIDADE]]</f>
        <v>58.242478033280804</v>
      </c>
      <c r="AJ181" s="453">
        <f>IFERROR(MateriaisCampo[[#This Row],[VENDA]]*(RESUMO!$F$55/RESUMO!$F$45),0)</f>
        <v>73.958702264483563</v>
      </c>
      <c r="AK181" s="453">
        <f>IFERROR(MateriaisCampo[[#This Row],[VENDA]]*(RESUMO!$F$58/RESUMO!$F$45),0)</f>
        <v>73.958702264483563</v>
      </c>
      <c r="AL181" s="454">
        <f>IF(MateriaisCampo[[#This Row],[FATURAMENTO]]="NORMAL",MateriaisCampo[[#This Row],[VENDA]],0)</f>
        <v>58.242478033280804</v>
      </c>
    </row>
    <row r="182" spans="1:38" x14ac:dyDescent="0.25">
      <c r="A182" s="113" t="s">
        <v>652</v>
      </c>
      <c r="B182" s="113" t="s">
        <v>652</v>
      </c>
      <c r="C182" s="113" t="s">
        <v>742</v>
      </c>
      <c r="D182" s="113" t="s">
        <v>736</v>
      </c>
      <c r="E182" s="434" t="s">
        <v>748</v>
      </c>
      <c r="F182" s="434">
        <f t="shared" si="0"/>
        <v>0</v>
      </c>
      <c r="G182" s="113"/>
      <c r="H182" s="435" t="s">
        <v>603</v>
      </c>
      <c r="I182" s="436">
        <v>3</v>
      </c>
      <c r="J182" s="437">
        <v>10</v>
      </c>
      <c r="K182" s="438">
        <v>0.18</v>
      </c>
      <c r="L182" s="438">
        <v>0</v>
      </c>
      <c r="M182" s="458"/>
      <c r="N182" s="445">
        <f>MateriaisCampo[[#This Row],[UNIT S/IPI S/DESC]]-MateriaisCampo[[#This Row],[UNIT S/IPI S/DESC]]*MateriaisCampo[[#This Row],[% DESC]]</f>
        <v>10</v>
      </c>
      <c r="O182" s="441" t="s">
        <v>295</v>
      </c>
      <c r="P182" s="442" t="s">
        <v>155</v>
      </c>
      <c r="Q182" s="438">
        <v>1.6500000000000001E-2</v>
      </c>
      <c r="R182" s="438">
        <v>7.5999999999999998E-2</v>
      </c>
      <c r="S182" s="443">
        <f>MateriaisCampo[[#This Row],[UNIT S/ IP + DIF ICMS]]*MateriaisCampo[[#This Row],[QUANTIDADE]]</f>
        <v>30</v>
      </c>
      <c r="T182" s="444">
        <f>MateriaisCampo[[#This Row],[TOTAL S/ IPI]]+(MateriaisCampo[[#This Row],[TOTAL S/ IPI]]*MateriaisCampo[[#This Row],[IPI %]])</f>
        <v>30</v>
      </c>
      <c r="U182" s="445">
        <f>IF(AND(MateriaisCampo[[#This Row],[ICMS %]]&lt;&gt;18%,MateriaisCampo[[#This Row],[ORIGEM]]&lt;&gt;"SÃO PAULO"),((18%-MateriaisCampo[[#This Row],[ICMS %]])*MateriaisCampo[[#This Row],[UNIT S/ IPI C/DESC]]),0)</f>
        <v>0</v>
      </c>
      <c r="V182" s="437">
        <f>MateriaisCampo[[#This Row],[UNIT S/ IPI C/DESC]]*MateriaisCampo[[#This Row],[ICMS %]]</f>
        <v>1.7999999999999998</v>
      </c>
      <c r="W182" s="437">
        <f>MateriaisCampo[[#This Row],[ICMS $]]*MateriaisCampo[[#This Row],[QUANTIDADE]]</f>
        <v>5.3999999999999995</v>
      </c>
      <c r="X182" s="446">
        <f>MateriaisCampo[[#This Row],[UNIT S/ IPI C/DESC]]+MateriaisCampo[[#This Row],[DIFERENCIAL ICMS]]</f>
        <v>10</v>
      </c>
      <c r="Y182" s="446">
        <f>(MateriaisCampo[[#This Row],[PIS]]*MateriaisCampo[[#This Row],[UNIT S/ IPI C/DESC]])/2</f>
        <v>8.2500000000000004E-2</v>
      </c>
      <c r="Z182" s="446">
        <f>(MateriaisCampo[[#This Row],[COFINS]]*MateriaisCampo[[#This Row],[UNIT S/ IPI C/DESC]])/2</f>
        <v>0.38</v>
      </c>
      <c r="AA182" s="445">
        <f>MateriaisCampo[[#This Row],[UNIT S/ IP + DIF ICMS]]+(MateriaisCampo[[#This Row],[UNIT S/ IP + DIF ICMS]]*MateriaisCampo[[#This Row],[IPI %]])</f>
        <v>10</v>
      </c>
      <c r="AB182" s="448">
        <f>_xlfn.XLOOKUP(MateriaisCampo[[#This Row],[FATURAMENTO]],BASE!$U$48:$U$50,BASE!$W$48:$W$50,0,0,1)</f>
        <v>0.79709863947533133</v>
      </c>
      <c r="AC182" s="510" t="str">
        <f>RESUMO!$E$56</f>
        <v>SIM</v>
      </c>
      <c r="AD182" s="449" t="str">
        <f>RESUMO!$E$57</f>
        <v>SIM</v>
      </c>
      <c r="AE18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7.7374999999999998</v>
      </c>
      <c r="AF182" s="450">
        <f>MateriaisCampo[[#This Row],[UNIT CRED]]*MateriaisCampo[[#This Row],[QUANTIDADE]]</f>
        <v>23.212499999999999</v>
      </c>
      <c r="AG182" s="451">
        <f>MateriaisCampo[[#This Row],[TOT CRED]]</f>
        <v>23.212499999999999</v>
      </c>
      <c r="AH182" s="452">
        <f>IF(MateriaisCampo[[#This Row],[QUANTIDADE]]&lt;&gt;0,((MateriaisCampo[[#This Row],[TOT CUSTO]]/MateriaisCampo[[#This Row],[QUANTIDADE]])/MateriaisCampo[[#This Row],[MARK-UP]]),0)</f>
        <v>9.7070796722134673</v>
      </c>
      <c r="AI182" s="453">
        <f>MateriaisCampo[[#This Row],[UNIT VENDA]]*MateriaisCampo[[#This Row],[QUANTIDADE]]</f>
        <v>29.121239016640402</v>
      </c>
      <c r="AJ182" s="453">
        <f>IFERROR(MateriaisCampo[[#This Row],[VENDA]]*(RESUMO!$F$55/RESUMO!$F$45),0)</f>
        <v>36.979351132241781</v>
      </c>
      <c r="AK182" s="453">
        <f>IFERROR(MateriaisCampo[[#This Row],[VENDA]]*(RESUMO!$F$58/RESUMO!$F$45),0)</f>
        <v>36.979351132241781</v>
      </c>
      <c r="AL182" s="454">
        <f>IF(MateriaisCampo[[#This Row],[FATURAMENTO]]="NORMAL",MateriaisCampo[[#This Row],[VENDA]],0)</f>
        <v>29.121239016640402</v>
      </c>
    </row>
    <row r="183" spans="1:38" x14ac:dyDescent="0.25">
      <c r="A183" s="113" t="s">
        <v>652</v>
      </c>
      <c r="B183" s="113" t="s">
        <v>652</v>
      </c>
      <c r="C183" s="113" t="s">
        <v>743</v>
      </c>
      <c r="D183" s="113" t="s">
        <v>736</v>
      </c>
      <c r="E183" s="434" t="s">
        <v>748</v>
      </c>
      <c r="F183" s="434">
        <f t="shared" si="0"/>
        <v>0</v>
      </c>
      <c r="G183" s="113"/>
      <c r="H183" s="435" t="s">
        <v>603</v>
      </c>
      <c r="I183" s="436">
        <v>45</v>
      </c>
      <c r="J183" s="437">
        <v>6</v>
      </c>
      <c r="K183" s="438">
        <v>0.18</v>
      </c>
      <c r="L183" s="438">
        <v>0</v>
      </c>
      <c r="M183" s="458"/>
      <c r="N183" s="445">
        <f>MateriaisCampo[[#This Row],[UNIT S/IPI S/DESC]]-MateriaisCampo[[#This Row],[UNIT S/IPI S/DESC]]*MateriaisCampo[[#This Row],[% DESC]]</f>
        <v>6</v>
      </c>
      <c r="O183" s="441" t="s">
        <v>295</v>
      </c>
      <c r="P183" s="442" t="s">
        <v>155</v>
      </c>
      <c r="Q183" s="438">
        <v>1.6500000000000001E-2</v>
      </c>
      <c r="R183" s="438">
        <v>7.5999999999999998E-2</v>
      </c>
      <c r="S183" s="443">
        <f>MateriaisCampo[[#This Row],[UNIT S/ IP + DIF ICMS]]*MateriaisCampo[[#This Row],[QUANTIDADE]]</f>
        <v>270</v>
      </c>
      <c r="T183" s="444">
        <f>MateriaisCampo[[#This Row],[TOTAL S/ IPI]]+(MateriaisCampo[[#This Row],[TOTAL S/ IPI]]*MateriaisCampo[[#This Row],[IPI %]])</f>
        <v>270</v>
      </c>
      <c r="U183" s="445">
        <f>IF(AND(MateriaisCampo[[#This Row],[ICMS %]]&lt;&gt;18%,MateriaisCampo[[#This Row],[ORIGEM]]&lt;&gt;"SÃO PAULO"),((18%-MateriaisCampo[[#This Row],[ICMS %]])*MateriaisCampo[[#This Row],[UNIT S/ IPI C/DESC]]),0)</f>
        <v>0</v>
      </c>
      <c r="V183" s="437">
        <f>MateriaisCampo[[#This Row],[UNIT S/ IPI C/DESC]]*MateriaisCampo[[#This Row],[ICMS %]]</f>
        <v>1.08</v>
      </c>
      <c r="W183" s="437">
        <f>MateriaisCampo[[#This Row],[ICMS $]]*MateriaisCampo[[#This Row],[QUANTIDADE]]</f>
        <v>48.6</v>
      </c>
      <c r="X183" s="446">
        <f>MateriaisCampo[[#This Row],[UNIT S/ IPI C/DESC]]+MateriaisCampo[[#This Row],[DIFERENCIAL ICMS]]</f>
        <v>6</v>
      </c>
      <c r="Y183" s="446">
        <f>(MateriaisCampo[[#This Row],[PIS]]*MateriaisCampo[[#This Row],[UNIT S/ IPI C/DESC]])/2</f>
        <v>4.9500000000000002E-2</v>
      </c>
      <c r="Z183" s="446">
        <f>(MateriaisCampo[[#This Row],[COFINS]]*MateriaisCampo[[#This Row],[UNIT S/ IPI C/DESC]])/2</f>
        <v>0.22799999999999998</v>
      </c>
      <c r="AA183" s="445">
        <f>MateriaisCampo[[#This Row],[UNIT S/ IP + DIF ICMS]]+(MateriaisCampo[[#This Row],[UNIT S/ IP + DIF ICMS]]*MateriaisCampo[[#This Row],[IPI %]])</f>
        <v>6</v>
      </c>
      <c r="AB183" s="448">
        <f>_xlfn.XLOOKUP(MateriaisCampo[[#This Row],[FATURAMENTO]],BASE!$U$48:$U$50,BASE!$W$48:$W$50,0,0,1)</f>
        <v>0.79709863947533133</v>
      </c>
      <c r="AC183" s="510" t="str">
        <f>RESUMO!$E$56</f>
        <v>SIM</v>
      </c>
      <c r="AD183" s="449" t="str">
        <f>RESUMO!$E$57</f>
        <v>SIM</v>
      </c>
      <c r="AE18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4.6425000000000001</v>
      </c>
      <c r="AF183" s="450">
        <f>MateriaisCampo[[#This Row],[UNIT CRED]]*MateriaisCampo[[#This Row],[QUANTIDADE]]</f>
        <v>208.91249999999999</v>
      </c>
      <c r="AG183" s="451">
        <f>MateriaisCampo[[#This Row],[TOT CRED]]</f>
        <v>208.91249999999999</v>
      </c>
      <c r="AH183" s="452">
        <f>IF(MateriaisCampo[[#This Row],[QUANTIDADE]]&lt;&gt;0,((MateriaisCampo[[#This Row],[TOT CUSTO]]/MateriaisCampo[[#This Row],[QUANTIDADE]])/MateriaisCampo[[#This Row],[MARK-UP]]),0)</f>
        <v>5.8242478033280802</v>
      </c>
      <c r="AI183" s="453">
        <f>MateriaisCampo[[#This Row],[UNIT VENDA]]*MateriaisCampo[[#This Row],[QUANTIDADE]]</f>
        <v>262.09115114976362</v>
      </c>
      <c r="AJ183" s="453">
        <f>IFERROR(MateriaisCampo[[#This Row],[VENDA]]*(RESUMO!$F$55/RESUMO!$F$45),0)</f>
        <v>332.81416019017598</v>
      </c>
      <c r="AK183" s="453">
        <f>IFERROR(MateriaisCampo[[#This Row],[VENDA]]*(RESUMO!$F$58/RESUMO!$F$45),0)</f>
        <v>332.81416019017598</v>
      </c>
      <c r="AL183" s="454">
        <f>IF(MateriaisCampo[[#This Row],[FATURAMENTO]]="NORMAL",MateriaisCampo[[#This Row],[VENDA]],0)</f>
        <v>262.09115114976362</v>
      </c>
    </row>
    <row r="184" spans="1:38" x14ac:dyDescent="0.25">
      <c r="A184" s="113" t="s">
        <v>652</v>
      </c>
      <c r="B184" s="113" t="s">
        <v>652</v>
      </c>
      <c r="C184" s="113" t="s">
        <v>739</v>
      </c>
      <c r="D184" s="113" t="s">
        <v>736</v>
      </c>
      <c r="E184" s="434" t="s">
        <v>748</v>
      </c>
      <c r="F184" s="434">
        <f t="shared" si="0"/>
        <v>0</v>
      </c>
      <c r="G184" s="113"/>
      <c r="H184" s="435" t="s">
        <v>603</v>
      </c>
      <c r="I184" s="436">
        <v>6</v>
      </c>
      <c r="J184" s="437">
        <v>9.9</v>
      </c>
      <c r="K184" s="438">
        <v>0.18</v>
      </c>
      <c r="L184" s="438">
        <v>0</v>
      </c>
      <c r="M184" s="458"/>
      <c r="N184" s="445">
        <f>MateriaisCampo[[#This Row],[UNIT S/IPI S/DESC]]-MateriaisCampo[[#This Row],[UNIT S/IPI S/DESC]]*MateriaisCampo[[#This Row],[% DESC]]</f>
        <v>9.9</v>
      </c>
      <c r="O184" s="441" t="s">
        <v>295</v>
      </c>
      <c r="P184" s="442" t="s">
        <v>155</v>
      </c>
      <c r="Q184" s="438">
        <v>1.6500000000000001E-2</v>
      </c>
      <c r="R184" s="438">
        <v>7.5999999999999998E-2</v>
      </c>
      <c r="S184" s="443">
        <f>MateriaisCampo[[#This Row],[UNIT S/ IP + DIF ICMS]]*MateriaisCampo[[#This Row],[QUANTIDADE]]</f>
        <v>59.400000000000006</v>
      </c>
      <c r="T184" s="444">
        <f>MateriaisCampo[[#This Row],[TOTAL S/ IPI]]+(MateriaisCampo[[#This Row],[TOTAL S/ IPI]]*MateriaisCampo[[#This Row],[IPI %]])</f>
        <v>59.400000000000006</v>
      </c>
      <c r="U184" s="445">
        <f>IF(AND(MateriaisCampo[[#This Row],[ICMS %]]&lt;&gt;18%,MateriaisCampo[[#This Row],[ORIGEM]]&lt;&gt;"SÃO PAULO"),((18%-MateriaisCampo[[#This Row],[ICMS %]])*MateriaisCampo[[#This Row],[UNIT S/ IPI C/DESC]]),0)</f>
        <v>0</v>
      </c>
      <c r="V184" s="437">
        <f>MateriaisCampo[[#This Row],[UNIT S/ IPI C/DESC]]*MateriaisCampo[[#This Row],[ICMS %]]</f>
        <v>1.782</v>
      </c>
      <c r="W184" s="437">
        <f>MateriaisCampo[[#This Row],[ICMS $]]*MateriaisCampo[[#This Row],[QUANTIDADE]]</f>
        <v>10.692</v>
      </c>
      <c r="X184" s="446">
        <f>MateriaisCampo[[#This Row],[UNIT S/ IPI C/DESC]]+MateriaisCampo[[#This Row],[DIFERENCIAL ICMS]]</f>
        <v>9.9</v>
      </c>
      <c r="Y184" s="446">
        <f>(MateriaisCampo[[#This Row],[PIS]]*MateriaisCampo[[#This Row],[UNIT S/ IPI C/DESC]])/2</f>
        <v>8.1675000000000011E-2</v>
      </c>
      <c r="Z184" s="446">
        <f>(MateriaisCampo[[#This Row],[COFINS]]*MateriaisCampo[[#This Row],[UNIT S/ IPI C/DESC]])/2</f>
        <v>0.37619999999999998</v>
      </c>
      <c r="AA184" s="445">
        <f>MateriaisCampo[[#This Row],[UNIT S/ IP + DIF ICMS]]+(MateriaisCampo[[#This Row],[UNIT S/ IP + DIF ICMS]]*MateriaisCampo[[#This Row],[IPI %]])</f>
        <v>9.9</v>
      </c>
      <c r="AB184" s="448">
        <f>_xlfn.XLOOKUP(MateriaisCampo[[#This Row],[FATURAMENTO]],BASE!$U$48:$U$50,BASE!$W$48:$W$50,0,0,1)</f>
        <v>0.79709863947533133</v>
      </c>
      <c r="AC184" s="510" t="str">
        <f>RESUMO!$E$56</f>
        <v>SIM</v>
      </c>
      <c r="AD184" s="449" t="str">
        <f>RESUMO!$E$57</f>
        <v>SIM</v>
      </c>
      <c r="AE18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7.6601249999999999</v>
      </c>
      <c r="AF184" s="450">
        <f>MateriaisCampo[[#This Row],[UNIT CRED]]*MateriaisCampo[[#This Row],[QUANTIDADE]]</f>
        <v>45.960749999999997</v>
      </c>
      <c r="AG184" s="451">
        <f>MateriaisCampo[[#This Row],[TOT CRED]]</f>
        <v>45.960749999999997</v>
      </c>
      <c r="AH184" s="452">
        <f>IF(MateriaisCampo[[#This Row],[QUANTIDADE]]&lt;&gt;0,((MateriaisCampo[[#This Row],[TOT CUSTO]]/MateriaisCampo[[#This Row],[QUANTIDADE]])/MateriaisCampo[[#This Row],[MARK-UP]]),0)</f>
        <v>9.6100088754913333</v>
      </c>
      <c r="AI184" s="453">
        <f>MateriaisCampo[[#This Row],[UNIT VENDA]]*MateriaisCampo[[#This Row],[QUANTIDADE]]</f>
        <v>57.660053252948003</v>
      </c>
      <c r="AJ184" s="453">
        <f>IFERROR(MateriaisCampo[[#This Row],[VENDA]]*(RESUMO!$F$55/RESUMO!$F$45),0)</f>
        <v>73.219115241838736</v>
      </c>
      <c r="AK184" s="453">
        <f>IFERROR(MateriaisCampo[[#This Row],[VENDA]]*(RESUMO!$F$58/RESUMO!$F$45),0)</f>
        <v>73.219115241838736</v>
      </c>
      <c r="AL184" s="454">
        <f>IF(MateriaisCampo[[#This Row],[FATURAMENTO]]="NORMAL",MateriaisCampo[[#This Row],[VENDA]],0)</f>
        <v>57.660053252948003</v>
      </c>
    </row>
    <row r="185" spans="1:38" x14ac:dyDescent="0.25">
      <c r="A185" s="113" t="s">
        <v>652</v>
      </c>
      <c r="B185" s="113" t="s">
        <v>652</v>
      </c>
      <c r="C185" s="113" t="s">
        <v>740</v>
      </c>
      <c r="D185" s="113" t="s">
        <v>736</v>
      </c>
      <c r="E185" s="434" t="s">
        <v>748</v>
      </c>
      <c r="F185" s="434">
        <f t="shared" si="0"/>
        <v>0</v>
      </c>
      <c r="G185" s="113"/>
      <c r="H185" s="435" t="s">
        <v>603</v>
      </c>
      <c r="I185" s="436">
        <v>3</v>
      </c>
      <c r="J185" s="437">
        <v>13.8</v>
      </c>
      <c r="K185" s="438">
        <v>0.18</v>
      </c>
      <c r="L185" s="438">
        <v>0</v>
      </c>
      <c r="M185" s="458"/>
      <c r="N185" s="445">
        <f>MateriaisCampo[[#This Row],[UNIT S/IPI S/DESC]]-MateriaisCampo[[#This Row],[UNIT S/IPI S/DESC]]*MateriaisCampo[[#This Row],[% DESC]]</f>
        <v>13.8</v>
      </c>
      <c r="O185" s="441" t="s">
        <v>295</v>
      </c>
      <c r="P185" s="442" t="s">
        <v>155</v>
      </c>
      <c r="Q185" s="438">
        <v>1.6500000000000001E-2</v>
      </c>
      <c r="R185" s="438">
        <v>7.5999999999999998E-2</v>
      </c>
      <c r="S185" s="443">
        <f>MateriaisCampo[[#This Row],[UNIT S/ IP + DIF ICMS]]*MateriaisCampo[[#This Row],[QUANTIDADE]]</f>
        <v>41.400000000000006</v>
      </c>
      <c r="T185" s="444">
        <f>MateriaisCampo[[#This Row],[TOTAL S/ IPI]]+(MateriaisCampo[[#This Row],[TOTAL S/ IPI]]*MateriaisCampo[[#This Row],[IPI %]])</f>
        <v>41.400000000000006</v>
      </c>
      <c r="U185" s="445">
        <f>IF(AND(MateriaisCampo[[#This Row],[ICMS %]]&lt;&gt;18%,MateriaisCampo[[#This Row],[ORIGEM]]&lt;&gt;"SÃO PAULO"),((18%-MateriaisCampo[[#This Row],[ICMS %]])*MateriaisCampo[[#This Row],[UNIT S/ IPI C/DESC]]),0)</f>
        <v>0</v>
      </c>
      <c r="V185" s="437">
        <f>MateriaisCampo[[#This Row],[UNIT S/ IPI C/DESC]]*MateriaisCampo[[#This Row],[ICMS %]]</f>
        <v>2.484</v>
      </c>
      <c r="W185" s="437">
        <f>MateriaisCampo[[#This Row],[ICMS $]]*MateriaisCampo[[#This Row],[QUANTIDADE]]</f>
        <v>7.452</v>
      </c>
      <c r="X185" s="446">
        <f>MateriaisCampo[[#This Row],[UNIT S/ IPI C/DESC]]+MateriaisCampo[[#This Row],[DIFERENCIAL ICMS]]</f>
        <v>13.8</v>
      </c>
      <c r="Y185" s="446">
        <f>(MateriaisCampo[[#This Row],[PIS]]*MateriaisCampo[[#This Row],[UNIT S/ IPI C/DESC]])/2</f>
        <v>0.11385000000000001</v>
      </c>
      <c r="Z185" s="446">
        <f>(MateriaisCampo[[#This Row],[COFINS]]*MateriaisCampo[[#This Row],[UNIT S/ IPI C/DESC]])/2</f>
        <v>0.52439999999999998</v>
      </c>
      <c r="AA185" s="445">
        <f>MateriaisCampo[[#This Row],[UNIT S/ IP + DIF ICMS]]+(MateriaisCampo[[#This Row],[UNIT S/ IP + DIF ICMS]]*MateriaisCampo[[#This Row],[IPI %]])</f>
        <v>13.8</v>
      </c>
      <c r="AB185" s="448">
        <f>_xlfn.XLOOKUP(MateriaisCampo[[#This Row],[FATURAMENTO]],BASE!$U$48:$U$50,BASE!$W$48:$W$50,0,0,1)</f>
        <v>0.79709863947533133</v>
      </c>
      <c r="AC185" s="510" t="str">
        <f>RESUMO!$E$56</f>
        <v>SIM</v>
      </c>
      <c r="AD185" s="449" t="str">
        <f>RESUMO!$E$57</f>
        <v>SIM</v>
      </c>
      <c r="AE18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10.677750000000001</v>
      </c>
      <c r="AF185" s="450">
        <f>MateriaisCampo[[#This Row],[UNIT CRED]]*MateriaisCampo[[#This Row],[QUANTIDADE]]</f>
        <v>32.033250000000002</v>
      </c>
      <c r="AG185" s="451">
        <f>MateriaisCampo[[#This Row],[TOT CRED]]</f>
        <v>32.033250000000002</v>
      </c>
      <c r="AH185" s="452">
        <f>IF(MateriaisCampo[[#This Row],[QUANTIDADE]]&lt;&gt;0,((MateriaisCampo[[#This Row],[TOT CUSTO]]/MateriaisCampo[[#This Row],[QUANTIDADE]])/MateriaisCampo[[#This Row],[MARK-UP]]),0)</f>
        <v>13.395769947654587</v>
      </c>
      <c r="AI185" s="453">
        <f>MateriaisCampo[[#This Row],[UNIT VENDA]]*MateriaisCampo[[#This Row],[QUANTIDADE]]</f>
        <v>40.187309842963764</v>
      </c>
      <c r="AJ185" s="453">
        <f>IFERROR(MateriaisCampo[[#This Row],[VENDA]]*(RESUMO!$F$55/RESUMO!$F$45),0)</f>
        <v>51.031504562493666</v>
      </c>
      <c r="AK185" s="453">
        <f>IFERROR(MateriaisCampo[[#This Row],[VENDA]]*(RESUMO!$F$58/RESUMO!$F$45),0)</f>
        <v>51.031504562493666</v>
      </c>
      <c r="AL185" s="454">
        <f>IF(MateriaisCampo[[#This Row],[FATURAMENTO]]="NORMAL",MateriaisCampo[[#This Row],[VENDA]],0)</f>
        <v>40.187309842963764</v>
      </c>
    </row>
    <row r="186" spans="1:38" x14ac:dyDescent="0.25">
      <c r="A186" s="113" t="s">
        <v>652</v>
      </c>
      <c r="B186" s="113" t="s">
        <v>652</v>
      </c>
      <c r="C186" s="113" t="s">
        <v>747</v>
      </c>
      <c r="D186" s="113" t="s">
        <v>736</v>
      </c>
      <c r="E186" s="434" t="s">
        <v>748</v>
      </c>
      <c r="F186" s="434">
        <f t="shared" si="0"/>
        <v>0</v>
      </c>
      <c r="G186" s="113"/>
      <c r="H186" s="435" t="s">
        <v>603</v>
      </c>
      <c r="I186" s="436">
        <v>25</v>
      </c>
      <c r="J186" s="437">
        <v>46</v>
      </c>
      <c r="K186" s="438">
        <v>0.18</v>
      </c>
      <c r="L186" s="438">
        <v>0</v>
      </c>
      <c r="M186" s="458"/>
      <c r="N186" s="445">
        <f>MateriaisCampo[[#This Row],[UNIT S/IPI S/DESC]]-MateriaisCampo[[#This Row],[UNIT S/IPI S/DESC]]*MateriaisCampo[[#This Row],[% DESC]]</f>
        <v>46</v>
      </c>
      <c r="O186" s="441" t="s">
        <v>295</v>
      </c>
      <c r="P186" s="442" t="s">
        <v>155</v>
      </c>
      <c r="Q186" s="438">
        <v>1.6500000000000001E-2</v>
      </c>
      <c r="R186" s="438">
        <v>7.5999999999999998E-2</v>
      </c>
      <c r="S186" s="443">
        <f>MateriaisCampo[[#This Row],[UNIT S/ IP + DIF ICMS]]*MateriaisCampo[[#This Row],[QUANTIDADE]]</f>
        <v>1150</v>
      </c>
      <c r="T186" s="444">
        <f>MateriaisCampo[[#This Row],[TOTAL S/ IPI]]+(MateriaisCampo[[#This Row],[TOTAL S/ IPI]]*MateriaisCampo[[#This Row],[IPI %]])</f>
        <v>1150</v>
      </c>
      <c r="U186" s="445">
        <f>IF(AND(MateriaisCampo[[#This Row],[ICMS %]]&lt;&gt;18%,MateriaisCampo[[#This Row],[ORIGEM]]&lt;&gt;"SÃO PAULO"),((18%-MateriaisCampo[[#This Row],[ICMS %]])*MateriaisCampo[[#This Row],[UNIT S/ IPI C/DESC]]),0)</f>
        <v>0</v>
      </c>
      <c r="V186" s="437">
        <f>MateriaisCampo[[#This Row],[UNIT S/ IPI C/DESC]]*MateriaisCampo[[#This Row],[ICMS %]]</f>
        <v>8.2799999999999994</v>
      </c>
      <c r="W186" s="437">
        <f>MateriaisCampo[[#This Row],[ICMS $]]*MateriaisCampo[[#This Row],[QUANTIDADE]]</f>
        <v>206.99999999999997</v>
      </c>
      <c r="X186" s="446">
        <f>MateriaisCampo[[#This Row],[UNIT S/ IPI C/DESC]]+MateriaisCampo[[#This Row],[DIFERENCIAL ICMS]]</f>
        <v>46</v>
      </c>
      <c r="Y186" s="446">
        <f>(MateriaisCampo[[#This Row],[PIS]]*MateriaisCampo[[#This Row],[UNIT S/ IPI C/DESC]])/2</f>
        <v>0.3795</v>
      </c>
      <c r="Z186" s="446">
        <f>(MateriaisCampo[[#This Row],[COFINS]]*MateriaisCampo[[#This Row],[UNIT S/ IPI C/DESC]])/2</f>
        <v>1.748</v>
      </c>
      <c r="AA186" s="445">
        <f>MateriaisCampo[[#This Row],[UNIT S/ IP + DIF ICMS]]+(MateriaisCampo[[#This Row],[UNIT S/ IP + DIF ICMS]]*MateriaisCampo[[#This Row],[IPI %]])</f>
        <v>46</v>
      </c>
      <c r="AB186" s="448">
        <f>_xlfn.XLOOKUP(MateriaisCampo[[#This Row],[FATURAMENTO]],BASE!$U$48:$U$50,BASE!$W$48:$W$50,0,0,1)</f>
        <v>0.79709863947533133</v>
      </c>
      <c r="AC186" s="510" t="str">
        <f>RESUMO!$E$56</f>
        <v>SIM</v>
      </c>
      <c r="AD186" s="449" t="str">
        <f>RESUMO!$E$57</f>
        <v>SIM</v>
      </c>
      <c r="AE18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35.592500000000001</v>
      </c>
      <c r="AF186" s="450">
        <f>MateriaisCampo[[#This Row],[UNIT CRED]]*MateriaisCampo[[#This Row],[QUANTIDADE]]</f>
        <v>889.8125</v>
      </c>
      <c r="AG186" s="451">
        <f>MateriaisCampo[[#This Row],[TOT CRED]]</f>
        <v>889.8125</v>
      </c>
      <c r="AH186" s="452">
        <f>IF(MateriaisCampo[[#This Row],[QUANTIDADE]]&lt;&gt;0,((MateriaisCampo[[#This Row],[TOT CUSTO]]/MateriaisCampo[[#This Row],[QUANTIDADE]])/MateriaisCampo[[#This Row],[MARK-UP]]),0)</f>
        <v>44.652566492181954</v>
      </c>
      <c r="AI186" s="453">
        <f>MateriaisCampo[[#This Row],[UNIT VENDA]]*MateriaisCampo[[#This Row],[QUANTIDADE]]</f>
        <v>1116.3141623045487</v>
      </c>
      <c r="AJ186" s="453">
        <f>IFERROR(MateriaisCampo[[#This Row],[VENDA]]*(RESUMO!$F$55/RESUMO!$F$45),0)</f>
        <v>1417.5417934026016</v>
      </c>
      <c r="AK186" s="453">
        <f>IFERROR(MateriaisCampo[[#This Row],[VENDA]]*(RESUMO!$F$58/RESUMO!$F$45),0)</f>
        <v>1417.5417934026016</v>
      </c>
      <c r="AL186" s="454">
        <f>IF(MateriaisCampo[[#This Row],[FATURAMENTO]]="NORMAL",MateriaisCampo[[#This Row],[VENDA]],0)</f>
        <v>1116.3141623045487</v>
      </c>
    </row>
    <row r="187" spans="1:38" x14ac:dyDescent="0.25">
      <c r="A187" s="113" t="s">
        <v>652</v>
      </c>
      <c r="B187" s="113" t="s">
        <v>652</v>
      </c>
      <c r="C187" s="113" t="s">
        <v>744</v>
      </c>
      <c r="D187" s="113" t="s">
        <v>753</v>
      </c>
      <c r="E187" s="434" t="s">
        <v>754</v>
      </c>
      <c r="F187" s="434">
        <f t="shared" si="0"/>
        <v>0</v>
      </c>
      <c r="G187" s="113"/>
      <c r="H187" s="435" t="s">
        <v>603</v>
      </c>
      <c r="I187" s="436">
        <f>I178*2</f>
        <v>22</v>
      </c>
      <c r="J187" s="437">
        <v>6.08</v>
      </c>
      <c r="K187" s="438">
        <v>0.18</v>
      </c>
      <c r="L187" s="438">
        <v>3.2500000000000001E-2</v>
      </c>
      <c r="M187" s="458"/>
      <c r="N187" s="445">
        <f>MateriaisCampo[[#This Row],[UNIT S/IPI S/DESC]]-MateriaisCampo[[#This Row],[UNIT S/IPI S/DESC]]*MateriaisCampo[[#This Row],[% DESC]]</f>
        <v>6.08</v>
      </c>
      <c r="O187" s="441" t="s">
        <v>295</v>
      </c>
      <c r="P187" s="442" t="s">
        <v>155</v>
      </c>
      <c r="Q187" s="438">
        <v>1.6500000000000001E-2</v>
      </c>
      <c r="R187" s="438">
        <v>7.5999999999999998E-2</v>
      </c>
      <c r="S187" s="443">
        <f>MateriaisCampo[[#This Row],[UNIT S/ IP + DIF ICMS]]*MateriaisCampo[[#This Row],[QUANTIDADE]]</f>
        <v>133.76</v>
      </c>
      <c r="T187" s="444">
        <f>MateriaisCampo[[#This Row],[TOTAL S/ IPI]]+(MateriaisCampo[[#This Row],[TOTAL S/ IPI]]*MateriaisCampo[[#This Row],[IPI %]])</f>
        <v>138.10719999999998</v>
      </c>
      <c r="U187" s="445">
        <f>IF(AND(MateriaisCampo[[#This Row],[ICMS %]]&lt;&gt;18%,MateriaisCampo[[#This Row],[ORIGEM]]&lt;&gt;"SÃO PAULO"),((18%-MateriaisCampo[[#This Row],[ICMS %]])*MateriaisCampo[[#This Row],[UNIT S/ IPI C/DESC]]),0)</f>
        <v>0</v>
      </c>
      <c r="V187" s="437">
        <f>MateriaisCampo[[#This Row],[UNIT S/ IPI C/DESC]]*MateriaisCampo[[#This Row],[ICMS %]]</f>
        <v>1.0944</v>
      </c>
      <c r="W187" s="437">
        <f>MateriaisCampo[[#This Row],[ICMS $]]*MateriaisCampo[[#This Row],[QUANTIDADE]]</f>
        <v>24.076800000000002</v>
      </c>
      <c r="X187" s="446">
        <f>MateriaisCampo[[#This Row],[UNIT S/ IPI C/DESC]]+MateriaisCampo[[#This Row],[DIFERENCIAL ICMS]]</f>
        <v>6.08</v>
      </c>
      <c r="Y187" s="446">
        <f>(MateriaisCampo[[#This Row],[PIS]]*MateriaisCampo[[#This Row],[UNIT S/ IPI C/DESC]])/2</f>
        <v>5.0160000000000003E-2</v>
      </c>
      <c r="Z187" s="446">
        <f>(MateriaisCampo[[#This Row],[COFINS]]*MateriaisCampo[[#This Row],[UNIT S/ IPI C/DESC]])/2</f>
        <v>0.23104</v>
      </c>
      <c r="AA187" s="445">
        <f>MateriaisCampo[[#This Row],[UNIT S/ IP + DIF ICMS]]+(MateriaisCampo[[#This Row],[UNIT S/ IP + DIF ICMS]]*MateriaisCampo[[#This Row],[IPI %]])</f>
        <v>6.2775999999999996</v>
      </c>
      <c r="AB187" s="448">
        <f>_xlfn.XLOOKUP(MateriaisCampo[[#This Row],[FATURAMENTO]],BASE!$U$48:$U$50,BASE!$W$48:$W$50,0,0,1)</f>
        <v>0.79709863947533133</v>
      </c>
      <c r="AC187" s="510" t="str">
        <f>RESUMO!$E$56</f>
        <v>SIM</v>
      </c>
      <c r="AD187" s="449" t="str">
        <f>RESUMO!$E$57</f>
        <v>SIM</v>
      </c>
      <c r="AE18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4.7043999999999997</v>
      </c>
      <c r="AF187" s="450">
        <f>MateriaisCampo[[#This Row],[UNIT CRED]]*MateriaisCampo[[#This Row],[QUANTIDADE]]</f>
        <v>103.49679999999999</v>
      </c>
      <c r="AG187" s="451">
        <f>MateriaisCampo[[#This Row],[TOT CRED]]</f>
        <v>103.49679999999999</v>
      </c>
      <c r="AH187" s="452">
        <f>IF(MateriaisCampo[[#This Row],[QUANTIDADE]]&lt;&gt;0,((MateriaisCampo[[#This Row],[TOT CUSTO]]/MateriaisCampo[[#This Row],[QUANTIDADE]])/MateriaisCampo[[#This Row],[MARK-UP]]),0)</f>
        <v>5.9019044407057875</v>
      </c>
      <c r="AI187" s="453">
        <f>MateriaisCampo[[#This Row],[UNIT VENDA]]*MateriaisCampo[[#This Row],[QUANTIDADE]]</f>
        <v>129.84189769552734</v>
      </c>
      <c r="AJ187" s="453">
        <f>IFERROR(MateriaisCampo[[#This Row],[VENDA]]*(RESUMO!$F$55/RESUMO!$F$45),0)</f>
        <v>164.87860024828868</v>
      </c>
      <c r="AK187" s="453">
        <f>IFERROR(MateriaisCampo[[#This Row],[VENDA]]*(RESUMO!$F$58/RESUMO!$F$45),0)</f>
        <v>164.87860024828868</v>
      </c>
      <c r="AL187" s="454">
        <f>IF(MateriaisCampo[[#This Row],[FATURAMENTO]]="NORMAL",MateriaisCampo[[#This Row],[VENDA]],0)</f>
        <v>129.84189769552734</v>
      </c>
    </row>
    <row r="188" spans="1:38" x14ac:dyDescent="0.25">
      <c r="A188" s="113" t="s">
        <v>652</v>
      </c>
      <c r="B188" s="113" t="s">
        <v>652</v>
      </c>
      <c r="C188" s="113" t="s">
        <v>745</v>
      </c>
      <c r="D188" s="113" t="s">
        <v>753</v>
      </c>
      <c r="E188" s="434" t="s">
        <v>754</v>
      </c>
      <c r="F188" s="434">
        <f t="shared" si="0"/>
        <v>0</v>
      </c>
      <c r="G188" s="113"/>
      <c r="H188" s="435" t="s">
        <v>603</v>
      </c>
      <c r="I188" s="436">
        <f t="shared" ref="I188:I189" si="3">I179*2</f>
        <v>12</v>
      </c>
      <c r="J188" s="437">
        <v>3.42</v>
      </c>
      <c r="K188" s="438">
        <v>0.18</v>
      </c>
      <c r="L188" s="438">
        <v>3.2500000000000001E-2</v>
      </c>
      <c r="M188" s="458"/>
      <c r="N188" s="445">
        <f>MateriaisCampo[[#This Row],[UNIT S/IPI S/DESC]]-MateriaisCampo[[#This Row],[UNIT S/IPI S/DESC]]*MateriaisCampo[[#This Row],[% DESC]]</f>
        <v>3.42</v>
      </c>
      <c r="O188" s="441" t="s">
        <v>295</v>
      </c>
      <c r="P188" s="442" t="s">
        <v>155</v>
      </c>
      <c r="Q188" s="438">
        <v>1.6500000000000001E-2</v>
      </c>
      <c r="R188" s="438">
        <v>7.5999999999999998E-2</v>
      </c>
      <c r="S188" s="443">
        <f>MateriaisCampo[[#This Row],[UNIT S/ IP + DIF ICMS]]*MateriaisCampo[[#This Row],[QUANTIDADE]]</f>
        <v>41.04</v>
      </c>
      <c r="T188" s="444">
        <f>MateriaisCampo[[#This Row],[TOTAL S/ IPI]]+(MateriaisCampo[[#This Row],[TOTAL S/ IPI]]*MateriaisCampo[[#This Row],[IPI %]])</f>
        <v>42.373800000000003</v>
      </c>
      <c r="U188" s="445">
        <f>IF(AND(MateriaisCampo[[#This Row],[ICMS %]]&lt;&gt;18%,MateriaisCampo[[#This Row],[ORIGEM]]&lt;&gt;"SÃO PAULO"),((18%-MateriaisCampo[[#This Row],[ICMS %]])*MateriaisCampo[[#This Row],[UNIT S/ IPI C/DESC]]),0)</f>
        <v>0</v>
      </c>
      <c r="V188" s="437">
        <f>MateriaisCampo[[#This Row],[UNIT S/ IPI C/DESC]]*MateriaisCampo[[#This Row],[ICMS %]]</f>
        <v>0.61559999999999993</v>
      </c>
      <c r="W188" s="437">
        <f>MateriaisCampo[[#This Row],[ICMS $]]*MateriaisCampo[[#This Row],[QUANTIDADE]]</f>
        <v>7.3871999999999991</v>
      </c>
      <c r="X188" s="446">
        <f>MateriaisCampo[[#This Row],[UNIT S/ IPI C/DESC]]+MateriaisCampo[[#This Row],[DIFERENCIAL ICMS]]</f>
        <v>3.42</v>
      </c>
      <c r="Y188" s="446">
        <f>(MateriaisCampo[[#This Row],[PIS]]*MateriaisCampo[[#This Row],[UNIT S/ IPI C/DESC]])/2</f>
        <v>2.8215E-2</v>
      </c>
      <c r="Z188" s="446">
        <f>(MateriaisCampo[[#This Row],[COFINS]]*MateriaisCampo[[#This Row],[UNIT S/ IPI C/DESC]])/2</f>
        <v>0.12995999999999999</v>
      </c>
      <c r="AA188" s="445">
        <f>MateriaisCampo[[#This Row],[UNIT S/ IP + DIF ICMS]]+(MateriaisCampo[[#This Row],[UNIT S/ IP + DIF ICMS]]*MateriaisCampo[[#This Row],[IPI %]])</f>
        <v>3.5311499999999998</v>
      </c>
      <c r="AB188" s="448">
        <f>_xlfn.XLOOKUP(MateriaisCampo[[#This Row],[FATURAMENTO]],BASE!$U$48:$U$50,BASE!$W$48:$W$50,0,0,1)</f>
        <v>0.79709863947533133</v>
      </c>
      <c r="AC188" s="510" t="str">
        <f>RESUMO!$E$56</f>
        <v>SIM</v>
      </c>
      <c r="AD188" s="449" t="str">
        <f>RESUMO!$E$57</f>
        <v>SIM</v>
      </c>
      <c r="AE18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2.6462249999999998</v>
      </c>
      <c r="AF188" s="450">
        <f>MateriaisCampo[[#This Row],[UNIT CRED]]*MateriaisCampo[[#This Row],[QUANTIDADE]]</f>
        <v>31.7547</v>
      </c>
      <c r="AG188" s="451">
        <f>MateriaisCampo[[#This Row],[TOT CRED]]</f>
        <v>31.7547</v>
      </c>
      <c r="AH188" s="452">
        <f>IF(MateriaisCampo[[#This Row],[QUANTIDADE]]&lt;&gt;0,((MateriaisCampo[[#This Row],[TOT CUSTO]]/MateriaisCampo[[#This Row],[QUANTIDADE]])/MateriaisCampo[[#This Row],[MARK-UP]]),0)</f>
        <v>3.3198212478970057</v>
      </c>
      <c r="AI188" s="453">
        <f>MateriaisCampo[[#This Row],[UNIT VENDA]]*MateriaisCampo[[#This Row],[QUANTIDADE]]</f>
        <v>39.83785497476407</v>
      </c>
      <c r="AJ188" s="453">
        <f>IFERROR(MateriaisCampo[[#This Row],[VENDA]]*(RESUMO!$F$55/RESUMO!$F$45),0)</f>
        <v>50.587752348906754</v>
      </c>
      <c r="AK188" s="453">
        <f>IFERROR(MateriaisCampo[[#This Row],[VENDA]]*(RESUMO!$F$58/RESUMO!$F$45),0)</f>
        <v>50.587752348906754</v>
      </c>
      <c r="AL188" s="454">
        <f>IF(MateriaisCampo[[#This Row],[FATURAMENTO]]="NORMAL",MateriaisCampo[[#This Row],[VENDA]],0)</f>
        <v>39.83785497476407</v>
      </c>
    </row>
    <row r="189" spans="1:38" x14ac:dyDescent="0.25">
      <c r="A189" s="113" t="s">
        <v>652</v>
      </c>
      <c r="B189" s="113" t="s">
        <v>652</v>
      </c>
      <c r="C189" s="113" t="s">
        <v>746</v>
      </c>
      <c r="D189" s="113" t="s">
        <v>753</v>
      </c>
      <c r="E189" s="434" t="s">
        <v>754</v>
      </c>
      <c r="F189" s="434">
        <f t="shared" si="0"/>
        <v>0</v>
      </c>
      <c r="G189" s="113"/>
      <c r="H189" s="435" t="s">
        <v>603</v>
      </c>
      <c r="I189" s="436">
        <f t="shared" si="3"/>
        <v>350</v>
      </c>
      <c r="J189" s="437">
        <v>3.33</v>
      </c>
      <c r="K189" s="438">
        <v>0.18</v>
      </c>
      <c r="L189" s="438">
        <v>3.2500000000000001E-2</v>
      </c>
      <c r="M189" s="458"/>
      <c r="N189" s="445">
        <f>MateriaisCampo[[#This Row],[UNIT S/IPI S/DESC]]-MateriaisCampo[[#This Row],[UNIT S/IPI S/DESC]]*MateriaisCampo[[#This Row],[% DESC]]</f>
        <v>3.33</v>
      </c>
      <c r="O189" s="441" t="s">
        <v>295</v>
      </c>
      <c r="P189" s="442" t="s">
        <v>155</v>
      </c>
      <c r="Q189" s="438">
        <v>1.6500000000000001E-2</v>
      </c>
      <c r="R189" s="438">
        <v>7.5999999999999998E-2</v>
      </c>
      <c r="S189" s="443">
        <f>MateriaisCampo[[#This Row],[UNIT S/ IP + DIF ICMS]]*MateriaisCampo[[#This Row],[QUANTIDADE]]</f>
        <v>1165.5</v>
      </c>
      <c r="T189" s="444">
        <f>MateriaisCampo[[#This Row],[TOTAL S/ IPI]]+(MateriaisCampo[[#This Row],[TOTAL S/ IPI]]*MateriaisCampo[[#This Row],[IPI %]])</f>
        <v>1203.3787500000001</v>
      </c>
      <c r="U189" s="445">
        <f>IF(AND(MateriaisCampo[[#This Row],[ICMS %]]&lt;&gt;18%,MateriaisCampo[[#This Row],[ORIGEM]]&lt;&gt;"SÃO PAULO"),((18%-MateriaisCampo[[#This Row],[ICMS %]])*MateriaisCampo[[#This Row],[UNIT S/ IPI C/DESC]]),0)</f>
        <v>0</v>
      </c>
      <c r="V189" s="437">
        <f>MateriaisCampo[[#This Row],[UNIT S/ IPI C/DESC]]*MateriaisCampo[[#This Row],[ICMS %]]</f>
        <v>0.59940000000000004</v>
      </c>
      <c r="W189" s="437">
        <f>MateriaisCampo[[#This Row],[ICMS $]]*MateriaisCampo[[#This Row],[QUANTIDADE]]</f>
        <v>209.79000000000002</v>
      </c>
      <c r="X189" s="446">
        <f>MateriaisCampo[[#This Row],[UNIT S/ IPI C/DESC]]+MateriaisCampo[[#This Row],[DIFERENCIAL ICMS]]</f>
        <v>3.33</v>
      </c>
      <c r="Y189" s="446">
        <f>(MateriaisCampo[[#This Row],[PIS]]*MateriaisCampo[[#This Row],[UNIT S/ IPI C/DESC]])/2</f>
        <v>2.74725E-2</v>
      </c>
      <c r="Z189" s="446">
        <f>(MateriaisCampo[[#This Row],[COFINS]]*MateriaisCampo[[#This Row],[UNIT S/ IPI C/DESC]])/2</f>
        <v>0.12653999999999999</v>
      </c>
      <c r="AA189" s="445">
        <f>MateriaisCampo[[#This Row],[UNIT S/ IP + DIF ICMS]]+(MateriaisCampo[[#This Row],[UNIT S/ IP + DIF ICMS]]*MateriaisCampo[[#This Row],[IPI %]])</f>
        <v>3.4382250000000001</v>
      </c>
      <c r="AB189" s="448">
        <f>_xlfn.XLOOKUP(MateriaisCampo[[#This Row],[FATURAMENTO]],BASE!$U$48:$U$50,BASE!$W$48:$W$50,0,0,1)</f>
        <v>0.79709863947533133</v>
      </c>
      <c r="AC189" s="510" t="str">
        <f>RESUMO!$E$56</f>
        <v>SIM</v>
      </c>
      <c r="AD189" s="449" t="str">
        <f>RESUMO!$E$57</f>
        <v>SIM</v>
      </c>
      <c r="AE18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2.5765875</v>
      </c>
      <c r="AF189" s="450">
        <f>MateriaisCampo[[#This Row],[UNIT CRED]]*MateriaisCampo[[#This Row],[QUANTIDADE]]</f>
        <v>901.80562499999996</v>
      </c>
      <c r="AG189" s="451">
        <f>MateriaisCampo[[#This Row],[TOT CRED]]</f>
        <v>901.80562499999996</v>
      </c>
      <c r="AH189" s="452">
        <f>IF(MateriaisCampo[[#This Row],[QUANTIDADE]]&lt;&gt;0,((MateriaisCampo[[#This Row],[TOT CUSTO]]/MateriaisCampo[[#This Row],[QUANTIDADE]])/MateriaisCampo[[#This Row],[MARK-UP]]),0)</f>
        <v>3.2324575308470846</v>
      </c>
      <c r="AI189" s="453">
        <f>MateriaisCampo[[#This Row],[UNIT VENDA]]*MateriaisCampo[[#This Row],[QUANTIDADE]]</f>
        <v>1131.3601357964797</v>
      </c>
      <c r="AJ189" s="453">
        <f>IFERROR(MateriaisCampo[[#This Row],[VENDA]]*(RESUMO!$F$55/RESUMO!$F$45),0)</f>
        <v>1436.6477914875932</v>
      </c>
      <c r="AK189" s="453">
        <f>IFERROR(MateriaisCampo[[#This Row],[VENDA]]*(RESUMO!$F$58/RESUMO!$F$45),0)</f>
        <v>1436.6477914875932</v>
      </c>
      <c r="AL189" s="454">
        <f>IF(MateriaisCampo[[#This Row],[FATURAMENTO]]="NORMAL",MateriaisCampo[[#This Row],[VENDA]],0)</f>
        <v>1131.3601357964797</v>
      </c>
    </row>
    <row r="190" spans="1:38" x14ac:dyDescent="0.25">
      <c r="A190" s="113" t="s">
        <v>652</v>
      </c>
      <c r="B190" s="113" t="s">
        <v>652</v>
      </c>
      <c r="C190" s="113" t="s">
        <v>749</v>
      </c>
      <c r="D190" s="113" t="s">
        <v>752</v>
      </c>
      <c r="E190" s="434" t="s">
        <v>755</v>
      </c>
      <c r="F190" s="434">
        <f t="shared" si="0"/>
        <v>0</v>
      </c>
      <c r="G190" s="113"/>
      <c r="H190" s="435" t="s">
        <v>603</v>
      </c>
      <c r="I190" s="436">
        <v>11</v>
      </c>
      <c r="J190" s="437">
        <v>76</v>
      </c>
      <c r="K190" s="438">
        <v>0.18</v>
      </c>
      <c r="L190" s="438">
        <v>3.2500000000000001E-2</v>
      </c>
      <c r="M190" s="458"/>
      <c r="N190" s="445">
        <f>MateriaisCampo[[#This Row],[UNIT S/IPI S/DESC]]-MateriaisCampo[[#This Row],[UNIT S/IPI S/DESC]]*MateriaisCampo[[#This Row],[% DESC]]</f>
        <v>76</v>
      </c>
      <c r="O190" s="441" t="s">
        <v>295</v>
      </c>
      <c r="P190" s="442" t="s">
        <v>155</v>
      </c>
      <c r="Q190" s="438">
        <v>1.6500000000000001E-2</v>
      </c>
      <c r="R190" s="438">
        <v>7.5999999999999998E-2</v>
      </c>
      <c r="S190" s="443">
        <f>MateriaisCampo[[#This Row],[UNIT S/ IP + DIF ICMS]]*MateriaisCampo[[#This Row],[QUANTIDADE]]</f>
        <v>836</v>
      </c>
      <c r="T190" s="444">
        <f>MateriaisCampo[[#This Row],[TOTAL S/ IPI]]+(MateriaisCampo[[#This Row],[TOTAL S/ IPI]]*MateriaisCampo[[#This Row],[IPI %]])</f>
        <v>863.17</v>
      </c>
      <c r="U190" s="445">
        <f>IF(AND(MateriaisCampo[[#This Row],[ICMS %]]&lt;&gt;18%,MateriaisCampo[[#This Row],[ORIGEM]]&lt;&gt;"SÃO PAULO"),((18%-MateriaisCampo[[#This Row],[ICMS %]])*MateriaisCampo[[#This Row],[UNIT S/ IPI C/DESC]]),0)</f>
        <v>0</v>
      </c>
      <c r="V190" s="437">
        <f>MateriaisCampo[[#This Row],[UNIT S/ IPI C/DESC]]*MateriaisCampo[[#This Row],[ICMS %]]</f>
        <v>13.68</v>
      </c>
      <c r="W190" s="437">
        <f>MateriaisCampo[[#This Row],[ICMS $]]*MateriaisCampo[[#This Row],[QUANTIDADE]]</f>
        <v>150.47999999999999</v>
      </c>
      <c r="X190" s="446">
        <f>MateriaisCampo[[#This Row],[UNIT S/ IPI C/DESC]]+MateriaisCampo[[#This Row],[DIFERENCIAL ICMS]]</f>
        <v>76</v>
      </c>
      <c r="Y190" s="446">
        <f>(MateriaisCampo[[#This Row],[PIS]]*MateriaisCampo[[#This Row],[UNIT S/ IPI C/DESC]])/2</f>
        <v>0.627</v>
      </c>
      <c r="Z190" s="446">
        <f>(MateriaisCampo[[#This Row],[COFINS]]*MateriaisCampo[[#This Row],[UNIT S/ IPI C/DESC]])/2</f>
        <v>2.8879999999999999</v>
      </c>
      <c r="AA190" s="445">
        <f>MateriaisCampo[[#This Row],[UNIT S/ IP + DIF ICMS]]+(MateriaisCampo[[#This Row],[UNIT S/ IP + DIF ICMS]]*MateriaisCampo[[#This Row],[IPI %]])</f>
        <v>78.47</v>
      </c>
      <c r="AB190" s="448">
        <f>_xlfn.XLOOKUP(MateriaisCampo[[#This Row],[FATURAMENTO]],BASE!$U$48:$U$50,BASE!$W$48:$W$50,0,0,1)</f>
        <v>0.79709863947533133</v>
      </c>
      <c r="AC190" s="510" t="str">
        <f>RESUMO!$E$56</f>
        <v>SIM</v>
      </c>
      <c r="AD190" s="449" t="str">
        <f>RESUMO!$E$57</f>
        <v>SIM</v>
      </c>
      <c r="AE19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58.804999999999993</v>
      </c>
      <c r="AF190" s="450">
        <f>MateriaisCampo[[#This Row],[UNIT CRED]]*MateriaisCampo[[#This Row],[QUANTIDADE]]</f>
        <v>646.8549999999999</v>
      </c>
      <c r="AG190" s="451">
        <f>MateriaisCampo[[#This Row],[TOT CRED]]</f>
        <v>646.8549999999999</v>
      </c>
      <c r="AH190" s="452">
        <f>IF(MateriaisCampo[[#This Row],[QUANTIDADE]]&lt;&gt;0,((MateriaisCampo[[#This Row],[TOT CUSTO]]/MateriaisCampo[[#This Row],[QUANTIDADE]])/MateriaisCampo[[#This Row],[MARK-UP]]),0)</f>
        <v>73.773805508822349</v>
      </c>
      <c r="AI190" s="453">
        <f>MateriaisCampo[[#This Row],[UNIT VENDA]]*MateriaisCampo[[#This Row],[QUANTIDADE]]</f>
        <v>811.51186059704582</v>
      </c>
      <c r="AJ190" s="453">
        <f>IFERROR(MateriaisCampo[[#This Row],[VENDA]]*(RESUMO!$F$55/RESUMO!$F$45),0)</f>
        <v>1030.4912515518042</v>
      </c>
      <c r="AK190" s="453">
        <f>IFERROR(MateriaisCampo[[#This Row],[VENDA]]*(RESUMO!$F$58/RESUMO!$F$45),0)</f>
        <v>1030.4912515518042</v>
      </c>
      <c r="AL190" s="454">
        <f>IF(MateriaisCampo[[#This Row],[FATURAMENTO]]="NORMAL",MateriaisCampo[[#This Row],[VENDA]],0)</f>
        <v>811.51186059704582</v>
      </c>
    </row>
    <row r="191" spans="1:38" x14ac:dyDescent="0.25">
      <c r="A191" s="113" t="s">
        <v>652</v>
      </c>
      <c r="B191" s="113" t="s">
        <v>652</v>
      </c>
      <c r="C191" s="113" t="s">
        <v>750</v>
      </c>
      <c r="D191" s="113" t="s">
        <v>752</v>
      </c>
      <c r="E191" s="434" t="s">
        <v>755</v>
      </c>
      <c r="F191" s="434">
        <f t="shared" si="0"/>
        <v>0</v>
      </c>
      <c r="G191" s="113"/>
      <c r="H191" s="435" t="s">
        <v>603</v>
      </c>
      <c r="I191" s="436">
        <v>6</v>
      </c>
      <c r="J191" s="437">
        <v>33</v>
      </c>
      <c r="K191" s="438">
        <v>0.18</v>
      </c>
      <c r="L191" s="438">
        <v>3.2500000000000001E-2</v>
      </c>
      <c r="M191" s="458"/>
      <c r="N191" s="445">
        <f>MateriaisCampo[[#This Row],[UNIT S/IPI S/DESC]]-MateriaisCampo[[#This Row],[UNIT S/IPI S/DESC]]*MateriaisCampo[[#This Row],[% DESC]]</f>
        <v>33</v>
      </c>
      <c r="O191" s="441" t="s">
        <v>295</v>
      </c>
      <c r="P191" s="442" t="s">
        <v>155</v>
      </c>
      <c r="Q191" s="438">
        <v>1.6500000000000001E-2</v>
      </c>
      <c r="R191" s="438">
        <v>7.5999999999999998E-2</v>
      </c>
      <c r="S191" s="443">
        <f>MateriaisCampo[[#This Row],[UNIT S/ IP + DIF ICMS]]*MateriaisCampo[[#This Row],[QUANTIDADE]]</f>
        <v>198</v>
      </c>
      <c r="T191" s="444">
        <f>MateriaisCampo[[#This Row],[TOTAL S/ IPI]]+(MateriaisCampo[[#This Row],[TOTAL S/ IPI]]*MateriaisCampo[[#This Row],[IPI %]])</f>
        <v>204.435</v>
      </c>
      <c r="U191" s="445">
        <f>IF(AND(MateriaisCampo[[#This Row],[ICMS %]]&lt;&gt;18%,MateriaisCampo[[#This Row],[ORIGEM]]&lt;&gt;"SÃO PAULO"),((18%-MateriaisCampo[[#This Row],[ICMS %]])*MateriaisCampo[[#This Row],[UNIT S/ IPI C/DESC]]),0)</f>
        <v>0</v>
      </c>
      <c r="V191" s="437">
        <f>MateriaisCampo[[#This Row],[UNIT S/ IPI C/DESC]]*MateriaisCampo[[#This Row],[ICMS %]]</f>
        <v>5.9399999999999995</v>
      </c>
      <c r="W191" s="437">
        <f>MateriaisCampo[[#This Row],[ICMS $]]*MateriaisCampo[[#This Row],[QUANTIDADE]]</f>
        <v>35.64</v>
      </c>
      <c r="X191" s="446">
        <f>MateriaisCampo[[#This Row],[UNIT S/ IPI C/DESC]]+MateriaisCampo[[#This Row],[DIFERENCIAL ICMS]]</f>
        <v>33</v>
      </c>
      <c r="Y191" s="446">
        <f>(MateriaisCampo[[#This Row],[PIS]]*MateriaisCampo[[#This Row],[UNIT S/ IPI C/DESC]])/2</f>
        <v>0.27224999999999999</v>
      </c>
      <c r="Z191" s="446">
        <f>(MateriaisCampo[[#This Row],[COFINS]]*MateriaisCampo[[#This Row],[UNIT S/ IPI C/DESC]])/2</f>
        <v>1.254</v>
      </c>
      <c r="AA191" s="445">
        <f>MateriaisCampo[[#This Row],[UNIT S/ IP + DIF ICMS]]+(MateriaisCampo[[#This Row],[UNIT S/ IP + DIF ICMS]]*MateriaisCampo[[#This Row],[IPI %]])</f>
        <v>34.072499999999998</v>
      </c>
      <c r="AB191" s="448">
        <f>_xlfn.XLOOKUP(MateriaisCampo[[#This Row],[FATURAMENTO]],BASE!$U$48:$U$50,BASE!$W$48:$W$50,0,0,1)</f>
        <v>0.79709863947533133</v>
      </c>
      <c r="AC191" s="510" t="str">
        <f>RESUMO!$E$56</f>
        <v>SIM</v>
      </c>
      <c r="AD191" s="449" t="str">
        <f>RESUMO!$E$57</f>
        <v>SIM</v>
      </c>
      <c r="AE19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25.533750000000001</v>
      </c>
      <c r="AF191" s="450">
        <f>MateriaisCampo[[#This Row],[UNIT CRED]]*MateriaisCampo[[#This Row],[QUANTIDADE]]</f>
        <v>153.20250000000001</v>
      </c>
      <c r="AG191" s="451">
        <f>MateriaisCampo[[#This Row],[TOT CRED]]</f>
        <v>153.20250000000001</v>
      </c>
      <c r="AH191" s="452">
        <f>IF(MateriaisCampo[[#This Row],[QUANTIDADE]]&lt;&gt;0,((MateriaisCampo[[#This Row],[TOT CUSTO]]/MateriaisCampo[[#This Row],[QUANTIDADE]])/MateriaisCampo[[#This Row],[MARK-UP]]),0)</f>
        <v>32.033362918304441</v>
      </c>
      <c r="AI191" s="453">
        <f>MateriaisCampo[[#This Row],[UNIT VENDA]]*MateriaisCampo[[#This Row],[QUANTIDADE]]</f>
        <v>192.20017750982663</v>
      </c>
      <c r="AJ191" s="453">
        <f>IFERROR(MateriaisCampo[[#This Row],[VENDA]]*(RESUMO!$F$55/RESUMO!$F$45),0)</f>
        <v>244.0637174727957</v>
      </c>
      <c r="AK191" s="453">
        <f>IFERROR(MateriaisCampo[[#This Row],[VENDA]]*(RESUMO!$F$58/RESUMO!$F$45),0)</f>
        <v>244.0637174727957</v>
      </c>
      <c r="AL191" s="454">
        <f>IF(MateriaisCampo[[#This Row],[FATURAMENTO]]="NORMAL",MateriaisCampo[[#This Row],[VENDA]],0)</f>
        <v>192.20017750982663</v>
      </c>
    </row>
    <row r="192" spans="1:38" x14ac:dyDescent="0.25">
      <c r="A192" s="113" t="s">
        <v>652</v>
      </c>
      <c r="B192" s="113" t="s">
        <v>652</v>
      </c>
      <c r="C192" s="113" t="s">
        <v>751</v>
      </c>
      <c r="D192" s="113" t="s">
        <v>752</v>
      </c>
      <c r="E192" s="434" t="s">
        <v>755</v>
      </c>
      <c r="F192" s="434">
        <f t="shared" si="0"/>
        <v>0</v>
      </c>
      <c r="G192" s="113"/>
      <c r="H192" s="435" t="s">
        <v>603</v>
      </c>
      <c r="I192" s="436">
        <v>50</v>
      </c>
      <c r="J192" s="437">
        <v>19</v>
      </c>
      <c r="K192" s="438">
        <v>0.18</v>
      </c>
      <c r="L192" s="438">
        <v>3.2500000000000001E-2</v>
      </c>
      <c r="M192" s="458"/>
      <c r="N192" s="445">
        <f>MateriaisCampo[[#This Row],[UNIT S/IPI S/DESC]]-MateriaisCampo[[#This Row],[UNIT S/IPI S/DESC]]*MateriaisCampo[[#This Row],[% DESC]]</f>
        <v>19</v>
      </c>
      <c r="O192" s="441" t="s">
        <v>295</v>
      </c>
      <c r="P192" s="442" t="s">
        <v>155</v>
      </c>
      <c r="Q192" s="438">
        <v>1.6500000000000001E-2</v>
      </c>
      <c r="R192" s="438">
        <v>7.5999999999999998E-2</v>
      </c>
      <c r="S192" s="443">
        <f>MateriaisCampo[[#This Row],[UNIT S/ IP + DIF ICMS]]*MateriaisCampo[[#This Row],[QUANTIDADE]]</f>
        <v>950</v>
      </c>
      <c r="T192" s="444">
        <f>MateriaisCampo[[#This Row],[TOTAL S/ IPI]]+(MateriaisCampo[[#This Row],[TOTAL S/ IPI]]*MateriaisCampo[[#This Row],[IPI %]])</f>
        <v>980.875</v>
      </c>
      <c r="U192" s="445">
        <f>IF(AND(MateriaisCampo[[#This Row],[ICMS %]]&lt;&gt;18%,MateriaisCampo[[#This Row],[ORIGEM]]&lt;&gt;"SÃO PAULO"),((18%-MateriaisCampo[[#This Row],[ICMS %]])*MateriaisCampo[[#This Row],[UNIT S/ IPI C/DESC]]),0)</f>
        <v>0</v>
      </c>
      <c r="V192" s="437">
        <f>MateriaisCampo[[#This Row],[UNIT S/ IPI C/DESC]]*MateriaisCampo[[#This Row],[ICMS %]]</f>
        <v>3.42</v>
      </c>
      <c r="W192" s="437">
        <f>MateriaisCampo[[#This Row],[ICMS $]]*MateriaisCampo[[#This Row],[QUANTIDADE]]</f>
        <v>171</v>
      </c>
      <c r="X192" s="446">
        <f>MateriaisCampo[[#This Row],[UNIT S/ IPI C/DESC]]+MateriaisCampo[[#This Row],[DIFERENCIAL ICMS]]</f>
        <v>19</v>
      </c>
      <c r="Y192" s="446">
        <f>(MateriaisCampo[[#This Row],[PIS]]*MateriaisCampo[[#This Row],[UNIT S/ IPI C/DESC]])/2</f>
        <v>0.15675</v>
      </c>
      <c r="Z192" s="446">
        <f>(MateriaisCampo[[#This Row],[COFINS]]*MateriaisCampo[[#This Row],[UNIT S/ IPI C/DESC]])/2</f>
        <v>0.72199999999999998</v>
      </c>
      <c r="AA192" s="445">
        <f>MateriaisCampo[[#This Row],[UNIT S/ IP + DIF ICMS]]+(MateriaisCampo[[#This Row],[UNIT S/ IP + DIF ICMS]]*MateriaisCampo[[#This Row],[IPI %]])</f>
        <v>19.6175</v>
      </c>
      <c r="AB192" s="448">
        <f>_xlfn.XLOOKUP(MateriaisCampo[[#This Row],[FATURAMENTO]],BASE!$U$48:$U$50,BASE!$W$48:$W$50,0,0,1)</f>
        <v>0.79709863947533133</v>
      </c>
      <c r="AC192" s="510" t="str">
        <f>RESUMO!$E$56</f>
        <v>SIM</v>
      </c>
      <c r="AD192" s="449" t="str">
        <f>RESUMO!$E$57</f>
        <v>SIM</v>
      </c>
      <c r="AE19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14.701249999999998</v>
      </c>
      <c r="AF192" s="450">
        <f>MateriaisCampo[[#This Row],[UNIT CRED]]*MateriaisCampo[[#This Row],[QUANTIDADE]]</f>
        <v>735.06249999999989</v>
      </c>
      <c r="AG192" s="451">
        <f>MateriaisCampo[[#This Row],[TOT CRED]]</f>
        <v>735.06249999999989</v>
      </c>
      <c r="AH192" s="452">
        <f>IF(MateriaisCampo[[#This Row],[QUANTIDADE]]&lt;&gt;0,((MateriaisCampo[[#This Row],[TOT CUSTO]]/MateriaisCampo[[#This Row],[QUANTIDADE]])/MateriaisCampo[[#This Row],[MARK-UP]]),0)</f>
        <v>18.443451377205587</v>
      </c>
      <c r="AI192" s="453">
        <f>MateriaisCampo[[#This Row],[UNIT VENDA]]*MateriaisCampo[[#This Row],[QUANTIDADE]]</f>
        <v>922.1725688602794</v>
      </c>
      <c r="AJ192" s="453">
        <f>IFERROR(MateriaisCampo[[#This Row],[VENDA]]*(RESUMO!$F$55/RESUMO!$F$45),0)</f>
        <v>1171.0127858543231</v>
      </c>
      <c r="AK192" s="453">
        <f>IFERROR(MateriaisCampo[[#This Row],[VENDA]]*(RESUMO!$F$58/RESUMO!$F$45),0)</f>
        <v>1171.0127858543231</v>
      </c>
      <c r="AL192" s="454">
        <f>IF(MateriaisCampo[[#This Row],[FATURAMENTO]]="NORMAL",MateriaisCampo[[#This Row],[VENDA]],0)</f>
        <v>922.1725688602794</v>
      </c>
    </row>
    <row r="193" spans="1:38" x14ac:dyDescent="0.25">
      <c r="A193" s="113" t="s">
        <v>652</v>
      </c>
      <c r="B193" s="113" t="s">
        <v>652</v>
      </c>
      <c r="C193" s="113" t="s">
        <v>756</v>
      </c>
      <c r="D193" s="113" t="s">
        <v>753</v>
      </c>
      <c r="E193" s="434" t="s">
        <v>754</v>
      </c>
      <c r="F193" s="434">
        <f t="shared" si="0"/>
        <v>0</v>
      </c>
      <c r="G193" s="113"/>
      <c r="H193" s="435" t="s">
        <v>757</v>
      </c>
      <c r="I193" s="436">
        <v>1</v>
      </c>
      <c r="J193" s="437">
        <v>4500</v>
      </c>
      <c r="K193" s="438">
        <v>0.18</v>
      </c>
      <c r="L193" s="438">
        <v>3.2500000000000001E-2</v>
      </c>
      <c r="M193" s="458"/>
      <c r="N193" s="445">
        <f>MateriaisCampo[[#This Row],[UNIT S/IPI S/DESC]]-MateriaisCampo[[#This Row],[UNIT S/IPI S/DESC]]*MateriaisCampo[[#This Row],[% DESC]]</f>
        <v>4500</v>
      </c>
      <c r="O193" s="441" t="s">
        <v>295</v>
      </c>
      <c r="P193" s="442" t="s">
        <v>155</v>
      </c>
      <c r="Q193" s="438">
        <v>1.6500000000000001E-2</v>
      </c>
      <c r="R193" s="438">
        <v>7.5999999999999998E-2</v>
      </c>
      <c r="S193" s="443">
        <f>MateriaisCampo[[#This Row],[UNIT S/ IP + DIF ICMS]]*MateriaisCampo[[#This Row],[QUANTIDADE]]</f>
        <v>4500</v>
      </c>
      <c r="T193" s="444">
        <f>MateriaisCampo[[#This Row],[TOTAL S/ IPI]]+(MateriaisCampo[[#This Row],[TOTAL S/ IPI]]*MateriaisCampo[[#This Row],[IPI %]])</f>
        <v>4646.25</v>
      </c>
      <c r="U193" s="445">
        <f>IF(AND(MateriaisCampo[[#This Row],[ICMS %]]&lt;&gt;18%,MateriaisCampo[[#This Row],[ORIGEM]]&lt;&gt;"SÃO PAULO"),((18%-MateriaisCampo[[#This Row],[ICMS %]])*MateriaisCampo[[#This Row],[UNIT S/ IPI C/DESC]]),0)</f>
        <v>0</v>
      </c>
      <c r="V193" s="437">
        <f>MateriaisCampo[[#This Row],[UNIT S/ IPI C/DESC]]*MateriaisCampo[[#This Row],[ICMS %]]</f>
        <v>810</v>
      </c>
      <c r="W193" s="437">
        <f>MateriaisCampo[[#This Row],[ICMS $]]*MateriaisCampo[[#This Row],[QUANTIDADE]]</f>
        <v>810</v>
      </c>
      <c r="X193" s="446">
        <f>MateriaisCampo[[#This Row],[UNIT S/ IPI C/DESC]]+MateriaisCampo[[#This Row],[DIFERENCIAL ICMS]]</f>
        <v>4500</v>
      </c>
      <c r="Y193" s="446">
        <f>(MateriaisCampo[[#This Row],[PIS]]*MateriaisCampo[[#This Row],[UNIT S/ IPI C/DESC]])/2</f>
        <v>37.125</v>
      </c>
      <c r="Z193" s="446">
        <f>(MateriaisCampo[[#This Row],[COFINS]]*MateriaisCampo[[#This Row],[UNIT S/ IPI C/DESC]])/2</f>
        <v>171</v>
      </c>
      <c r="AA193" s="445">
        <f>MateriaisCampo[[#This Row],[UNIT S/ IP + DIF ICMS]]+(MateriaisCampo[[#This Row],[UNIT S/ IP + DIF ICMS]]*MateriaisCampo[[#This Row],[IPI %]])</f>
        <v>4646.25</v>
      </c>
      <c r="AB193" s="448">
        <f>_xlfn.XLOOKUP(MateriaisCampo[[#This Row],[FATURAMENTO]],BASE!$U$48:$U$50,BASE!$W$48:$W$50,0,0,1)</f>
        <v>0.79709863947533133</v>
      </c>
      <c r="AC193" s="510" t="str">
        <f>RESUMO!$E$56</f>
        <v>SIM</v>
      </c>
      <c r="AD193" s="449" t="str">
        <f>RESUMO!$E$57</f>
        <v>SIM</v>
      </c>
      <c r="AE19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3481.875</v>
      </c>
      <c r="AF193" s="450">
        <f>MateriaisCampo[[#This Row],[UNIT CRED]]*MateriaisCampo[[#This Row],[QUANTIDADE]]</f>
        <v>3481.875</v>
      </c>
      <c r="AG193" s="451">
        <f>MateriaisCampo[[#This Row],[TOT CRED]]</f>
        <v>3481.875</v>
      </c>
      <c r="AH193" s="452">
        <f>IF(MateriaisCampo[[#This Row],[QUANTIDADE]]&lt;&gt;0,((MateriaisCampo[[#This Row],[TOT CUSTO]]/MateriaisCampo[[#This Row],[QUANTIDADE]])/MateriaisCampo[[#This Row],[MARK-UP]]),0)</f>
        <v>4368.1858524960599</v>
      </c>
      <c r="AI193" s="453">
        <f>MateriaisCampo[[#This Row],[UNIT VENDA]]*MateriaisCampo[[#This Row],[QUANTIDADE]]</f>
        <v>4368.1858524960599</v>
      </c>
      <c r="AJ193" s="453">
        <f>IFERROR(MateriaisCampo[[#This Row],[VENDA]]*(RESUMO!$F$55/RESUMO!$F$45),0)</f>
        <v>5546.9026698362659</v>
      </c>
      <c r="AK193" s="453">
        <f>IFERROR(MateriaisCampo[[#This Row],[VENDA]]*(RESUMO!$F$58/RESUMO!$F$45),0)</f>
        <v>5546.9026698362659</v>
      </c>
      <c r="AL193" s="454">
        <f>IF(MateriaisCampo[[#This Row],[FATURAMENTO]]="NORMAL",MateriaisCampo[[#This Row],[VENDA]],0)</f>
        <v>4368.1858524960599</v>
      </c>
    </row>
    <row r="194" spans="1:38" x14ac:dyDescent="0.25">
      <c r="A194" s="113"/>
      <c r="B194" s="113"/>
      <c r="C194" s="113"/>
      <c r="D194" s="113"/>
      <c r="E194" s="434"/>
      <c r="F194" s="434">
        <f t="shared" si="0"/>
        <v>0</v>
      </c>
      <c r="G194" s="113"/>
      <c r="H194" s="435"/>
      <c r="I194" s="436"/>
      <c r="J194" s="437"/>
      <c r="K194" s="438"/>
      <c r="L194" s="438"/>
      <c r="M194" s="458"/>
      <c r="N194" s="445">
        <f>MateriaisCampo[[#This Row],[UNIT S/IPI S/DESC]]-MateriaisCampo[[#This Row],[UNIT S/IPI S/DESC]]*MateriaisCampo[[#This Row],[% DESC]]</f>
        <v>0</v>
      </c>
      <c r="O194" s="441" t="s">
        <v>295</v>
      </c>
      <c r="P194" s="442" t="s">
        <v>155</v>
      </c>
      <c r="Q194" s="438">
        <v>1.6500000000000001E-2</v>
      </c>
      <c r="R194" s="438">
        <v>7.5999999999999998E-2</v>
      </c>
      <c r="S194" s="443">
        <f>MateriaisCampo[[#This Row],[UNIT S/ IP + DIF ICMS]]*MateriaisCampo[[#This Row],[QUANTIDADE]]</f>
        <v>0</v>
      </c>
      <c r="T194" s="444">
        <f>MateriaisCampo[[#This Row],[TOTAL S/ IPI]]+(MateriaisCampo[[#This Row],[TOTAL S/ IPI]]*MateriaisCampo[[#This Row],[IPI %]])</f>
        <v>0</v>
      </c>
      <c r="U194" s="445">
        <f>IF(AND(MateriaisCampo[[#This Row],[ICMS %]]&lt;&gt;18%,MateriaisCampo[[#This Row],[ORIGEM]]&lt;&gt;"SÃO PAULO"),((18%-MateriaisCampo[[#This Row],[ICMS %]])*MateriaisCampo[[#This Row],[UNIT S/ IPI C/DESC]]),0)</f>
        <v>0</v>
      </c>
      <c r="V194" s="437">
        <f>MateriaisCampo[[#This Row],[UNIT S/ IPI C/DESC]]*MateriaisCampo[[#This Row],[ICMS %]]</f>
        <v>0</v>
      </c>
      <c r="W194" s="437">
        <f>MateriaisCampo[[#This Row],[ICMS $]]*MateriaisCampo[[#This Row],[QUANTIDADE]]</f>
        <v>0</v>
      </c>
      <c r="X194" s="446">
        <f>MateriaisCampo[[#This Row],[UNIT S/ IPI C/DESC]]+MateriaisCampo[[#This Row],[DIFERENCIAL ICMS]]</f>
        <v>0</v>
      </c>
      <c r="Y194" s="446">
        <f>(MateriaisCampo[[#This Row],[PIS]]*MateriaisCampo[[#This Row],[UNIT S/ IPI C/DESC]])/2</f>
        <v>0</v>
      </c>
      <c r="Z194" s="446">
        <f>(MateriaisCampo[[#This Row],[COFINS]]*MateriaisCampo[[#This Row],[UNIT S/ IPI C/DESC]])/2</f>
        <v>0</v>
      </c>
      <c r="AA194" s="445">
        <f>MateriaisCampo[[#This Row],[UNIT S/ IP + DIF ICMS]]+(MateriaisCampo[[#This Row],[UNIT S/ IP + DIF ICMS]]*MateriaisCampo[[#This Row],[IPI %]])</f>
        <v>0</v>
      </c>
      <c r="AB194" s="448">
        <f>_xlfn.XLOOKUP(MateriaisCampo[[#This Row],[FATURAMENTO]],BASE!$U$48:$U$50,BASE!$W$48:$W$50,0,0,1)</f>
        <v>0.79709863947533133</v>
      </c>
      <c r="AC194" s="510" t="str">
        <f>RESUMO!$E$56</f>
        <v>SIM</v>
      </c>
      <c r="AD194" s="449" t="str">
        <f>RESUMO!$E$57</f>
        <v>SIM</v>
      </c>
      <c r="AE19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94" s="450">
        <f>MateriaisCampo[[#This Row],[UNIT CRED]]*MateriaisCampo[[#This Row],[QUANTIDADE]]</f>
        <v>0</v>
      </c>
      <c r="AG194" s="451">
        <f>MateriaisCampo[[#This Row],[TOT CRED]]</f>
        <v>0</v>
      </c>
      <c r="AH194" s="452">
        <f>IF(MateriaisCampo[[#This Row],[QUANTIDADE]]&lt;&gt;0,((MateriaisCampo[[#This Row],[TOT CUSTO]]/MateriaisCampo[[#This Row],[QUANTIDADE]])/MateriaisCampo[[#This Row],[MARK-UP]]),0)</f>
        <v>0</v>
      </c>
      <c r="AI194" s="453">
        <f>MateriaisCampo[[#This Row],[UNIT VENDA]]*MateriaisCampo[[#This Row],[QUANTIDADE]]</f>
        <v>0</v>
      </c>
      <c r="AJ194" s="453">
        <f>IFERROR(MateriaisCampo[[#This Row],[VENDA]]*(RESUMO!$F$55/RESUMO!$F$45),0)</f>
        <v>0</v>
      </c>
      <c r="AK194" s="453">
        <f>IFERROR(MateriaisCampo[[#This Row],[VENDA]]*(RESUMO!$F$58/RESUMO!$F$45),0)</f>
        <v>0</v>
      </c>
      <c r="AL194" s="454">
        <f>IF(MateriaisCampo[[#This Row],[FATURAMENTO]]="NORMAL",MateriaisCampo[[#This Row],[VENDA]],0)</f>
        <v>0</v>
      </c>
    </row>
    <row r="195" spans="1:38" x14ac:dyDescent="0.25">
      <c r="A195" s="113"/>
      <c r="B195" s="113"/>
      <c r="C195" s="113"/>
      <c r="D195" s="113"/>
      <c r="E195" s="434"/>
      <c r="F195" s="434">
        <f t="shared" si="0"/>
        <v>0</v>
      </c>
      <c r="G195" s="113"/>
      <c r="H195" s="435"/>
      <c r="I195" s="436"/>
      <c r="J195" s="437"/>
      <c r="K195" s="438"/>
      <c r="L195" s="438"/>
      <c r="M195" s="458"/>
      <c r="N195" s="445">
        <f>MateriaisCampo[[#This Row],[UNIT S/IPI S/DESC]]-MateriaisCampo[[#This Row],[UNIT S/IPI S/DESC]]*MateriaisCampo[[#This Row],[% DESC]]</f>
        <v>0</v>
      </c>
      <c r="O195" s="441" t="s">
        <v>295</v>
      </c>
      <c r="P195" s="442" t="s">
        <v>155</v>
      </c>
      <c r="Q195" s="438">
        <v>1.6500000000000001E-2</v>
      </c>
      <c r="R195" s="438">
        <v>7.5999999999999998E-2</v>
      </c>
      <c r="S195" s="443">
        <f>MateriaisCampo[[#This Row],[UNIT S/ IP + DIF ICMS]]*MateriaisCampo[[#This Row],[QUANTIDADE]]</f>
        <v>0</v>
      </c>
      <c r="T195" s="444">
        <f>MateriaisCampo[[#This Row],[TOTAL S/ IPI]]+(MateriaisCampo[[#This Row],[TOTAL S/ IPI]]*MateriaisCampo[[#This Row],[IPI %]])</f>
        <v>0</v>
      </c>
      <c r="U195" s="445">
        <f>IF(AND(MateriaisCampo[[#This Row],[ICMS %]]&lt;&gt;18%,MateriaisCampo[[#This Row],[ORIGEM]]&lt;&gt;"SÃO PAULO"),((18%-MateriaisCampo[[#This Row],[ICMS %]])*MateriaisCampo[[#This Row],[UNIT S/ IPI C/DESC]]),0)</f>
        <v>0</v>
      </c>
      <c r="V195" s="437">
        <f>MateriaisCampo[[#This Row],[UNIT S/ IPI C/DESC]]*MateriaisCampo[[#This Row],[ICMS %]]</f>
        <v>0</v>
      </c>
      <c r="W195" s="437">
        <f>MateriaisCampo[[#This Row],[ICMS $]]*MateriaisCampo[[#This Row],[QUANTIDADE]]</f>
        <v>0</v>
      </c>
      <c r="X195" s="446">
        <f>MateriaisCampo[[#This Row],[UNIT S/ IPI C/DESC]]+MateriaisCampo[[#This Row],[DIFERENCIAL ICMS]]</f>
        <v>0</v>
      </c>
      <c r="Y195" s="446">
        <f>(MateriaisCampo[[#This Row],[PIS]]*MateriaisCampo[[#This Row],[UNIT S/ IPI C/DESC]])/2</f>
        <v>0</v>
      </c>
      <c r="Z195" s="446">
        <f>(MateriaisCampo[[#This Row],[COFINS]]*MateriaisCampo[[#This Row],[UNIT S/ IPI C/DESC]])/2</f>
        <v>0</v>
      </c>
      <c r="AA195" s="445">
        <f>MateriaisCampo[[#This Row],[UNIT S/ IP + DIF ICMS]]+(MateriaisCampo[[#This Row],[UNIT S/ IP + DIF ICMS]]*MateriaisCampo[[#This Row],[IPI %]])</f>
        <v>0</v>
      </c>
      <c r="AB195" s="448">
        <f>_xlfn.XLOOKUP(MateriaisCampo[[#This Row],[FATURAMENTO]],BASE!$U$48:$U$50,BASE!$W$48:$W$50,0,0,1)</f>
        <v>0.79709863947533133</v>
      </c>
      <c r="AC195" s="510" t="str">
        <f>RESUMO!$E$56</f>
        <v>SIM</v>
      </c>
      <c r="AD195" s="449" t="str">
        <f>RESUMO!$E$57</f>
        <v>SIM</v>
      </c>
      <c r="AE19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95" s="450">
        <f>MateriaisCampo[[#This Row],[UNIT CRED]]*MateriaisCampo[[#This Row],[QUANTIDADE]]</f>
        <v>0</v>
      </c>
      <c r="AG195" s="451">
        <f>MateriaisCampo[[#This Row],[TOT CRED]]</f>
        <v>0</v>
      </c>
      <c r="AH195" s="452">
        <f>IF(MateriaisCampo[[#This Row],[QUANTIDADE]]&lt;&gt;0,((MateriaisCampo[[#This Row],[TOT CUSTO]]/MateriaisCampo[[#This Row],[QUANTIDADE]])/MateriaisCampo[[#This Row],[MARK-UP]]),0)</f>
        <v>0</v>
      </c>
      <c r="AI195" s="453">
        <f>MateriaisCampo[[#This Row],[UNIT VENDA]]*MateriaisCampo[[#This Row],[QUANTIDADE]]</f>
        <v>0</v>
      </c>
      <c r="AJ195" s="453">
        <f>IFERROR(MateriaisCampo[[#This Row],[VENDA]]*(RESUMO!$F$55/RESUMO!$F$45),0)</f>
        <v>0</v>
      </c>
      <c r="AK195" s="453">
        <f>IFERROR(MateriaisCampo[[#This Row],[VENDA]]*(RESUMO!$F$58/RESUMO!$F$45),0)</f>
        <v>0</v>
      </c>
      <c r="AL195" s="454">
        <f>IF(MateriaisCampo[[#This Row],[FATURAMENTO]]="NORMAL",MateriaisCampo[[#This Row],[VENDA]],0)</f>
        <v>0</v>
      </c>
    </row>
    <row r="196" spans="1:38" x14ac:dyDescent="0.25">
      <c r="A196" s="113"/>
      <c r="B196" s="113"/>
      <c r="C196" s="113"/>
      <c r="D196" s="113"/>
      <c r="E196" s="434"/>
      <c r="F196" s="434">
        <f t="shared" si="0"/>
        <v>0</v>
      </c>
      <c r="G196" s="113"/>
      <c r="H196" s="435"/>
      <c r="I196" s="436"/>
      <c r="J196" s="437"/>
      <c r="K196" s="438"/>
      <c r="L196" s="438"/>
      <c r="M196" s="458"/>
      <c r="N196" s="445">
        <f>MateriaisCampo[[#This Row],[UNIT S/IPI S/DESC]]-MateriaisCampo[[#This Row],[UNIT S/IPI S/DESC]]*MateriaisCampo[[#This Row],[% DESC]]</f>
        <v>0</v>
      </c>
      <c r="O196" s="441" t="s">
        <v>295</v>
      </c>
      <c r="P196" s="442" t="s">
        <v>155</v>
      </c>
      <c r="Q196" s="438">
        <v>1.6500000000000001E-2</v>
      </c>
      <c r="R196" s="438">
        <v>7.5999999999999998E-2</v>
      </c>
      <c r="S196" s="443">
        <f>MateriaisCampo[[#This Row],[UNIT S/ IP + DIF ICMS]]*MateriaisCampo[[#This Row],[QUANTIDADE]]</f>
        <v>0</v>
      </c>
      <c r="T196" s="444">
        <f>MateriaisCampo[[#This Row],[TOTAL S/ IPI]]+(MateriaisCampo[[#This Row],[TOTAL S/ IPI]]*MateriaisCampo[[#This Row],[IPI %]])</f>
        <v>0</v>
      </c>
      <c r="U196" s="445">
        <f>IF(AND(MateriaisCampo[[#This Row],[ICMS %]]&lt;&gt;18%,MateriaisCampo[[#This Row],[ORIGEM]]&lt;&gt;"SÃO PAULO"),((18%-MateriaisCampo[[#This Row],[ICMS %]])*MateriaisCampo[[#This Row],[UNIT S/ IPI C/DESC]]),0)</f>
        <v>0</v>
      </c>
      <c r="V196" s="437">
        <f>MateriaisCampo[[#This Row],[UNIT S/ IPI C/DESC]]*MateriaisCampo[[#This Row],[ICMS %]]</f>
        <v>0</v>
      </c>
      <c r="W196" s="437">
        <f>MateriaisCampo[[#This Row],[ICMS $]]*MateriaisCampo[[#This Row],[QUANTIDADE]]</f>
        <v>0</v>
      </c>
      <c r="X196" s="446">
        <f>MateriaisCampo[[#This Row],[UNIT S/ IPI C/DESC]]+MateriaisCampo[[#This Row],[DIFERENCIAL ICMS]]</f>
        <v>0</v>
      </c>
      <c r="Y196" s="446">
        <f>(MateriaisCampo[[#This Row],[PIS]]*MateriaisCampo[[#This Row],[UNIT S/ IPI C/DESC]])/2</f>
        <v>0</v>
      </c>
      <c r="Z196" s="446">
        <f>(MateriaisCampo[[#This Row],[COFINS]]*MateriaisCampo[[#This Row],[UNIT S/ IPI C/DESC]])/2</f>
        <v>0</v>
      </c>
      <c r="AA196" s="445">
        <f>MateriaisCampo[[#This Row],[UNIT S/ IP + DIF ICMS]]+(MateriaisCampo[[#This Row],[UNIT S/ IP + DIF ICMS]]*MateriaisCampo[[#This Row],[IPI %]])</f>
        <v>0</v>
      </c>
      <c r="AB196" s="448">
        <f>_xlfn.XLOOKUP(MateriaisCampo[[#This Row],[FATURAMENTO]],BASE!$U$48:$U$50,BASE!$W$48:$W$50,0,0,1)</f>
        <v>0.79709863947533133</v>
      </c>
      <c r="AC196" s="510" t="str">
        <f>RESUMO!$E$56</f>
        <v>SIM</v>
      </c>
      <c r="AD196" s="449" t="str">
        <f>RESUMO!$E$57</f>
        <v>SIM</v>
      </c>
      <c r="AE19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96" s="450">
        <f>MateriaisCampo[[#This Row],[UNIT CRED]]*MateriaisCampo[[#This Row],[QUANTIDADE]]</f>
        <v>0</v>
      </c>
      <c r="AG196" s="451">
        <f>MateriaisCampo[[#This Row],[TOT CRED]]</f>
        <v>0</v>
      </c>
      <c r="AH196" s="452">
        <f>IF(MateriaisCampo[[#This Row],[QUANTIDADE]]&lt;&gt;0,((MateriaisCampo[[#This Row],[TOT CUSTO]]/MateriaisCampo[[#This Row],[QUANTIDADE]])/MateriaisCampo[[#This Row],[MARK-UP]]),0)</f>
        <v>0</v>
      </c>
      <c r="AI196" s="453">
        <f>MateriaisCampo[[#This Row],[UNIT VENDA]]*MateriaisCampo[[#This Row],[QUANTIDADE]]</f>
        <v>0</v>
      </c>
      <c r="AJ196" s="453">
        <f>IFERROR(MateriaisCampo[[#This Row],[VENDA]]*(RESUMO!$F$55/RESUMO!$F$45),0)</f>
        <v>0</v>
      </c>
      <c r="AK196" s="453">
        <f>IFERROR(MateriaisCampo[[#This Row],[VENDA]]*(RESUMO!$F$58/RESUMO!$F$45),0)</f>
        <v>0</v>
      </c>
      <c r="AL196" s="454">
        <f>IF(MateriaisCampo[[#This Row],[FATURAMENTO]]="NORMAL",MateriaisCampo[[#This Row],[VENDA]],0)</f>
        <v>0</v>
      </c>
    </row>
    <row r="197" spans="1:38" x14ac:dyDescent="0.25">
      <c r="A197" s="484" t="s">
        <v>767</v>
      </c>
      <c r="B197" s="484" t="s">
        <v>767</v>
      </c>
      <c r="C197" s="484" t="s">
        <v>768</v>
      </c>
      <c r="D197" s="484"/>
      <c r="E197" s="485"/>
      <c r="F197" s="485">
        <v>0</v>
      </c>
      <c r="G197" s="484"/>
      <c r="H197" s="486"/>
      <c r="I197" s="487"/>
      <c r="J197" s="488"/>
      <c r="K197" s="438"/>
      <c r="L197" s="438"/>
      <c r="M197" s="458"/>
      <c r="N197" s="445">
        <f>MateriaisCampo[[#This Row],[UNIT S/IPI S/DESC]]-MateriaisCampo[[#This Row],[UNIT S/IPI S/DESC]]*MateriaisCampo[[#This Row],[% DESC]]</f>
        <v>0</v>
      </c>
      <c r="O197" s="441" t="s">
        <v>295</v>
      </c>
      <c r="P197" s="442" t="s">
        <v>155</v>
      </c>
      <c r="Q197" s="438">
        <v>1.6500000000000001E-2</v>
      </c>
      <c r="R197" s="438">
        <v>7.5999999999999998E-2</v>
      </c>
      <c r="S197" s="443">
        <f>MateriaisCampo[[#This Row],[UNIT S/ IP + DIF ICMS]]*MateriaisCampo[[#This Row],[QUANTIDADE]]</f>
        <v>0</v>
      </c>
      <c r="T197" s="444">
        <f>MateriaisCampo[[#This Row],[TOTAL S/ IPI]]+(MateriaisCampo[[#This Row],[TOTAL S/ IPI]]*MateriaisCampo[[#This Row],[IPI %]])</f>
        <v>0</v>
      </c>
      <c r="U197" s="445">
        <f>IF(AND(MateriaisCampo[[#This Row],[ICMS %]]&lt;&gt;18%,MateriaisCampo[[#This Row],[ORIGEM]]&lt;&gt;"SÃO PAULO"),((18%-MateriaisCampo[[#This Row],[ICMS %]])*MateriaisCampo[[#This Row],[UNIT S/ IPI C/DESC]]),0)</f>
        <v>0</v>
      </c>
      <c r="V197" s="437">
        <f>MateriaisCampo[[#This Row],[UNIT S/ IPI C/DESC]]*MateriaisCampo[[#This Row],[ICMS %]]</f>
        <v>0</v>
      </c>
      <c r="W197" s="437">
        <f>MateriaisCampo[[#This Row],[ICMS $]]*MateriaisCampo[[#This Row],[QUANTIDADE]]</f>
        <v>0</v>
      </c>
      <c r="X197" s="446">
        <f>MateriaisCampo[[#This Row],[UNIT S/ IPI C/DESC]]+MateriaisCampo[[#This Row],[DIFERENCIAL ICMS]]</f>
        <v>0</v>
      </c>
      <c r="Y197" s="446">
        <f>(MateriaisCampo[[#This Row],[PIS]]*MateriaisCampo[[#This Row],[UNIT S/ IPI C/DESC]])/2</f>
        <v>0</v>
      </c>
      <c r="Z197" s="446">
        <f>(MateriaisCampo[[#This Row],[COFINS]]*MateriaisCampo[[#This Row],[UNIT S/ IPI C/DESC]])/2</f>
        <v>0</v>
      </c>
      <c r="AA197" s="445">
        <f>MateriaisCampo[[#This Row],[UNIT S/ IP + DIF ICMS]]+(MateriaisCampo[[#This Row],[UNIT S/ IP + DIF ICMS]]*MateriaisCampo[[#This Row],[IPI %]])</f>
        <v>0</v>
      </c>
      <c r="AB197" s="448">
        <f>_xlfn.XLOOKUP(MateriaisCampo[[#This Row],[FATURAMENTO]],BASE!$U$48:$U$50,BASE!$W$48:$W$50,0,0,1)</f>
        <v>0.79709863947533133</v>
      </c>
      <c r="AC197" s="510" t="str">
        <f>RESUMO!$E$56</f>
        <v>SIM</v>
      </c>
      <c r="AD197" s="449" t="str">
        <f>RESUMO!$E$57</f>
        <v>SIM</v>
      </c>
      <c r="AE19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197" s="450">
        <f>MateriaisCampo[[#This Row],[UNIT CRED]]*MateriaisCampo[[#This Row],[QUANTIDADE]]</f>
        <v>0</v>
      </c>
      <c r="AG197" s="451">
        <f>MateriaisCampo[[#This Row],[TOT CRED]]</f>
        <v>0</v>
      </c>
      <c r="AH197" s="452">
        <f>IF(MateriaisCampo[[#This Row],[QUANTIDADE]]&lt;&gt;0,((MateriaisCampo[[#This Row],[TOT CUSTO]]/MateriaisCampo[[#This Row],[QUANTIDADE]])/MateriaisCampo[[#This Row],[MARK-UP]]),0)</f>
        <v>0</v>
      </c>
      <c r="AI197" s="453">
        <f>MateriaisCampo[[#This Row],[UNIT VENDA]]*MateriaisCampo[[#This Row],[QUANTIDADE]]</f>
        <v>0</v>
      </c>
      <c r="AJ197" s="453">
        <f>IFERROR(MateriaisCampo[[#This Row],[VENDA]]*(RESUMO!$F$55/RESUMO!$F$45),0)</f>
        <v>0</v>
      </c>
      <c r="AK197" s="453">
        <f>IFERROR(MateriaisCampo[[#This Row],[VENDA]]*(RESUMO!$F$58/RESUMO!$F$45),0)</f>
        <v>0</v>
      </c>
      <c r="AL197" s="454">
        <f>IF(MateriaisCampo[[#This Row],[FATURAMENTO]]="NORMAL",MateriaisCampo[[#This Row],[VENDA]],0)</f>
        <v>0</v>
      </c>
    </row>
    <row r="198" spans="1:38" ht="23" x14ac:dyDescent="0.25">
      <c r="A198" s="113" t="s">
        <v>767</v>
      </c>
      <c r="B198" s="113" t="s">
        <v>767</v>
      </c>
      <c r="C198" s="113" t="s">
        <v>769</v>
      </c>
      <c r="D198" s="113" t="s">
        <v>770</v>
      </c>
      <c r="E198" s="434" t="s">
        <v>771</v>
      </c>
      <c r="F198" s="434">
        <f t="shared" si="0"/>
        <v>0</v>
      </c>
      <c r="G198" s="113"/>
      <c r="H198" s="435" t="s">
        <v>603</v>
      </c>
      <c r="I198" s="436">
        <v>20</v>
      </c>
      <c r="J198" s="437">
        <v>600</v>
      </c>
      <c r="K198" s="438">
        <v>0.18</v>
      </c>
      <c r="L198" s="438">
        <v>0</v>
      </c>
      <c r="M198" s="458"/>
      <c r="N198" s="445">
        <f>MateriaisCampo[[#This Row],[UNIT S/IPI S/DESC]]-MateriaisCampo[[#This Row],[UNIT S/IPI S/DESC]]*MateriaisCampo[[#This Row],[% DESC]]</f>
        <v>600</v>
      </c>
      <c r="O198" s="441" t="s">
        <v>295</v>
      </c>
      <c r="P198" s="442" t="s">
        <v>155</v>
      </c>
      <c r="Q198" s="438">
        <v>1.6500000000000001E-2</v>
      </c>
      <c r="R198" s="438">
        <v>7.5999999999999998E-2</v>
      </c>
      <c r="S198" s="443">
        <f>MateriaisCampo[[#This Row],[UNIT S/ IP + DIF ICMS]]*MateriaisCampo[[#This Row],[QUANTIDADE]]</f>
        <v>12000</v>
      </c>
      <c r="T198" s="444">
        <f>MateriaisCampo[[#This Row],[TOTAL S/ IPI]]+(MateriaisCampo[[#This Row],[TOTAL S/ IPI]]*MateriaisCampo[[#This Row],[IPI %]])</f>
        <v>12000</v>
      </c>
      <c r="U198" s="445">
        <f>IF(AND(MateriaisCampo[[#This Row],[ICMS %]]&lt;&gt;18%,MateriaisCampo[[#This Row],[ORIGEM]]&lt;&gt;"SÃO PAULO"),((18%-MateriaisCampo[[#This Row],[ICMS %]])*MateriaisCampo[[#This Row],[UNIT S/ IPI C/DESC]]),0)</f>
        <v>0</v>
      </c>
      <c r="V198" s="437">
        <f>MateriaisCampo[[#This Row],[UNIT S/ IPI C/DESC]]*MateriaisCampo[[#This Row],[ICMS %]]</f>
        <v>108</v>
      </c>
      <c r="W198" s="437">
        <f>MateriaisCampo[[#This Row],[ICMS $]]*MateriaisCampo[[#This Row],[QUANTIDADE]]</f>
        <v>2160</v>
      </c>
      <c r="X198" s="446">
        <f>MateriaisCampo[[#This Row],[UNIT S/ IPI C/DESC]]+MateriaisCampo[[#This Row],[DIFERENCIAL ICMS]]</f>
        <v>600</v>
      </c>
      <c r="Y198" s="446">
        <f>(MateriaisCampo[[#This Row],[PIS]]*MateriaisCampo[[#This Row],[UNIT S/ IPI C/DESC]])/2</f>
        <v>4.95</v>
      </c>
      <c r="Z198" s="446">
        <f>(MateriaisCampo[[#This Row],[COFINS]]*MateriaisCampo[[#This Row],[UNIT S/ IPI C/DESC]])/2</f>
        <v>22.8</v>
      </c>
      <c r="AA198" s="445">
        <f>MateriaisCampo[[#This Row],[UNIT S/ IP + DIF ICMS]]+(MateriaisCampo[[#This Row],[UNIT S/ IP + DIF ICMS]]*MateriaisCampo[[#This Row],[IPI %]])</f>
        <v>600</v>
      </c>
      <c r="AB198" s="448">
        <f>_xlfn.XLOOKUP(MateriaisCampo[[#This Row],[FATURAMENTO]],BASE!$U$48:$U$50,BASE!$W$48:$W$50,0,0,1)</f>
        <v>0.79709863947533133</v>
      </c>
      <c r="AC198" s="510" t="str">
        <f>RESUMO!$E$56</f>
        <v>SIM</v>
      </c>
      <c r="AD198" s="449" t="str">
        <f>RESUMO!$E$57</f>
        <v>SIM</v>
      </c>
      <c r="AE19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464.25</v>
      </c>
      <c r="AF198" s="450">
        <f>MateriaisCampo[[#This Row],[UNIT CRED]]*MateriaisCampo[[#This Row],[QUANTIDADE]]</f>
        <v>9285</v>
      </c>
      <c r="AG198" s="451">
        <f>MateriaisCampo[[#This Row],[TOT CRED]]</f>
        <v>9285</v>
      </c>
      <c r="AH198" s="452">
        <f>IF(MateriaisCampo[[#This Row],[QUANTIDADE]]&lt;&gt;0,((MateriaisCampo[[#This Row],[TOT CUSTO]]/MateriaisCampo[[#This Row],[QUANTIDADE]])/MateriaisCampo[[#This Row],[MARK-UP]]),0)</f>
        <v>582.42478033280804</v>
      </c>
      <c r="AI198" s="453">
        <f>MateriaisCampo[[#This Row],[UNIT VENDA]]*MateriaisCampo[[#This Row],[QUANTIDADE]]</f>
        <v>11648.495606656161</v>
      </c>
      <c r="AJ198" s="453">
        <f>IFERROR(MateriaisCampo[[#This Row],[VENDA]]*(RESUMO!$F$55/RESUMO!$F$45),0)</f>
        <v>14791.740452896711</v>
      </c>
      <c r="AK198" s="453">
        <f>IFERROR(MateriaisCampo[[#This Row],[VENDA]]*(RESUMO!$F$58/RESUMO!$F$45),0)</f>
        <v>14791.740452896711</v>
      </c>
      <c r="AL198" s="454">
        <f>IF(MateriaisCampo[[#This Row],[FATURAMENTO]]="NORMAL",MateriaisCampo[[#This Row],[VENDA]],0)</f>
        <v>11648.495606656161</v>
      </c>
    </row>
    <row r="199" spans="1:38" x14ac:dyDescent="0.25">
      <c r="A199" s="113" t="s">
        <v>767</v>
      </c>
      <c r="B199" s="113" t="s">
        <v>767</v>
      </c>
      <c r="C199" s="113" t="s">
        <v>772</v>
      </c>
      <c r="D199" s="113" t="s">
        <v>773</v>
      </c>
      <c r="E199" s="434" t="s">
        <v>771</v>
      </c>
      <c r="F199" s="434">
        <f t="shared" si="0"/>
        <v>0</v>
      </c>
      <c r="G199" s="113"/>
      <c r="H199" s="435" t="s">
        <v>603</v>
      </c>
      <c r="I199" s="436">
        <f>I198*4</f>
        <v>80</v>
      </c>
      <c r="J199" s="437">
        <v>120</v>
      </c>
      <c r="K199" s="438">
        <v>0.18</v>
      </c>
      <c r="L199" s="438">
        <v>0</v>
      </c>
      <c r="M199" s="458"/>
      <c r="N199" s="445">
        <f>MateriaisCampo[[#This Row],[UNIT S/IPI S/DESC]]-MateriaisCampo[[#This Row],[UNIT S/IPI S/DESC]]*MateriaisCampo[[#This Row],[% DESC]]</f>
        <v>120</v>
      </c>
      <c r="O199" s="441" t="s">
        <v>295</v>
      </c>
      <c r="P199" s="442" t="s">
        <v>155</v>
      </c>
      <c r="Q199" s="438">
        <v>1.6500000000000001E-2</v>
      </c>
      <c r="R199" s="438">
        <v>7.5999999999999998E-2</v>
      </c>
      <c r="S199" s="443">
        <f>MateriaisCampo[[#This Row],[UNIT S/ IP + DIF ICMS]]*MateriaisCampo[[#This Row],[QUANTIDADE]]</f>
        <v>9600</v>
      </c>
      <c r="T199" s="444">
        <f>MateriaisCampo[[#This Row],[TOTAL S/ IPI]]+(MateriaisCampo[[#This Row],[TOTAL S/ IPI]]*MateriaisCampo[[#This Row],[IPI %]])</f>
        <v>9600</v>
      </c>
      <c r="U199" s="445">
        <f>IF(AND(MateriaisCampo[[#This Row],[ICMS %]]&lt;&gt;18%,MateriaisCampo[[#This Row],[ORIGEM]]&lt;&gt;"SÃO PAULO"),((18%-MateriaisCampo[[#This Row],[ICMS %]])*MateriaisCampo[[#This Row],[UNIT S/ IPI C/DESC]]),0)</f>
        <v>0</v>
      </c>
      <c r="V199" s="437">
        <f>MateriaisCampo[[#This Row],[UNIT S/ IPI C/DESC]]*MateriaisCampo[[#This Row],[ICMS %]]</f>
        <v>21.599999999999998</v>
      </c>
      <c r="W199" s="437">
        <f>MateriaisCampo[[#This Row],[ICMS $]]*MateriaisCampo[[#This Row],[QUANTIDADE]]</f>
        <v>1727.9999999999998</v>
      </c>
      <c r="X199" s="446">
        <f>MateriaisCampo[[#This Row],[UNIT S/ IPI C/DESC]]+MateriaisCampo[[#This Row],[DIFERENCIAL ICMS]]</f>
        <v>120</v>
      </c>
      <c r="Y199" s="446">
        <f>(MateriaisCampo[[#This Row],[PIS]]*MateriaisCampo[[#This Row],[UNIT S/ IPI C/DESC]])/2</f>
        <v>0.99</v>
      </c>
      <c r="Z199" s="446">
        <f>(MateriaisCampo[[#This Row],[COFINS]]*MateriaisCampo[[#This Row],[UNIT S/ IPI C/DESC]])/2</f>
        <v>4.5599999999999996</v>
      </c>
      <c r="AA199" s="445">
        <f>MateriaisCampo[[#This Row],[UNIT S/ IP + DIF ICMS]]+(MateriaisCampo[[#This Row],[UNIT S/ IP + DIF ICMS]]*MateriaisCampo[[#This Row],[IPI %]])</f>
        <v>120</v>
      </c>
      <c r="AB199" s="448">
        <f>_xlfn.XLOOKUP(MateriaisCampo[[#This Row],[FATURAMENTO]],BASE!$U$48:$U$50,BASE!$W$48:$W$50,0,0,1)</f>
        <v>0.79709863947533133</v>
      </c>
      <c r="AC199" s="510" t="str">
        <f>RESUMO!$E$56</f>
        <v>SIM</v>
      </c>
      <c r="AD199" s="449" t="str">
        <f>RESUMO!$E$57</f>
        <v>SIM</v>
      </c>
      <c r="AE19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92.850000000000009</v>
      </c>
      <c r="AF199" s="450">
        <f>MateriaisCampo[[#This Row],[UNIT CRED]]*MateriaisCampo[[#This Row],[QUANTIDADE]]</f>
        <v>7428.0000000000009</v>
      </c>
      <c r="AG199" s="451">
        <f>MateriaisCampo[[#This Row],[TOT CRED]]</f>
        <v>7428.0000000000009</v>
      </c>
      <c r="AH199" s="452">
        <f>IF(MateriaisCampo[[#This Row],[QUANTIDADE]]&lt;&gt;0,((MateriaisCampo[[#This Row],[TOT CUSTO]]/MateriaisCampo[[#This Row],[QUANTIDADE]])/MateriaisCampo[[#This Row],[MARK-UP]]),0)</f>
        <v>116.48495606656162</v>
      </c>
      <c r="AI199" s="453">
        <f>MateriaisCampo[[#This Row],[UNIT VENDA]]*MateriaisCampo[[#This Row],[QUANTIDADE]]</f>
        <v>9318.7964853249305</v>
      </c>
      <c r="AJ199" s="453">
        <f>IFERROR(MateriaisCampo[[#This Row],[VENDA]]*(RESUMO!$F$55/RESUMO!$F$45),0)</f>
        <v>11833.39236231737</v>
      </c>
      <c r="AK199" s="453">
        <f>IFERROR(MateriaisCampo[[#This Row],[VENDA]]*(RESUMO!$F$58/RESUMO!$F$45),0)</f>
        <v>11833.39236231737</v>
      </c>
      <c r="AL199" s="454">
        <f>IF(MateriaisCampo[[#This Row],[FATURAMENTO]]="NORMAL",MateriaisCampo[[#This Row],[VENDA]],0)</f>
        <v>9318.7964853249305</v>
      </c>
    </row>
    <row r="200" spans="1:38" x14ac:dyDescent="0.25">
      <c r="A200" s="113" t="s">
        <v>767</v>
      </c>
      <c r="B200" s="113" t="s">
        <v>767</v>
      </c>
      <c r="C200" s="113" t="s">
        <v>774</v>
      </c>
      <c r="D200" s="113" t="s">
        <v>774</v>
      </c>
      <c r="E200" s="434" t="s">
        <v>771</v>
      </c>
      <c r="F200" s="434">
        <f t="shared" si="0"/>
        <v>0</v>
      </c>
      <c r="G200" s="113"/>
      <c r="H200" s="435" t="s">
        <v>603</v>
      </c>
      <c r="I200" s="436">
        <v>28</v>
      </c>
      <c r="J200" s="437">
        <v>600</v>
      </c>
      <c r="K200" s="438">
        <v>0.18</v>
      </c>
      <c r="L200" s="438">
        <v>0</v>
      </c>
      <c r="M200" s="458"/>
      <c r="N200" s="445">
        <f>MateriaisCampo[[#This Row],[UNIT S/IPI S/DESC]]-MateriaisCampo[[#This Row],[UNIT S/IPI S/DESC]]*MateriaisCampo[[#This Row],[% DESC]]</f>
        <v>600</v>
      </c>
      <c r="O200" s="441" t="s">
        <v>295</v>
      </c>
      <c r="P200" s="442" t="s">
        <v>155</v>
      </c>
      <c r="Q200" s="438">
        <v>1.6500000000000001E-2</v>
      </c>
      <c r="R200" s="438">
        <v>7.5999999999999998E-2</v>
      </c>
      <c r="S200" s="443">
        <f>MateriaisCampo[[#This Row],[UNIT S/ IP + DIF ICMS]]*MateriaisCampo[[#This Row],[QUANTIDADE]]</f>
        <v>16800</v>
      </c>
      <c r="T200" s="444">
        <f>MateriaisCampo[[#This Row],[TOTAL S/ IPI]]+(MateriaisCampo[[#This Row],[TOTAL S/ IPI]]*MateriaisCampo[[#This Row],[IPI %]])</f>
        <v>16800</v>
      </c>
      <c r="U200" s="445">
        <f>IF(AND(MateriaisCampo[[#This Row],[ICMS %]]&lt;&gt;18%,MateriaisCampo[[#This Row],[ORIGEM]]&lt;&gt;"SÃO PAULO"),((18%-MateriaisCampo[[#This Row],[ICMS %]])*MateriaisCampo[[#This Row],[UNIT S/ IPI C/DESC]]),0)</f>
        <v>0</v>
      </c>
      <c r="V200" s="437">
        <f>MateriaisCampo[[#This Row],[UNIT S/ IPI C/DESC]]*MateriaisCampo[[#This Row],[ICMS %]]</f>
        <v>108</v>
      </c>
      <c r="W200" s="437">
        <f>MateriaisCampo[[#This Row],[ICMS $]]*MateriaisCampo[[#This Row],[QUANTIDADE]]</f>
        <v>3024</v>
      </c>
      <c r="X200" s="446">
        <f>MateriaisCampo[[#This Row],[UNIT S/ IPI C/DESC]]+MateriaisCampo[[#This Row],[DIFERENCIAL ICMS]]</f>
        <v>600</v>
      </c>
      <c r="Y200" s="446">
        <f>(MateriaisCampo[[#This Row],[PIS]]*MateriaisCampo[[#This Row],[UNIT S/ IPI C/DESC]])/2</f>
        <v>4.95</v>
      </c>
      <c r="Z200" s="446">
        <f>(MateriaisCampo[[#This Row],[COFINS]]*MateriaisCampo[[#This Row],[UNIT S/ IPI C/DESC]])/2</f>
        <v>22.8</v>
      </c>
      <c r="AA200" s="445">
        <f>MateriaisCampo[[#This Row],[UNIT S/ IP + DIF ICMS]]+(MateriaisCampo[[#This Row],[UNIT S/ IP + DIF ICMS]]*MateriaisCampo[[#This Row],[IPI %]])</f>
        <v>600</v>
      </c>
      <c r="AB200" s="448">
        <f>_xlfn.XLOOKUP(MateriaisCampo[[#This Row],[FATURAMENTO]],BASE!$U$48:$U$50,BASE!$W$48:$W$50,0,0,1)</f>
        <v>0.79709863947533133</v>
      </c>
      <c r="AC200" s="510" t="str">
        <f>RESUMO!$E$56</f>
        <v>SIM</v>
      </c>
      <c r="AD200" s="449" t="str">
        <f>RESUMO!$E$57</f>
        <v>SIM</v>
      </c>
      <c r="AE20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464.25</v>
      </c>
      <c r="AF200" s="450">
        <f>MateriaisCampo[[#This Row],[UNIT CRED]]*MateriaisCampo[[#This Row],[QUANTIDADE]]</f>
        <v>12999</v>
      </c>
      <c r="AG200" s="451">
        <f>MateriaisCampo[[#This Row],[TOT CRED]]</f>
        <v>12999</v>
      </c>
      <c r="AH200" s="452">
        <f>IF(MateriaisCampo[[#This Row],[QUANTIDADE]]&lt;&gt;0,((MateriaisCampo[[#This Row],[TOT CUSTO]]/MateriaisCampo[[#This Row],[QUANTIDADE]])/MateriaisCampo[[#This Row],[MARK-UP]]),0)</f>
        <v>582.42478033280804</v>
      </c>
      <c r="AI200" s="453">
        <f>MateriaisCampo[[#This Row],[UNIT VENDA]]*MateriaisCampo[[#This Row],[QUANTIDADE]]</f>
        <v>16307.893849318625</v>
      </c>
      <c r="AJ200" s="453">
        <f>IFERROR(MateriaisCampo[[#This Row],[VENDA]]*(RESUMO!$F$55/RESUMO!$F$45),0)</f>
        <v>20708.436634055397</v>
      </c>
      <c r="AK200" s="453">
        <f>IFERROR(MateriaisCampo[[#This Row],[VENDA]]*(RESUMO!$F$58/RESUMO!$F$45),0)</f>
        <v>20708.436634055397</v>
      </c>
      <c r="AL200" s="454">
        <f>IF(MateriaisCampo[[#This Row],[FATURAMENTO]]="NORMAL",MateriaisCampo[[#This Row],[VENDA]],0)</f>
        <v>16307.893849318625</v>
      </c>
    </row>
    <row r="201" spans="1:38" x14ac:dyDescent="0.25">
      <c r="A201" s="113" t="s">
        <v>767</v>
      </c>
      <c r="B201" s="113" t="s">
        <v>767</v>
      </c>
      <c r="C201" s="113" t="s">
        <v>775</v>
      </c>
      <c r="D201" s="113" t="s">
        <v>776</v>
      </c>
      <c r="E201" s="434" t="s">
        <v>771</v>
      </c>
      <c r="F201" s="434">
        <f t="shared" si="0"/>
        <v>0</v>
      </c>
      <c r="G201" s="113"/>
      <c r="H201" s="435" t="s">
        <v>603</v>
      </c>
      <c r="I201" s="436">
        <v>40</v>
      </c>
      <c r="J201" s="437">
        <v>240</v>
      </c>
      <c r="K201" s="438">
        <v>0.12</v>
      </c>
      <c r="L201" s="438">
        <v>0</v>
      </c>
      <c r="M201" s="458"/>
      <c r="N201" s="445">
        <f>MateriaisCampo[[#This Row],[UNIT S/IPI S/DESC]]-MateriaisCampo[[#This Row],[UNIT S/IPI S/DESC]]*MateriaisCampo[[#This Row],[% DESC]]</f>
        <v>240</v>
      </c>
      <c r="O201" s="441" t="s">
        <v>295</v>
      </c>
      <c r="P201" s="442" t="s">
        <v>155</v>
      </c>
      <c r="Q201" s="438">
        <v>1.6500000000000001E-2</v>
      </c>
      <c r="R201" s="438">
        <v>7.5999999999999998E-2</v>
      </c>
      <c r="S201" s="443">
        <f>MateriaisCampo[[#This Row],[UNIT S/ IP + DIF ICMS]]*MateriaisCampo[[#This Row],[QUANTIDADE]]</f>
        <v>9600</v>
      </c>
      <c r="T201" s="444">
        <f>MateriaisCampo[[#This Row],[TOTAL S/ IPI]]+(MateriaisCampo[[#This Row],[TOTAL S/ IPI]]*MateriaisCampo[[#This Row],[IPI %]])</f>
        <v>9600</v>
      </c>
      <c r="U201" s="445">
        <f>IF(AND(MateriaisCampo[[#This Row],[ICMS %]]&lt;&gt;18%,MateriaisCampo[[#This Row],[ORIGEM]]&lt;&gt;"SÃO PAULO"),((18%-MateriaisCampo[[#This Row],[ICMS %]])*MateriaisCampo[[#This Row],[UNIT S/ IPI C/DESC]]),0)</f>
        <v>0</v>
      </c>
      <c r="V201" s="437">
        <f>MateriaisCampo[[#This Row],[UNIT S/ IPI C/DESC]]*MateriaisCampo[[#This Row],[ICMS %]]</f>
        <v>28.799999999999997</v>
      </c>
      <c r="W201" s="437">
        <f>MateriaisCampo[[#This Row],[ICMS $]]*MateriaisCampo[[#This Row],[QUANTIDADE]]</f>
        <v>1152</v>
      </c>
      <c r="X201" s="446">
        <f>MateriaisCampo[[#This Row],[UNIT S/ IPI C/DESC]]+MateriaisCampo[[#This Row],[DIFERENCIAL ICMS]]</f>
        <v>240</v>
      </c>
      <c r="Y201" s="446">
        <f>(MateriaisCampo[[#This Row],[PIS]]*MateriaisCampo[[#This Row],[UNIT S/ IPI C/DESC]])/2</f>
        <v>1.98</v>
      </c>
      <c r="Z201" s="446">
        <f>(MateriaisCampo[[#This Row],[COFINS]]*MateriaisCampo[[#This Row],[UNIT S/ IPI C/DESC]])/2</f>
        <v>9.1199999999999992</v>
      </c>
      <c r="AA201" s="445">
        <f>MateriaisCampo[[#This Row],[UNIT S/ IP + DIF ICMS]]+(MateriaisCampo[[#This Row],[UNIT S/ IP + DIF ICMS]]*MateriaisCampo[[#This Row],[IPI %]])</f>
        <v>240</v>
      </c>
      <c r="AB201" s="448">
        <f>_xlfn.XLOOKUP(MateriaisCampo[[#This Row],[FATURAMENTO]],BASE!$U$48:$U$50,BASE!$W$48:$W$50,0,0,1)</f>
        <v>0.79709863947533133</v>
      </c>
      <c r="AC201" s="510" t="str">
        <f>RESUMO!$E$56</f>
        <v>SIM</v>
      </c>
      <c r="AD201" s="449" t="str">
        <f>RESUMO!$E$57</f>
        <v>SIM</v>
      </c>
      <c r="AE20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200.1</v>
      </c>
      <c r="AF201" s="450">
        <f>MateriaisCampo[[#This Row],[UNIT CRED]]*MateriaisCampo[[#This Row],[QUANTIDADE]]</f>
        <v>8004</v>
      </c>
      <c r="AG201" s="451">
        <f>MateriaisCampo[[#This Row],[TOT CRED]]</f>
        <v>8004</v>
      </c>
      <c r="AH201" s="452">
        <f>IF(MateriaisCampo[[#This Row],[QUANTIDADE]]&lt;&gt;0,((MateriaisCampo[[#This Row],[TOT CUSTO]]/MateriaisCampo[[#This Row],[QUANTIDADE]])/MateriaisCampo[[#This Row],[MARK-UP]]),0)</f>
        <v>251.03543035992436</v>
      </c>
      <c r="AI201" s="453">
        <f>MateriaisCampo[[#This Row],[UNIT VENDA]]*MateriaisCampo[[#This Row],[QUANTIDADE]]</f>
        <v>10041.417214396974</v>
      </c>
      <c r="AJ201" s="453">
        <f>IFERROR(MateriaisCampo[[#This Row],[VENDA]]*(RESUMO!$F$55/RESUMO!$F$45),0)</f>
        <v>12751.005986535838</v>
      </c>
      <c r="AK201" s="453">
        <f>IFERROR(MateriaisCampo[[#This Row],[VENDA]]*(RESUMO!$F$58/RESUMO!$F$45),0)</f>
        <v>12751.005986535838</v>
      </c>
      <c r="AL201" s="454">
        <f>IF(MateriaisCampo[[#This Row],[FATURAMENTO]]="NORMAL",MateriaisCampo[[#This Row],[VENDA]],0)</f>
        <v>10041.417214396974</v>
      </c>
    </row>
    <row r="202" spans="1:38" x14ac:dyDescent="0.25">
      <c r="A202" s="113" t="s">
        <v>767</v>
      </c>
      <c r="B202" s="113" t="s">
        <v>767</v>
      </c>
      <c r="C202" s="113" t="s">
        <v>777</v>
      </c>
      <c r="D202" s="113" t="s">
        <v>778</v>
      </c>
      <c r="E202" s="434" t="s">
        <v>649</v>
      </c>
      <c r="F202" s="434">
        <f t="shared" si="0"/>
        <v>0</v>
      </c>
      <c r="G202" s="113"/>
      <c r="H202" s="435" t="s">
        <v>757</v>
      </c>
      <c r="I202" s="436">
        <v>2</v>
      </c>
      <c r="J202" s="437">
        <v>3500</v>
      </c>
      <c r="K202" s="438">
        <v>0.12</v>
      </c>
      <c r="L202" s="438"/>
      <c r="M202" s="458"/>
      <c r="N202" s="445">
        <f>MateriaisCampo[[#This Row],[UNIT S/IPI S/DESC]]-MateriaisCampo[[#This Row],[UNIT S/IPI S/DESC]]*MateriaisCampo[[#This Row],[% DESC]]</f>
        <v>3500</v>
      </c>
      <c r="O202" s="441" t="s">
        <v>295</v>
      </c>
      <c r="P202" s="442" t="s">
        <v>155</v>
      </c>
      <c r="Q202" s="438">
        <v>1.6500000000000001E-2</v>
      </c>
      <c r="R202" s="438">
        <v>7.5999999999999998E-2</v>
      </c>
      <c r="S202" s="443">
        <f>MateriaisCampo[[#This Row],[UNIT S/ IP + DIF ICMS]]*MateriaisCampo[[#This Row],[QUANTIDADE]]</f>
        <v>7000</v>
      </c>
      <c r="T202" s="444">
        <f>MateriaisCampo[[#This Row],[TOTAL S/ IPI]]+(MateriaisCampo[[#This Row],[TOTAL S/ IPI]]*MateriaisCampo[[#This Row],[IPI %]])</f>
        <v>7000</v>
      </c>
      <c r="U202" s="445">
        <f>IF(AND(MateriaisCampo[[#This Row],[ICMS %]]&lt;&gt;18%,MateriaisCampo[[#This Row],[ORIGEM]]&lt;&gt;"SÃO PAULO"),((18%-MateriaisCampo[[#This Row],[ICMS %]])*MateriaisCampo[[#This Row],[UNIT S/ IPI C/DESC]]),0)</f>
        <v>0</v>
      </c>
      <c r="V202" s="437">
        <f>MateriaisCampo[[#This Row],[UNIT S/ IPI C/DESC]]*MateriaisCampo[[#This Row],[ICMS %]]</f>
        <v>420</v>
      </c>
      <c r="W202" s="437">
        <f>MateriaisCampo[[#This Row],[ICMS $]]*MateriaisCampo[[#This Row],[QUANTIDADE]]</f>
        <v>840</v>
      </c>
      <c r="X202" s="446">
        <f>MateriaisCampo[[#This Row],[UNIT S/ IPI C/DESC]]+MateriaisCampo[[#This Row],[DIFERENCIAL ICMS]]</f>
        <v>3500</v>
      </c>
      <c r="Y202" s="446">
        <f>(MateriaisCampo[[#This Row],[PIS]]*MateriaisCampo[[#This Row],[UNIT S/ IPI C/DESC]])/2</f>
        <v>28.875</v>
      </c>
      <c r="Z202" s="446">
        <f>(MateriaisCampo[[#This Row],[COFINS]]*MateriaisCampo[[#This Row],[UNIT S/ IPI C/DESC]])/2</f>
        <v>133</v>
      </c>
      <c r="AA202" s="445">
        <f>MateriaisCampo[[#This Row],[UNIT S/ IP + DIF ICMS]]+(MateriaisCampo[[#This Row],[UNIT S/ IP + DIF ICMS]]*MateriaisCampo[[#This Row],[IPI %]])</f>
        <v>3500</v>
      </c>
      <c r="AB202" s="448">
        <f>_xlfn.XLOOKUP(MateriaisCampo[[#This Row],[FATURAMENTO]],BASE!$U$48:$U$50,BASE!$W$48:$W$50,0,0,1)</f>
        <v>0.79709863947533133</v>
      </c>
      <c r="AC202" s="510" t="str">
        <f>RESUMO!$E$56</f>
        <v>SIM</v>
      </c>
      <c r="AD202" s="449" t="str">
        <f>RESUMO!$E$57</f>
        <v>SIM</v>
      </c>
      <c r="AE20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2918.125</v>
      </c>
      <c r="AF202" s="450">
        <f>MateriaisCampo[[#This Row],[UNIT CRED]]*MateriaisCampo[[#This Row],[QUANTIDADE]]</f>
        <v>5836.25</v>
      </c>
      <c r="AG202" s="451">
        <f>MateriaisCampo[[#This Row],[TOT CRED]]</f>
        <v>5836.25</v>
      </c>
      <c r="AH202" s="452">
        <f>IF(MateriaisCampo[[#This Row],[QUANTIDADE]]&lt;&gt;0,((MateriaisCampo[[#This Row],[TOT CUSTO]]/MateriaisCampo[[#This Row],[QUANTIDADE]])/MateriaisCampo[[#This Row],[MARK-UP]]),0)</f>
        <v>3660.9333594155637</v>
      </c>
      <c r="AI202" s="453">
        <f>MateriaisCampo[[#This Row],[UNIT VENDA]]*MateriaisCampo[[#This Row],[QUANTIDADE]]</f>
        <v>7321.8667188311274</v>
      </c>
      <c r="AJ202" s="453">
        <f>IFERROR(MateriaisCampo[[#This Row],[VENDA]]*(RESUMO!$F$55/RESUMO!$F$45),0)</f>
        <v>9297.6085318490495</v>
      </c>
      <c r="AK202" s="453">
        <f>IFERROR(MateriaisCampo[[#This Row],[VENDA]]*(RESUMO!$F$58/RESUMO!$F$45),0)</f>
        <v>9297.6085318490495</v>
      </c>
      <c r="AL202" s="454">
        <f>IF(MateriaisCampo[[#This Row],[FATURAMENTO]]="NORMAL",MateriaisCampo[[#This Row],[VENDA]],0)</f>
        <v>7321.8667188311274</v>
      </c>
    </row>
    <row r="203" spans="1:38" x14ac:dyDescent="0.25">
      <c r="A203" s="113"/>
      <c r="B203" s="113"/>
      <c r="C203" s="113"/>
      <c r="D203" s="113"/>
      <c r="E203" s="434"/>
      <c r="F203" s="434">
        <f t="shared" si="0"/>
        <v>0</v>
      </c>
      <c r="G203" s="113"/>
      <c r="H203" s="435"/>
      <c r="I203" s="436"/>
      <c r="J203" s="437"/>
      <c r="K203" s="438"/>
      <c r="L203" s="438"/>
      <c r="M203" s="458"/>
      <c r="N203" s="445">
        <f>MateriaisCampo[[#This Row],[UNIT S/IPI S/DESC]]-MateriaisCampo[[#This Row],[UNIT S/IPI S/DESC]]*MateriaisCampo[[#This Row],[% DESC]]</f>
        <v>0</v>
      </c>
      <c r="O203" s="441" t="s">
        <v>295</v>
      </c>
      <c r="P203" s="442" t="s">
        <v>155</v>
      </c>
      <c r="Q203" s="438">
        <v>1.6500000000000001E-2</v>
      </c>
      <c r="R203" s="438">
        <v>7.5999999999999998E-2</v>
      </c>
      <c r="S203" s="443">
        <f>MateriaisCampo[[#This Row],[UNIT S/ IP + DIF ICMS]]*MateriaisCampo[[#This Row],[QUANTIDADE]]</f>
        <v>0</v>
      </c>
      <c r="T203" s="444">
        <f>MateriaisCampo[[#This Row],[TOTAL S/ IPI]]+(MateriaisCampo[[#This Row],[TOTAL S/ IPI]]*MateriaisCampo[[#This Row],[IPI %]])</f>
        <v>0</v>
      </c>
      <c r="U203" s="445">
        <f>IF(AND(MateriaisCampo[[#This Row],[ICMS %]]&lt;&gt;18%,MateriaisCampo[[#This Row],[ORIGEM]]&lt;&gt;"SÃO PAULO"),((18%-MateriaisCampo[[#This Row],[ICMS %]])*MateriaisCampo[[#This Row],[UNIT S/ IPI C/DESC]]),0)</f>
        <v>0</v>
      </c>
      <c r="V203" s="437">
        <f>MateriaisCampo[[#This Row],[UNIT S/ IPI C/DESC]]*MateriaisCampo[[#This Row],[ICMS %]]</f>
        <v>0</v>
      </c>
      <c r="W203" s="437">
        <f>MateriaisCampo[[#This Row],[ICMS $]]*MateriaisCampo[[#This Row],[QUANTIDADE]]</f>
        <v>0</v>
      </c>
      <c r="X203" s="446">
        <f>MateriaisCampo[[#This Row],[UNIT S/ IPI C/DESC]]+MateriaisCampo[[#This Row],[DIFERENCIAL ICMS]]</f>
        <v>0</v>
      </c>
      <c r="Y203" s="446">
        <f>(MateriaisCampo[[#This Row],[PIS]]*MateriaisCampo[[#This Row],[UNIT S/ IPI C/DESC]])/2</f>
        <v>0</v>
      </c>
      <c r="Z203" s="446">
        <f>(MateriaisCampo[[#This Row],[COFINS]]*MateriaisCampo[[#This Row],[UNIT S/ IPI C/DESC]])/2</f>
        <v>0</v>
      </c>
      <c r="AA203" s="445">
        <f>MateriaisCampo[[#This Row],[UNIT S/ IP + DIF ICMS]]+(MateriaisCampo[[#This Row],[UNIT S/ IP + DIF ICMS]]*MateriaisCampo[[#This Row],[IPI %]])</f>
        <v>0</v>
      </c>
      <c r="AB203" s="448">
        <f>_xlfn.XLOOKUP(MateriaisCampo[[#This Row],[FATURAMENTO]],BASE!$U$48:$U$50,BASE!$W$48:$W$50,0,0,1)</f>
        <v>0.79709863947533133</v>
      </c>
      <c r="AC203" s="510" t="str">
        <f>RESUMO!$E$56</f>
        <v>SIM</v>
      </c>
      <c r="AD203" s="449" t="str">
        <f>RESUMO!$E$57</f>
        <v>SIM</v>
      </c>
      <c r="AE20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03" s="450">
        <f>MateriaisCampo[[#This Row],[UNIT CRED]]*MateriaisCampo[[#This Row],[QUANTIDADE]]</f>
        <v>0</v>
      </c>
      <c r="AG203" s="451">
        <f>MateriaisCampo[[#This Row],[TOT CRED]]</f>
        <v>0</v>
      </c>
      <c r="AH203" s="452">
        <f>IF(MateriaisCampo[[#This Row],[QUANTIDADE]]&lt;&gt;0,((MateriaisCampo[[#This Row],[TOT CUSTO]]/MateriaisCampo[[#This Row],[QUANTIDADE]])/MateriaisCampo[[#This Row],[MARK-UP]]),0)</f>
        <v>0</v>
      </c>
      <c r="AI203" s="453">
        <f>MateriaisCampo[[#This Row],[UNIT VENDA]]*MateriaisCampo[[#This Row],[QUANTIDADE]]</f>
        <v>0</v>
      </c>
      <c r="AJ203" s="453">
        <f>IFERROR(MateriaisCampo[[#This Row],[VENDA]]*(RESUMO!$F$55/RESUMO!$F$45),0)</f>
        <v>0</v>
      </c>
      <c r="AK203" s="453">
        <f>IFERROR(MateriaisCampo[[#This Row],[VENDA]]*(RESUMO!$F$58/RESUMO!$F$45),0)</f>
        <v>0</v>
      </c>
      <c r="AL203" s="454">
        <f>IF(MateriaisCampo[[#This Row],[FATURAMENTO]]="NORMAL",MateriaisCampo[[#This Row],[VENDA]],0)</f>
        <v>0</v>
      </c>
    </row>
    <row r="204" spans="1:38" x14ac:dyDescent="0.25">
      <c r="A204" s="113"/>
      <c r="B204" s="113"/>
      <c r="C204" s="113"/>
      <c r="D204" s="113"/>
      <c r="E204" s="434"/>
      <c r="F204" s="434">
        <f t="shared" si="0"/>
        <v>0</v>
      </c>
      <c r="G204" s="113"/>
      <c r="H204" s="435"/>
      <c r="I204" s="436"/>
      <c r="J204" s="437"/>
      <c r="K204" s="438"/>
      <c r="L204" s="438"/>
      <c r="M204" s="458"/>
      <c r="N204" s="445">
        <f>MateriaisCampo[[#This Row],[UNIT S/IPI S/DESC]]-MateriaisCampo[[#This Row],[UNIT S/IPI S/DESC]]*MateriaisCampo[[#This Row],[% DESC]]</f>
        <v>0</v>
      </c>
      <c r="O204" s="441" t="s">
        <v>295</v>
      </c>
      <c r="P204" s="442" t="s">
        <v>155</v>
      </c>
      <c r="Q204" s="438">
        <v>1.6500000000000001E-2</v>
      </c>
      <c r="R204" s="438">
        <v>7.5999999999999998E-2</v>
      </c>
      <c r="S204" s="443">
        <f>MateriaisCampo[[#This Row],[UNIT S/ IP + DIF ICMS]]*MateriaisCampo[[#This Row],[QUANTIDADE]]</f>
        <v>0</v>
      </c>
      <c r="T204" s="444">
        <f>MateriaisCampo[[#This Row],[TOTAL S/ IPI]]+(MateriaisCampo[[#This Row],[TOTAL S/ IPI]]*MateriaisCampo[[#This Row],[IPI %]])</f>
        <v>0</v>
      </c>
      <c r="U204" s="445">
        <f>IF(AND(MateriaisCampo[[#This Row],[ICMS %]]&lt;&gt;18%,MateriaisCampo[[#This Row],[ORIGEM]]&lt;&gt;"SÃO PAULO"),((18%-MateriaisCampo[[#This Row],[ICMS %]])*MateriaisCampo[[#This Row],[UNIT S/ IPI C/DESC]]),0)</f>
        <v>0</v>
      </c>
      <c r="V204" s="437">
        <f>MateriaisCampo[[#This Row],[UNIT S/ IPI C/DESC]]*MateriaisCampo[[#This Row],[ICMS %]]</f>
        <v>0</v>
      </c>
      <c r="W204" s="437">
        <f>MateriaisCampo[[#This Row],[ICMS $]]*MateriaisCampo[[#This Row],[QUANTIDADE]]</f>
        <v>0</v>
      </c>
      <c r="X204" s="446">
        <f>MateriaisCampo[[#This Row],[UNIT S/ IPI C/DESC]]+MateriaisCampo[[#This Row],[DIFERENCIAL ICMS]]</f>
        <v>0</v>
      </c>
      <c r="Y204" s="446">
        <f>(MateriaisCampo[[#This Row],[PIS]]*MateriaisCampo[[#This Row],[UNIT S/ IPI C/DESC]])/2</f>
        <v>0</v>
      </c>
      <c r="Z204" s="446">
        <f>(MateriaisCampo[[#This Row],[COFINS]]*MateriaisCampo[[#This Row],[UNIT S/ IPI C/DESC]])/2</f>
        <v>0</v>
      </c>
      <c r="AA204" s="445">
        <f>MateriaisCampo[[#This Row],[UNIT S/ IP + DIF ICMS]]+(MateriaisCampo[[#This Row],[UNIT S/ IP + DIF ICMS]]*MateriaisCampo[[#This Row],[IPI %]])</f>
        <v>0</v>
      </c>
      <c r="AB204" s="448">
        <f>_xlfn.XLOOKUP(MateriaisCampo[[#This Row],[FATURAMENTO]],BASE!$U$48:$U$50,BASE!$W$48:$W$50,0,0,1)</f>
        <v>0.79709863947533133</v>
      </c>
      <c r="AC204" s="510" t="str">
        <f>RESUMO!$E$56</f>
        <v>SIM</v>
      </c>
      <c r="AD204" s="449" t="str">
        <f>RESUMO!$E$57</f>
        <v>SIM</v>
      </c>
      <c r="AE20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04" s="450">
        <f>MateriaisCampo[[#This Row],[UNIT CRED]]*MateriaisCampo[[#This Row],[QUANTIDADE]]</f>
        <v>0</v>
      </c>
      <c r="AG204" s="451">
        <f>MateriaisCampo[[#This Row],[TOT CRED]]</f>
        <v>0</v>
      </c>
      <c r="AH204" s="452">
        <f>IF(MateriaisCampo[[#This Row],[QUANTIDADE]]&lt;&gt;0,((MateriaisCampo[[#This Row],[TOT CUSTO]]/MateriaisCampo[[#This Row],[QUANTIDADE]])/MateriaisCampo[[#This Row],[MARK-UP]]),0)</f>
        <v>0</v>
      </c>
      <c r="AI204" s="453">
        <f>MateriaisCampo[[#This Row],[UNIT VENDA]]*MateriaisCampo[[#This Row],[QUANTIDADE]]</f>
        <v>0</v>
      </c>
      <c r="AJ204" s="453">
        <f>IFERROR(MateriaisCampo[[#This Row],[VENDA]]*(RESUMO!$F$55/RESUMO!$F$45),0)</f>
        <v>0</v>
      </c>
      <c r="AK204" s="453">
        <f>IFERROR(MateriaisCampo[[#This Row],[VENDA]]*(RESUMO!$F$58/RESUMO!$F$45),0)</f>
        <v>0</v>
      </c>
      <c r="AL204" s="454">
        <f>IF(MateriaisCampo[[#This Row],[FATURAMENTO]]="NORMAL",MateriaisCampo[[#This Row],[VENDA]],0)</f>
        <v>0</v>
      </c>
    </row>
    <row r="205" spans="1:38" x14ac:dyDescent="0.25">
      <c r="A205" s="484" t="s">
        <v>779</v>
      </c>
      <c r="B205" s="484" t="s">
        <v>779</v>
      </c>
      <c r="C205" s="484" t="s">
        <v>780</v>
      </c>
      <c r="D205" s="484"/>
      <c r="E205" s="485"/>
      <c r="F205" s="485">
        <v>0</v>
      </c>
      <c r="G205" s="484"/>
      <c r="H205" s="486"/>
      <c r="I205" s="487"/>
      <c r="J205" s="488"/>
      <c r="K205" s="438"/>
      <c r="L205" s="438"/>
      <c r="M205" s="458"/>
      <c r="N205" s="445">
        <f>MateriaisCampo[[#This Row],[UNIT S/IPI S/DESC]]-MateriaisCampo[[#This Row],[UNIT S/IPI S/DESC]]*MateriaisCampo[[#This Row],[% DESC]]</f>
        <v>0</v>
      </c>
      <c r="O205" s="441" t="s">
        <v>295</v>
      </c>
      <c r="P205" s="442" t="s">
        <v>155</v>
      </c>
      <c r="Q205" s="438">
        <v>1.6500000000000001E-2</v>
      </c>
      <c r="R205" s="438">
        <v>7.5999999999999998E-2</v>
      </c>
      <c r="S205" s="443">
        <f>MateriaisCampo[[#This Row],[UNIT S/ IP + DIF ICMS]]*MateriaisCampo[[#This Row],[QUANTIDADE]]</f>
        <v>0</v>
      </c>
      <c r="T205" s="444">
        <f>MateriaisCampo[[#This Row],[TOTAL S/ IPI]]+(MateriaisCampo[[#This Row],[TOTAL S/ IPI]]*MateriaisCampo[[#This Row],[IPI %]])</f>
        <v>0</v>
      </c>
      <c r="U205" s="445">
        <f>IF(AND(MateriaisCampo[[#This Row],[ICMS %]]&lt;&gt;18%,MateriaisCampo[[#This Row],[ORIGEM]]&lt;&gt;"SÃO PAULO"),((18%-MateriaisCampo[[#This Row],[ICMS %]])*MateriaisCampo[[#This Row],[UNIT S/ IPI C/DESC]]),0)</f>
        <v>0</v>
      </c>
      <c r="V205" s="437">
        <f>MateriaisCampo[[#This Row],[UNIT S/ IPI C/DESC]]*MateriaisCampo[[#This Row],[ICMS %]]</f>
        <v>0</v>
      </c>
      <c r="W205" s="437">
        <f>MateriaisCampo[[#This Row],[ICMS $]]*MateriaisCampo[[#This Row],[QUANTIDADE]]</f>
        <v>0</v>
      </c>
      <c r="X205" s="446">
        <f>MateriaisCampo[[#This Row],[UNIT S/ IPI C/DESC]]+MateriaisCampo[[#This Row],[DIFERENCIAL ICMS]]</f>
        <v>0</v>
      </c>
      <c r="Y205" s="446">
        <f>(MateriaisCampo[[#This Row],[PIS]]*MateriaisCampo[[#This Row],[UNIT S/ IPI C/DESC]])/2</f>
        <v>0</v>
      </c>
      <c r="Z205" s="446">
        <f>(MateriaisCampo[[#This Row],[COFINS]]*MateriaisCampo[[#This Row],[UNIT S/ IPI C/DESC]])/2</f>
        <v>0</v>
      </c>
      <c r="AA205" s="445">
        <f>MateriaisCampo[[#This Row],[UNIT S/ IP + DIF ICMS]]+(MateriaisCampo[[#This Row],[UNIT S/ IP + DIF ICMS]]*MateriaisCampo[[#This Row],[IPI %]])</f>
        <v>0</v>
      </c>
      <c r="AB205" s="448">
        <f>_xlfn.XLOOKUP(MateriaisCampo[[#This Row],[FATURAMENTO]],BASE!$U$48:$U$50,BASE!$W$48:$W$50,0,0,1)</f>
        <v>0.79709863947533133</v>
      </c>
      <c r="AC205" s="510" t="str">
        <f>RESUMO!$E$56</f>
        <v>SIM</v>
      </c>
      <c r="AD205" s="449" t="str">
        <f>RESUMO!$E$57</f>
        <v>SIM</v>
      </c>
      <c r="AE20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05" s="450">
        <f>MateriaisCampo[[#This Row],[UNIT CRED]]*MateriaisCampo[[#This Row],[QUANTIDADE]]</f>
        <v>0</v>
      </c>
      <c r="AG205" s="451">
        <f>MateriaisCampo[[#This Row],[TOT CRED]]</f>
        <v>0</v>
      </c>
      <c r="AH205" s="452">
        <f>IF(MateriaisCampo[[#This Row],[QUANTIDADE]]&lt;&gt;0,((MateriaisCampo[[#This Row],[TOT CUSTO]]/MateriaisCampo[[#This Row],[QUANTIDADE]])/MateriaisCampo[[#This Row],[MARK-UP]]),0)</f>
        <v>0</v>
      </c>
      <c r="AI205" s="453">
        <f>MateriaisCampo[[#This Row],[UNIT VENDA]]*MateriaisCampo[[#This Row],[QUANTIDADE]]</f>
        <v>0</v>
      </c>
      <c r="AJ205" s="453">
        <f>IFERROR(MateriaisCampo[[#This Row],[VENDA]]*(RESUMO!$F$55/RESUMO!$F$45),0)</f>
        <v>0</v>
      </c>
      <c r="AK205" s="453">
        <f>IFERROR(MateriaisCampo[[#This Row],[VENDA]]*(RESUMO!$F$58/RESUMO!$F$45),0)</f>
        <v>0</v>
      </c>
      <c r="AL205" s="454">
        <f>IF(MateriaisCampo[[#This Row],[FATURAMENTO]]="NORMAL",MateriaisCampo[[#This Row],[VENDA]],0)</f>
        <v>0</v>
      </c>
    </row>
    <row r="206" spans="1:38" ht="23" x14ac:dyDescent="0.25">
      <c r="A206" s="113" t="s">
        <v>779</v>
      </c>
      <c r="B206" s="113" t="s">
        <v>779</v>
      </c>
      <c r="C206" s="113" t="s">
        <v>786</v>
      </c>
      <c r="D206" s="113" t="s">
        <v>789</v>
      </c>
      <c r="E206" s="434" t="s">
        <v>793</v>
      </c>
      <c r="F206" s="434">
        <f t="shared" si="0"/>
        <v>0</v>
      </c>
      <c r="G206" s="113"/>
      <c r="H206" s="435" t="s">
        <v>603</v>
      </c>
      <c r="I206" s="436">
        <v>8</v>
      </c>
      <c r="J206" s="437">
        <v>345</v>
      </c>
      <c r="K206" s="438">
        <v>0.18</v>
      </c>
      <c r="L206" s="438">
        <v>9.7500000000000003E-2</v>
      </c>
      <c r="M206" s="458"/>
      <c r="N206" s="445">
        <f>MateriaisCampo[[#This Row],[UNIT S/IPI S/DESC]]-MateriaisCampo[[#This Row],[UNIT S/IPI S/DESC]]*MateriaisCampo[[#This Row],[% DESC]]</f>
        <v>345</v>
      </c>
      <c r="O206" s="441" t="s">
        <v>295</v>
      </c>
      <c r="P206" s="442" t="s">
        <v>155</v>
      </c>
      <c r="Q206" s="438">
        <v>1.6500000000000001E-2</v>
      </c>
      <c r="R206" s="438">
        <v>7.5999999999999998E-2</v>
      </c>
      <c r="S206" s="443">
        <f>MateriaisCampo[[#This Row],[UNIT S/ IP + DIF ICMS]]*MateriaisCampo[[#This Row],[QUANTIDADE]]</f>
        <v>2760</v>
      </c>
      <c r="T206" s="444">
        <f>MateriaisCampo[[#This Row],[TOTAL S/ IPI]]+(MateriaisCampo[[#This Row],[TOTAL S/ IPI]]*MateriaisCampo[[#This Row],[IPI %]])</f>
        <v>3029.1</v>
      </c>
      <c r="U206" s="445">
        <f>IF(AND(MateriaisCampo[[#This Row],[ICMS %]]&lt;&gt;18%,MateriaisCampo[[#This Row],[ORIGEM]]&lt;&gt;"SÃO PAULO"),((18%-MateriaisCampo[[#This Row],[ICMS %]])*MateriaisCampo[[#This Row],[UNIT S/ IPI C/DESC]]),0)</f>
        <v>0</v>
      </c>
      <c r="V206" s="437">
        <f>MateriaisCampo[[#This Row],[UNIT S/ IPI C/DESC]]*MateriaisCampo[[#This Row],[ICMS %]]</f>
        <v>62.099999999999994</v>
      </c>
      <c r="W206" s="437">
        <f>MateriaisCampo[[#This Row],[ICMS $]]*MateriaisCampo[[#This Row],[QUANTIDADE]]</f>
        <v>496.79999999999995</v>
      </c>
      <c r="X206" s="446">
        <f>MateriaisCampo[[#This Row],[UNIT S/ IPI C/DESC]]+MateriaisCampo[[#This Row],[DIFERENCIAL ICMS]]</f>
        <v>345</v>
      </c>
      <c r="Y206" s="446">
        <f>(MateriaisCampo[[#This Row],[PIS]]*MateriaisCampo[[#This Row],[UNIT S/ IPI C/DESC]])/2</f>
        <v>2.8462499999999999</v>
      </c>
      <c r="Z206" s="446">
        <f>(MateriaisCampo[[#This Row],[COFINS]]*MateriaisCampo[[#This Row],[UNIT S/ IPI C/DESC]])/2</f>
        <v>13.11</v>
      </c>
      <c r="AA206" s="445">
        <f>MateriaisCampo[[#This Row],[UNIT S/ IP + DIF ICMS]]+(MateriaisCampo[[#This Row],[UNIT S/ IP + DIF ICMS]]*MateriaisCampo[[#This Row],[IPI %]])</f>
        <v>378.63749999999999</v>
      </c>
      <c r="AB206" s="448">
        <f>_xlfn.XLOOKUP(MateriaisCampo[[#This Row],[FATURAMENTO]],BASE!$U$48:$U$50,BASE!$W$48:$W$50,0,0,1)</f>
        <v>0.79709863947533133</v>
      </c>
      <c r="AC206" s="510" t="str">
        <f>RESUMO!$E$56</f>
        <v>SIM</v>
      </c>
      <c r="AD206" s="449" t="str">
        <f>RESUMO!$E$57</f>
        <v>SIM</v>
      </c>
      <c r="AE20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266.94375000000002</v>
      </c>
      <c r="AF206" s="450">
        <f>MateriaisCampo[[#This Row],[UNIT CRED]]*MateriaisCampo[[#This Row],[QUANTIDADE]]</f>
        <v>2135.5500000000002</v>
      </c>
      <c r="AG206" s="451">
        <f>MateriaisCampo[[#This Row],[TOT CRED]]</f>
        <v>2135.5500000000002</v>
      </c>
      <c r="AH206" s="452">
        <f>IF(MateriaisCampo[[#This Row],[QUANTIDADE]]&lt;&gt;0,((MateriaisCampo[[#This Row],[TOT CUSTO]]/MateriaisCampo[[#This Row],[QUANTIDADE]])/MateriaisCampo[[#This Row],[MARK-UP]]),0)</f>
        <v>334.89424869136462</v>
      </c>
      <c r="AI206" s="453">
        <f>MateriaisCampo[[#This Row],[UNIT VENDA]]*MateriaisCampo[[#This Row],[QUANTIDADE]]</f>
        <v>2679.153989530917</v>
      </c>
      <c r="AJ206" s="453">
        <f>IFERROR(MateriaisCampo[[#This Row],[VENDA]]*(RESUMO!$F$55/RESUMO!$F$45),0)</f>
        <v>3402.1003041662434</v>
      </c>
      <c r="AK206" s="453">
        <f>IFERROR(MateriaisCampo[[#This Row],[VENDA]]*(RESUMO!$F$58/RESUMO!$F$45),0)</f>
        <v>3402.1003041662434</v>
      </c>
      <c r="AL206" s="454">
        <f>IF(MateriaisCampo[[#This Row],[FATURAMENTO]]="NORMAL",MateriaisCampo[[#This Row],[VENDA]],0)</f>
        <v>2679.153989530917</v>
      </c>
    </row>
    <row r="207" spans="1:38" ht="23" x14ac:dyDescent="0.25">
      <c r="A207" s="113" t="s">
        <v>779</v>
      </c>
      <c r="B207" s="113" t="s">
        <v>779</v>
      </c>
      <c r="C207" s="113" t="s">
        <v>787</v>
      </c>
      <c r="D207" s="113" t="s">
        <v>789</v>
      </c>
      <c r="E207" s="434" t="s">
        <v>793</v>
      </c>
      <c r="F207" s="434">
        <f t="shared" si="0"/>
        <v>0</v>
      </c>
      <c r="G207" s="113"/>
      <c r="H207" s="435" t="s">
        <v>603</v>
      </c>
      <c r="I207" s="436">
        <v>20</v>
      </c>
      <c r="J207" s="437">
        <v>715</v>
      </c>
      <c r="K207" s="438">
        <v>0.18</v>
      </c>
      <c r="L207" s="438">
        <v>9.7500000000000003E-2</v>
      </c>
      <c r="M207" s="458"/>
      <c r="N207" s="445">
        <f>MateriaisCampo[[#This Row],[UNIT S/IPI S/DESC]]-MateriaisCampo[[#This Row],[UNIT S/IPI S/DESC]]*MateriaisCampo[[#This Row],[% DESC]]</f>
        <v>715</v>
      </c>
      <c r="O207" s="441" t="s">
        <v>295</v>
      </c>
      <c r="P207" s="442" t="s">
        <v>155</v>
      </c>
      <c r="Q207" s="438">
        <v>1.6500000000000001E-2</v>
      </c>
      <c r="R207" s="438">
        <v>7.5999999999999998E-2</v>
      </c>
      <c r="S207" s="443">
        <f>MateriaisCampo[[#This Row],[UNIT S/ IP + DIF ICMS]]*MateriaisCampo[[#This Row],[QUANTIDADE]]</f>
        <v>14300</v>
      </c>
      <c r="T207" s="444">
        <f>MateriaisCampo[[#This Row],[TOTAL S/ IPI]]+(MateriaisCampo[[#This Row],[TOTAL S/ IPI]]*MateriaisCampo[[#This Row],[IPI %]])</f>
        <v>15694.25</v>
      </c>
      <c r="U207" s="445">
        <f>IF(AND(MateriaisCampo[[#This Row],[ICMS %]]&lt;&gt;18%,MateriaisCampo[[#This Row],[ORIGEM]]&lt;&gt;"SÃO PAULO"),((18%-MateriaisCampo[[#This Row],[ICMS %]])*MateriaisCampo[[#This Row],[UNIT S/ IPI C/DESC]]),0)</f>
        <v>0</v>
      </c>
      <c r="V207" s="437">
        <f>MateriaisCampo[[#This Row],[UNIT S/ IPI C/DESC]]*MateriaisCampo[[#This Row],[ICMS %]]</f>
        <v>128.69999999999999</v>
      </c>
      <c r="W207" s="437">
        <f>MateriaisCampo[[#This Row],[ICMS $]]*MateriaisCampo[[#This Row],[QUANTIDADE]]</f>
        <v>2574</v>
      </c>
      <c r="X207" s="446">
        <f>MateriaisCampo[[#This Row],[UNIT S/ IPI C/DESC]]+MateriaisCampo[[#This Row],[DIFERENCIAL ICMS]]</f>
        <v>715</v>
      </c>
      <c r="Y207" s="446">
        <f>(MateriaisCampo[[#This Row],[PIS]]*MateriaisCampo[[#This Row],[UNIT S/ IPI C/DESC]])/2</f>
        <v>5.8987500000000006</v>
      </c>
      <c r="Z207" s="446">
        <f>(MateriaisCampo[[#This Row],[COFINS]]*MateriaisCampo[[#This Row],[UNIT S/ IPI C/DESC]])/2</f>
        <v>27.169999999999998</v>
      </c>
      <c r="AA207" s="445">
        <f>MateriaisCampo[[#This Row],[UNIT S/ IP + DIF ICMS]]+(MateriaisCampo[[#This Row],[UNIT S/ IP + DIF ICMS]]*MateriaisCampo[[#This Row],[IPI %]])</f>
        <v>784.71249999999998</v>
      </c>
      <c r="AB207" s="448">
        <f>_xlfn.XLOOKUP(MateriaisCampo[[#This Row],[FATURAMENTO]],BASE!$U$48:$U$50,BASE!$W$48:$W$50,0,0,1)</f>
        <v>0.79709863947533133</v>
      </c>
      <c r="AC207" s="510" t="str">
        <f>RESUMO!$E$56</f>
        <v>SIM</v>
      </c>
      <c r="AD207" s="449" t="str">
        <f>RESUMO!$E$57</f>
        <v>SIM</v>
      </c>
      <c r="AE20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553.23125000000016</v>
      </c>
      <c r="AF207" s="450">
        <f>MateriaisCampo[[#This Row],[UNIT CRED]]*MateriaisCampo[[#This Row],[QUANTIDADE]]</f>
        <v>11064.625000000004</v>
      </c>
      <c r="AG207" s="451">
        <f>MateriaisCampo[[#This Row],[TOT CRED]]</f>
        <v>11064.625000000004</v>
      </c>
      <c r="AH207" s="452">
        <f>IF(MateriaisCampo[[#This Row],[QUANTIDADE]]&lt;&gt;0,((MateriaisCampo[[#This Row],[TOT CUSTO]]/MateriaisCampo[[#This Row],[QUANTIDADE]])/MateriaisCampo[[#This Row],[MARK-UP]]),0)</f>
        <v>694.05619656326314</v>
      </c>
      <c r="AI207" s="453">
        <f>MateriaisCampo[[#This Row],[UNIT VENDA]]*MateriaisCampo[[#This Row],[QUANTIDADE]]</f>
        <v>13881.123931265263</v>
      </c>
      <c r="AJ207" s="453">
        <f>IFERROR(MateriaisCampo[[#This Row],[VENDA]]*(RESUMO!$F$55/RESUMO!$F$45),0)</f>
        <v>17626.824039701922</v>
      </c>
      <c r="AK207" s="453">
        <f>IFERROR(MateriaisCampo[[#This Row],[VENDA]]*(RESUMO!$F$58/RESUMO!$F$45),0)</f>
        <v>17626.824039701922</v>
      </c>
      <c r="AL207" s="454">
        <f>IF(MateriaisCampo[[#This Row],[FATURAMENTO]]="NORMAL",MateriaisCampo[[#This Row],[VENDA]],0)</f>
        <v>13881.123931265263</v>
      </c>
    </row>
    <row r="208" spans="1:38" ht="23" x14ac:dyDescent="0.25">
      <c r="A208" s="113" t="s">
        <v>779</v>
      </c>
      <c r="B208" s="113" t="s">
        <v>779</v>
      </c>
      <c r="C208" s="113" t="s">
        <v>788</v>
      </c>
      <c r="D208" s="113" t="s">
        <v>789</v>
      </c>
      <c r="E208" s="434" t="s">
        <v>793</v>
      </c>
      <c r="F208" s="434">
        <f t="shared" si="0"/>
        <v>0</v>
      </c>
      <c r="G208" s="113"/>
      <c r="H208" s="435" t="s">
        <v>603</v>
      </c>
      <c r="I208" s="436">
        <v>10</v>
      </c>
      <c r="J208" s="437">
        <v>1200</v>
      </c>
      <c r="K208" s="438">
        <v>0.18</v>
      </c>
      <c r="L208" s="438">
        <v>9.7500000000000003E-2</v>
      </c>
      <c r="M208" s="458"/>
      <c r="N208" s="445">
        <f>MateriaisCampo[[#This Row],[UNIT S/IPI S/DESC]]-MateriaisCampo[[#This Row],[UNIT S/IPI S/DESC]]*MateriaisCampo[[#This Row],[% DESC]]</f>
        <v>1200</v>
      </c>
      <c r="O208" s="441" t="s">
        <v>295</v>
      </c>
      <c r="P208" s="442" t="s">
        <v>155</v>
      </c>
      <c r="Q208" s="438">
        <v>1.6500000000000001E-2</v>
      </c>
      <c r="R208" s="438">
        <v>7.5999999999999998E-2</v>
      </c>
      <c r="S208" s="443">
        <f>MateriaisCampo[[#This Row],[UNIT S/ IP + DIF ICMS]]*MateriaisCampo[[#This Row],[QUANTIDADE]]</f>
        <v>12000</v>
      </c>
      <c r="T208" s="444">
        <f>MateriaisCampo[[#This Row],[TOTAL S/ IPI]]+(MateriaisCampo[[#This Row],[TOTAL S/ IPI]]*MateriaisCampo[[#This Row],[IPI %]])</f>
        <v>13170</v>
      </c>
      <c r="U208" s="445">
        <f>IF(AND(MateriaisCampo[[#This Row],[ICMS %]]&lt;&gt;18%,MateriaisCampo[[#This Row],[ORIGEM]]&lt;&gt;"SÃO PAULO"),((18%-MateriaisCampo[[#This Row],[ICMS %]])*MateriaisCampo[[#This Row],[UNIT S/ IPI C/DESC]]),0)</f>
        <v>0</v>
      </c>
      <c r="V208" s="437">
        <f>MateriaisCampo[[#This Row],[UNIT S/ IPI C/DESC]]*MateriaisCampo[[#This Row],[ICMS %]]</f>
        <v>216</v>
      </c>
      <c r="W208" s="437">
        <f>MateriaisCampo[[#This Row],[ICMS $]]*MateriaisCampo[[#This Row],[QUANTIDADE]]</f>
        <v>2160</v>
      </c>
      <c r="X208" s="446">
        <f>MateriaisCampo[[#This Row],[UNIT S/ IPI C/DESC]]+MateriaisCampo[[#This Row],[DIFERENCIAL ICMS]]</f>
        <v>1200</v>
      </c>
      <c r="Y208" s="446">
        <f>(MateriaisCampo[[#This Row],[PIS]]*MateriaisCampo[[#This Row],[UNIT S/ IPI C/DESC]])/2</f>
        <v>9.9</v>
      </c>
      <c r="Z208" s="446">
        <f>(MateriaisCampo[[#This Row],[COFINS]]*MateriaisCampo[[#This Row],[UNIT S/ IPI C/DESC]])/2</f>
        <v>45.6</v>
      </c>
      <c r="AA208" s="445">
        <f>MateriaisCampo[[#This Row],[UNIT S/ IP + DIF ICMS]]+(MateriaisCampo[[#This Row],[UNIT S/ IP + DIF ICMS]]*MateriaisCampo[[#This Row],[IPI %]])</f>
        <v>1317</v>
      </c>
      <c r="AB208" s="448">
        <f>_xlfn.XLOOKUP(MateriaisCampo[[#This Row],[FATURAMENTO]],BASE!$U$48:$U$50,BASE!$W$48:$W$50,0,0,1)</f>
        <v>0.79709863947533133</v>
      </c>
      <c r="AC208" s="510" t="str">
        <f>RESUMO!$E$56</f>
        <v>SIM</v>
      </c>
      <c r="AD208" s="449" t="str">
        <f>RESUMO!$E$57</f>
        <v>SIM</v>
      </c>
      <c r="AE20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928.5</v>
      </c>
      <c r="AF208" s="450">
        <f>MateriaisCampo[[#This Row],[UNIT CRED]]*MateriaisCampo[[#This Row],[QUANTIDADE]]</f>
        <v>9285</v>
      </c>
      <c r="AG208" s="451">
        <f>MateriaisCampo[[#This Row],[TOT CRED]]</f>
        <v>9285</v>
      </c>
      <c r="AH208" s="452">
        <f>IF(MateriaisCampo[[#This Row],[QUANTIDADE]]&lt;&gt;0,((MateriaisCampo[[#This Row],[TOT CUSTO]]/MateriaisCampo[[#This Row],[QUANTIDADE]])/MateriaisCampo[[#This Row],[MARK-UP]]),0)</f>
        <v>1164.8495606656161</v>
      </c>
      <c r="AI208" s="453">
        <f>MateriaisCampo[[#This Row],[UNIT VENDA]]*MateriaisCampo[[#This Row],[QUANTIDADE]]</f>
        <v>11648.495606656161</v>
      </c>
      <c r="AJ208" s="453">
        <f>IFERROR(MateriaisCampo[[#This Row],[VENDA]]*(RESUMO!$F$55/RESUMO!$F$45),0)</f>
        <v>14791.740452896711</v>
      </c>
      <c r="AK208" s="453">
        <f>IFERROR(MateriaisCampo[[#This Row],[VENDA]]*(RESUMO!$F$58/RESUMO!$F$45),0)</f>
        <v>14791.740452896711</v>
      </c>
      <c r="AL208" s="454">
        <f>IF(MateriaisCampo[[#This Row],[FATURAMENTO]]="NORMAL",MateriaisCampo[[#This Row],[VENDA]],0)</f>
        <v>11648.495606656161</v>
      </c>
    </row>
    <row r="209" spans="1:38" ht="23" x14ac:dyDescent="0.25">
      <c r="A209" s="113" t="s">
        <v>779</v>
      </c>
      <c r="B209" s="113" t="s">
        <v>779</v>
      </c>
      <c r="C209" s="113" t="s">
        <v>791</v>
      </c>
      <c r="D209" s="113" t="s">
        <v>792</v>
      </c>
      <c r="E209" s="434" t="s">
        <v>794</v>
      </c>
      <c r="F209" s="434">
        <f t="shared" si="0"/>
        <v>0</v>
      </c>
      <c r="G209" s="113"/>
      <c r="H209" s="435" t="s">
        <v>603</v>
      </c>
      <c r="I209" s="436">
        <v>10</v>
      </c>
      <c r="J209" s="437">
        <v>1250</v>
      </c>
      <c r="K209" s="438">
        <v>0.18</v>
      </c>
      <c r="L209" s="438">
        <v>9.7500000000000003E-2</v>
      </c>
      <c r="M209" s="458"/>
      <c r="N209" s="445">
        <f>MateriaisCampo[[#This Row],[UNIT S/IPI S/DESC]]-MateriaisCampo[[#This Row],[UNIT S/IPI S/DESC]]*MateriaisCampo[[#This Row],[% DESC]]</f>
        <v>1250</v>
      </c>
      <c r="O209" s="441" t="s">
        <v>295</v>
      </c>
      <c r="P209" s="442" t="s">
        <v>155</v>
      </c>
      <c r="Q209" s="438">
        <v>1.6500000000000001E-2</v>
      </c>
      <c r="R209" s="438">
        <v>7.5999999999999998E-2</v>
      </c>
      <c r="S209" s="443">
        <f>MateriaisCampo[[#This Row],[UNIT S/ IP + DIF ICMS]]*MateriaisCampo[[#This Row],[QUANTIDADE]]</f>
        <v>12500</v>
      </c>
      <c r="T209" s="444">
        <f>MateriaisCampo[[#This Row],[TOTAL S/ IPI]]+(MateriaisCampo[[#This Row],[TOTAL S/ IPI]]*MateriaisCampo[[#This Row],[IPI %]])</f>
        <v>13718.75</v>
      </c>
      <c r="U209" s="445">
        <f>IF(AND(MateriaisCampo[[#This Row],[ICMS %]]&lt;&gt;18%,MateriaisCampo[[#This Row],[ORIGEM]]&lt;&gt;"SÃO PAULO"),((18%-MateriaisCampo[[#This Row],[ICMS %]])*MateriaisCampo[[#This Row],[UNIT S/ IPI C/DESC]]),0)</f>
        <v>0</v>
      </c>
      <c r="V209" s="437">
        <f>MateriaisCampo[[#This Row],[UNIT S/ IPI C/DESC]]*MateriaisCampo[[#This Row],[ICMS %]]</f>
        <v>225</v>
      </c>
      <c r="W209" s="437">
        <f>MateriaisCampo[[#This Row],[ICMS $]]*MateriaisCampo[[#This Row],[QUANTIDADE]]</f>
        <v>2250</v>
      </c>
      <c r="X209" s="446">
        <f>MateriaisCampo[[#This Row],[UNIT S/ IPI C/DESC]]+MateriaisCampo[[#This Row],[DIFERENCIAL ICMS]]</f>
        <v>1250</v>
      </c>
      <c r="Y209" s="446">
        <f>(MateriaisCampo[[#This Row],[PIS]]*MateriaisCampo[[#This Row],[UNIT S/ IPI C/DESC]])/2</f>
        <v>10.3125</v>
      </c>
      <c r="Z209" s="446">
        <f>(MateriaisCampo[[#This Row],[COFINS]]*MateriaisCampo[[#This Row],[UNIT S/ IPI C/DESC]])/2</f>
        <v>47.5</v>
      </c>
      <c r="AA209" s="445">
        <f>MateriaisCampo[[#This Row],[UNIT S/ IP + DIF ICMS]]+(MateriaisCampo[[#This Row],[UNIT S/ IP + DIF ICMS]]*MateriaisCampo[[#This Row],[IPI %]])</f>
        <v>1371.875</v>
      </c>
      <c r="AB209" s="448">
        <f>_xlfn.XLOOKUP(MateriaisCampo[[#This Row],[FATURAMENTO]],BASE!$U$48:$U$50,BASE!$W$48:$W$50,0,0,1)</f>
        <v>0.79709863947533133</v>
      </c>
      <c r="AC209" s="510" t="str">
        <f>RESUMO!$E$56</f>
        <v>SIM</v>
      </c>
      <c r="AD209" s="449" t="str">
        <f>RESUMO!$E$57</f>
        <v>SIM</v>
      </c>
      <c r="AE20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967.1875</v>
      </c>
      <c r="AF209" s="450">
        <f>MateriaisCampo[[#This Row],[UNIT CRED]]*MateriaisCampo[[#This Row],[QUANTIDADE]]</f>
        <v>9671.875</v>
      </c>
      <c r="AG209" s="451">
        <f>MateriaisCampo[[#This Row],[TOT CRED]]</f>
        <v>9671.875</v>
      </c>
      <c r="AH209" s="452">
        <f>IF(MateriaisCampo[[#This Row],[QUANTIDADE]]&lt;&gt;0,((MateriaisCampo[[#This Row],[TOT CUSTO]]/MateriaisCampo[[#This Row],[QUANTIDADE]])/MateriaisCampo[[#This Row],[MARK-UP]]),0)</f>
        <v>1213.3849590266834</v>
      </c>
      <c r="AI209" s="453">
        <f>MateriaisCampo[[#This Row],[UNIT VENDA]]*MateriaisCampo[[#This Row],[QUANTIDADE]]</f>
        <v>12133.849590266835</v>
      </c>
      <c r="AJ209" s="453">
        <f>IFERROR(MateriaisCampo[[#This Row],[VENDA]]*(RESUMO!$F$55/RESUMO!$F$45),0)</f>
        <v>15408.062971767407</v>
      </c>
      <c r="AK209" s="453">
        <f>IFERROR(MateriaisCampo[[#This Row],[VENDA]]*(RESUMO!$F$58/RESUMO!$F$45),0)</f>
        <v>15408.062971767407</v>
      </c>
      <c r="AL209" s="454">
        <f>IF(MateriaisCampo[[#This Row],[FATURAMENTO]]="NORMAL",MateriaisCampo[[#This Row],[VENDA]],0)</f>
        <v>12133.849590266835</v>
      </c>
    </row>
    <row r="210" spans="1:38" x14ac:dyDescent="0.25">
      <c r="A210" s="113" t="s">
        <v>779</v>
      </c>
      <c r="B210" s="113" t="s">
        <v>779</v>
      </c>
      <c r="C210" s="113" t="s">
        <v>795</v>
      </c>
      <c r="D210" s="113" t="s">
        <v>778</v>
      </c>
      <c r="E210" s="434" t="s">
        <v>649</v>
      </c>
      <c r="F210" s="434">
        <f t="shared" si="0"/>
        <v>0</v>
      </c>
      <c r="G210" s="113"/>
      <c r="H210" s="435" t="s">
        <v>757</v>
      </c>
      <c r="I210" s="436">
        <v>1</v>
      </c>
      <c r="J210" s="437">
        <v>2500</v>
      </c>
      <c r="K210" s="438">
        <v>0.12</v>
      </c>
      <c r="L210" s="438"/>
      <c r="M210" s="458"/>
      <c r="N210" s="445">
        <f>MateriaisCampo[[#This Row],[UNIT S/IPI S/DESC]]-MateriaisCampo[[#This Row],[UNIT S/IPI S/DESC]]*MateriaisCampo[[#This Row],[% DESC]]</f>
        <v>2500</v>
      </c>
      <c r="O210" s="441" t="s">
        <v>295</v>
      </c>
      <c r="P210" s="442" t="s">
        <v>155</v>
      </c>
      <c r="Q210" s="438">
        <v>1.6500000000000001E-2</v>
      </c>
      <c r="R210" s="438">
        <v>7.5999999999999998E-2</v>
      </c>
      <c r="S210" s="443">
        <f>MateriaisCampo[[#This Row],[UNIT S/ IP + DIF ICMS]]*MateriaisCampo[[#This Row],[QUANTIDADE]]</f>
        <v>2500</v>
      </c>
      <c r="T210" s="444">
        <f>MateriaisCampo[[#This Row],[TOTAL S/ IPI]]+(MateriaisCampo[[#This Row],[TOTAL S/ IPI]]*MateriaisCampo[[#This Row],[IPI %]])</f>
        <v>2500</v>
      </c>
      <c r="U210" s="445">
        <f>IF(AND(MateriaisCampo[[#This Row],[ICMS %]]&lt;&gt;18%,MateriaisCampo[[#This Row],[ORIGEM]]&lt;&gt;"SÃO PAULO"),((18%-MateriaisCampo[[#This Row],[ICMS %]])*MateriaisCampo[[#This Row],[UNIT S/ IPI C/DESC]]),0)</f>
        <v>0</v>
      </c>
      <c r="V210" s="437">
        <f>MateriaisCampo[[#This Row],[UNIT S/ IPI C/DESC]]*MateriaisCampo[[#This Row],[ICMS %]]</f>
        <v>300</v>
      </c>
      <c r="W210" s="437">
        <f>MateriaisCampo[[#This Row],[ICMS $]]*MateriaisCampo[[#This Row],[QUANTIDADE]]</f>
        <v>300</v>
      </c>
      <c r="X210" s="446">
        <f>MateriaisCampo[[#This Row],[UNIT S/ IPI C/DESC]]+MateriaisCampo[[#This Row],[DIFERENCIAL ICMS]]</f>
        <v>2500</v>
      </c>
      <c r="Y210" s="446">
        <f>(MateriaisCampo[[#This Row],[PIS]]*MateriaisCampo[[#This Row],[UNIT S/ IPI C/DESC]])/2</f>
        <v>20.625</v>
      </c>
      <c r="Z210" s="446">
        <f>(MateriaisCampo[[#This Row],[COFINS]]*MateriaisCampo[[#This Row],[UNIT S/ IPI C/DESC]])/2</f>
        <v>95</v>
      </c>
      <c r="AA210" s="445">
        <f>MateriaisCampo[[#This Row],[UNIT S/ IP + DIF ICMS]]+(MateriaisCampo[[#This Row],[UNIT S/ IP + DIF ICMS]]*MateriaisCampo[[#This Row],[IPI %]])</f>
        <v>2500</v>
      </c>
      <c r="AB210" s="448">
        <f>_xlfn.XLOOKUP(MateriaisCampo[[#This Row],[FATURAMENTO]],BASE!$U$48:$U$50,BASE!$W$48:$W$50,0,0,1)</f>
        <v>0.79709863947533133</v>
      </c>
      <c r="AC210" s="510" t="str">
        <f>RESUMO!$E$56</f>
        <v>SIM</v>
      </c>
      <c r="AD210" s="449" t="str">
        <f>RESUMO!$E$57</f>
        <v>SIM</v>
      </c>
      <c r="AE21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2084.375</v>
      </c>
      <c r="AF210" s="450">
        <f>MateriaisCampo[[#This Row],[UNIT CRED]]*MateriaisCampo[[#This Row],[QUANTIDADE]]</f>
        <v>2084.375</v>
      </c>
      <c r="AG210" s="451">
        <f>MateriaisCampo[[#This Row],[TOT CRED]]</f>
        <v>2084.375</v>
      </c>
      <c r="AH210" s="452">
        <f>IF(MateriaisCampo[[#This Row],[QUANTIDADE]]&lt;&gt;0,((MateriaisCampo[[#This Row],[TOT CUSTO]]/MateriaisCampo[[#This Row],[QUANTIDADE]])/MateriaisCampo[[#This Row],[MARK-UP]]),0)</f>
        <v>2614.9523995825457</v>
      </c>
      <c r="AI210" s="453">
        <f>MateriaisCampo[[#This Row],[UNIT VENDA]]*MateriaisCampo[[#This Row],[QUANTIDADE]]</f>
        <v>2614.9523995825457</v>
      </c>
      <c r="AJ210" s="453">
        <f>IFERROR(MateriaisCampo[[#This Row],[VENDA]]*(RESUMO!$F$55/RESUMO!$F$45),0)</f>
        <v>3320.5744756603754</v>
      </c>
      <c r="AK210" s="453">
        <f>IFERROR(MateriaisCampo[[#This Row],[VENDA]]*(RESUMO!$F$58/RESUMO!$F$45),0)</f>
        <v>3320.5744756603754</v>
      </c>
      <c r="AL210" s="454">
        <f>IF(MateriaisCampo[[#This Row],[FATURAMENTO]]="NORMAL",MateriaisCampo[[#This Row],[VENDA]],0)</f>
        <v>2614.9523995825457</v>
      </c>
    </row>
    <row r="211" spans="1:38" x14ac:dyDescent="0.25">
      <c r="A211" s="113"/>
      <c r="B211" s="113"/>
      <c r="C211" s="113"/>
      <c r="D211" s="113"/>
      <c r="E211" s="434"/>
      <c r="F211" s="434">
        <f t="shared" si="0"/>
        <v>0</v>
      </c>
      <c r="G211" s="113"/>
      <c r="H211" s="435"/>
      <c r="I211" s="436"/>
      <c r="J211" s="437"/>
      <c r="K211" s="438"/>
      <c r="L211" s="438"/>
      <c r="M211" s="458"/>
      <c r="N211" s="445">
        <f>MateriaisCampo[[#This Row],[UNIT S/IPI S/DESC]]-MateriaisCampo[[#This Row],[UNIT S/IPI S/DESC]]*MateriaisCampo[[#This Row],[% DESC]]</f>
        <v>0</v>
      </c>
      <c r="O211" s="441" t="s">
        <v>295</v>
      </c>
      <c r="P211" s="442" t="s">
        <v>155</v>
      </c>
      <c r="Q211" s="438">
        <v>1.6500000000000001E-2</v>
      </c>
      <c r="R211" s="438">
        <v>7.5999999999999998E-2</v>
      </c>
      <c r="S211" s="443">
        <f>MateriaisCampo[[#This Row],[UNIT S/ IP + DIF ICMS]]*MateriaisCampo[[#This Row],[QUANTIDADE]]</f>
        <v>0</v>
      </c>
      <c r="T211" s="444">
        <f>MateriaisCampo[[#This Row],[TOTAL S/ IPI]]+(MateriaisCampo[[#This Row],[TOTAL S/ IPI]]*MateriaisCampo[[#This Row],[IPI %]])</f>
        <v>0</v>
      </c>
      <c r="U211" s="445">
        <f>IF(AND(MateriaisCampo[[#This Row],[ICMS %]]&lt;&gt;18%,MateriaisCampo[[#This Row],[ORIGEM]]&lt;&gt;"SÃO PAULO"),((18%-MateriaisCampo[[#This Row],[ICMS %]])*MateriaisCampo[[#This Row],[UNIT S/ IPI C/DESC]]),0)</f>
        <v>0</v>
      </c>
      <c r="V211" s="437">
        <f>MateriaisCampo[[#This Row],[UNIT S/ IPI C/DESC]]*MateriaisCampo[[#This Row],[ICMS %]]</f>
        <v>0</v>
      </c>
      <c r="W211" s="437">
        <f>MateriaisCampo[[#This Row],[ICMS $]]*MateriaisCampo[[#This Row],[QUANTIDADE]]</f>
        <v>0</v>
      </c>
      <c r="X211" s="446">
        <f>MateriaisCampo[[#This Row],[UNIT S/ IPI C/DESC]]+MateriaisCampo[[#This Row],[DIFERENCIAL ICMS]]</f>
        <v>0</v>
      </c>
      <c r="Y211" s="446">
        <f>(MateriaisCampo[[#This Row],[PIS]]*MateriaisCampo[[#This Row],[UNIT S/ IPI C/DESC]])/2</f>
        <v>0</v>
      </c>
      <c r="Z211" s="446">
        <f>(MateriaisCampo[[#This Row],[COFINS]]*MateriaisCampo[[#This Row],[UNIT S/ IPI C/DESC]])/2</f>
        <v>0</v>
      </c>
      <c r="AA211" s="445">
        <f>MateriaisCampo[[#This Row],[UNIT S/ IP + DIF ICMS]]+(MateriaisCampo[[#This Row],[UNIT S/ IP + DIF ICMS]]*MateriaisCampo[[#This Row],[IPI %]])</f>
        <v>0</v>
      </c>
      <c r="AB211" s="448">
        <f>_xlfn.XLOOKUP(MateriaisCampo[[#This Row],[FATURAMENTO]],BASE!$U$48:$U$50,BASE!$W$48:$W$50,0,0,1)</f>
        <v>0.79709863947533133</v>
      </c>
      <c r="AC211" s="510" t="str">
        <f>RESUMO!$E$56</f>
        <v>SIM</v>
      </c>
      <c r="AD211" s="449" t="str">
        <f>RESUMO!$E$57</f>
        <v>SIM</v>
      </c>
      <c r="AE21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11" s="450">
        <f>MateriaisCampo[[#This Row],[UNIT CRED]]*MateriaisCampo[[#This Row],[QUANTIDADE]]</f>
        <v>0</v>
      </c>
      <c r="AG211" s="451">
        <f>MateriaisCampo[[#This Row],[TOT CRED]]</f>
        <v>0</v>
      </c>
      <c r="AH211" s="452">
        <f>IF(MateriaisCampo[[#This Row],[QUANTIDADE]]&lt;&gt;0,((MateriaisCampo[[#This Row],[TOT CUSTO]]/MateriaisCampo[[#This Row],[QUANTIDADE]])/MateriaisCampo[[#This Row],[MARK-UP]]),0)</f>
        <v>0</v>
      </c>
      <c r="AI211" s="453">
        <f>MateriaisCampo[[#This Row],[UNIT VENDA]]*MateriaisCampo[[#This Row],[QUANTIDADE]]</f>
        <v>0</v>
      </c>
      <c r="AJ211" s="453">
        <f>IFERROR(MateriaisCampo[[#This Row],[VENDA]]*(RESUMO!$F$55/RESUMO!$F$45),0)</f>
        <v>0</v>
      </c>
      <c r="AK211" s="453">
        <f>IFERROR(MateriaisCampo[[#This Row],[VENDA]]*(RESUMO!$F$58/RESUMO!$F$45),0)</f>
        <v>0</v>
      </c>
      <c r="AL211" s="454">
        <f>IF(MateriaisCampo[[#This Row],[FATURAMENTO]]="NORMAL",MateriaisCampo[[#This Row],[VENDA]],0)</f>
        <v>0</v>
      </c>
    </row>
    <row r="212" spans="1:38" x14ac:dyDescent="0.25">
      <c r="A212" s="484" t="s">
        <v>800</v>
      </c>
      <c r="B212" s="484" t="s">
        <v>800</v>
      </c>
      <c r="C212" s="484" t="s">
        <v>801</v>
      </c>
      <c r="D212" s="484"/>
      <c r="E212" s="485"/>
      <c r="F212" s="485">
        <v>0</v>
      </c>
      <c r="G212" s="484"/>
      <c r="H212" s="486"/>
      <c r="I212" s="487"/>
      <c r="J212" s="488"/>
      <c r="K212" s="438"/>
      <c r="L212" s="438"/>
      <c r="M212" s="458"/>
      <c r="N212" s="445">
        <f>MateriaisCampo[[#This Row],[UNIT S/IPI S/DESC]]-MateriaisCampo[[#This Row],[UNIT S/IPI S/DESC]]*MateriaisCampo[[#This Row],[% DESC]]</f>
        <v>0</v>
      </c>
      <c r="O212" s="441" t="s">
        <v>295</v>
      </c>
      <c r="P212" s="442" t="s">
        <v>155</v>
      </c>
      <c r="Q212" s="438">
        <v>1.6500000000000001E-2</v>
      </c>
      <c r="R212" s="438">
        <v>7.5999999999999998E-2</v>
      </c>
      <c r="S212" s="443">
        <f>MateriaisCampo[[#This Row],[UNIT S/ IP + DIF ICMS]]*MateriaisCampo[[#This Row],[QUANTIDADE]]</f>
        <v>0</v>
      </c>
      <c r="T212" s="444">
        <f>MateriaisCampo[[#This Row],[TOTAL S/ IPI]]+(MateriaisCampo[[#This Row],[TOTAL S/ IPI]]*MateriaisCampo[[#This Row],[IPI %]])</f>
        <v>0</v>
      </c>
      <c r="U212" s="445">
        <f>IF(AND(MateriaisCampo[[#This Row],[ICMS %]]&lt;&gt;18%,MateriaisCampo[[#This Row],[ORIGEM]]&lt;&gt;"SÃO PAULO"),((18%-MateriaisCampo[[#This Row],[ICMS %]])*MateriaisCampo[[#This Row],[UNIT S/ IPI C/DESC]]),0)</f>
        <v>0</v>
      </c>
      <c r="V212" s="437">
        <f>MateriaisCampo[[#This Row],[UNIT S/ IPI C/DESC]]*MateriaisCampo[[#This Row],[ICMS %]]</f>
        <v>0</v>
      </c>
      <c r="W212" s="437">
        <f>MateriaisCampo[[#This Row],[ICMS $]]*MateriaisCampo[[#This Row],[QUANTIDADE]]</f>
        <v>0</v>
      </c>
      <c r="X212" s="446">
        <f>MateriaisCampo[[#This Row],[UNIT S/ IPI C/DESC]]+MateriaisCampo[[#This Row],[DIFERENCIAL ICMS]]</f>
        <v>0</v>
      </c>
      <c r="Y212" s="446">
        <f>(MateriaisCampo[[#This Row],[PIS]]*MateriaisCampo[[#This Row],[UNIT S/ IPI C/DESC]])/2</f>
        <v>0</v>
      </c>
      <c r="Z212" s="446">
        <f>(MateriaisCampo[[#This Row],[COFINS]]*MateriaisCampo[[#This Row],[UNIT S/ IPI C/DESC]])/2</f>
        <v>0</v>
      </c>
      <c r="AA212" s="445">
        <f>MateriaisCampo[[#This Row],[UNIT S/ IP + DIF ICMS]]+(MateriaisCampo[[#This Row],[UNIT S/ IP + DIF ICMS]]*MateriaisCampo[[#This Row],[IPI %]])</f>
        <v>0</v>
      </c>
      <c r="AB212" s="448">
        <f>_xlfn.XLOOKUP(MateriaisCampo[[#This Row],[FATURAMENTO]],BASE!$U$48:$U$50,BASE!$W$48:$W$50,0,0,1)</f>
        <v>0.79709863947533133</v>
      </c>
      <c r="AC212" s="510" t="str">
        <f>RESUMO!$E$56</f>
        <v>SIM</v>
      </c>
      <c r="AD212" s="449" t="str">
        <f>RESUMO!$E$57</f>
        <v>SIM</v>
      </c>
      <c r="AE21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12" s="450">
        <f>MateriaisCampo[[#This Row],[UNIT CRED]]*MateriaisCampo[[#This Row],[QUANTIDADE]]</f>
        <v>0</v>
      </c>
      <c r="AG212" s="451">
        <f>MateriaisCampo[[#This Row],[TOT CRED]]</f>
        <v>0</v>
      </c>
      <c r="AH212" s="452">
        <f>IF(MateriaisCampo[[#This Row],[QUANTIDADE]]&lt;&gt;0,((MateriaisCampo[[#This Row],[TOT CUSTO]]/MateriaisCampo[[#This Row],[QUANTIDADE]])/MateriaisCampo[[#This Row],[MARK-UP]]),0)</f>
        <v>0</v>
      </c>
      <c r="AI212" s="453">
        <f>MateriaisCampo[[#This Row],[UNIT VENDA]]*MateriaisCampo[[#This Row],[QUANTIDADE]]</f>
        <v>0</v>
      </c>
      <c r="AJ212" s="453">
        <f>IFERROR(MateriaisCampo[[#This Row],[VENDA]]*(RESUMO!$F$55/RESUMO!$F$45),0)</f>
        <v>0</v>
      </c>
      <c r="AK212" s="453">
        <f>IFERROR(MateriaisCampo[[#This Row],[VENDA]]*(RESUMO!$F$58/RESUMO!$F$45),0)</f>
        <v>0</v>
      </c>
      <c r="AL212" s="454">
        <f>IF(MateriaisCampo[[#This Row],[FATURAMENTO]]="NORMAL",MateriaisCampo[[#This Row],[VENDA]],0)</f>
        <v>0</v>
      </c>
    </row>
    <row r="213" spans="1:38" x14ac:dyDescent="0.25">
      <c r="A213" s="113" t="s">
        <v>800</v>
      </c>
      <c r="B213" s="113" t="s">
        <v>800</v>
      </c>
      <c r="C213" s="113" t="s">
        <v>802</v>
      </c>
      <c r="D213" s="113" t="s">
        <v>800</v>
      </c>
      <c r="E213" s="434" t="s">
        <v>793</v>
      </c>
      <c r="F213" s="434">
        <f t="shared" si="0"/>
        <v>0</v>
      </c>
      <c r="G213" s="113"/>
      <c r="H213" s="435" t="s">
        <v>551</v>
      </c>
      <c r="I213" s="436">
        <v>600</v>
      </c>
      <c r="J213" s="437">
        <v>4</v>
      </c>
      <c r="K213" s="438">
        <v>0.12</v>
      </c>
      <c r="L213" s="438">
        <v>0</v>
      </c>
      <c r="M213" s="458"/>
      <c r="N213" s="445">
        <f>MateriaisCampo[[#This Row],[UNIT S/IPI S/DESC]]-MateriaisCampo[[#This Row],[UNIT S/IPI S/DESC]]*MateriaisCampo[[#This Row],[% DESC]]</f>
        <v>4</v>
      </c>
      <c r="O213" s="441" t="s">
        <v>295</v>
      </c>
      <c r="P213" s="442" t="s">
        <v>155</v>
      </c>
      <c r="Q213" s="438">
        <v>1.6500000000000001E-2</v>
      </c>
      <c r="R213" s="438">
        <v>7.5999999999999998E-2</v>
      </c>
      <c r="S213" s="443">
        <f>MateriaisCampo[[#This Row],[UNIT S/ IP + DIF ICMS]]*MateriaisCampo[[#This Row],[QUANTIDADE]]</f>
        <v>2400</v>
      </c>
      <c r="T213" s="444">
        <f>MateriaisCampo[[#This Row],[TOTAL S/ IPI]]+(MateriaisCampo[[#This Row],[TOTAL S/ IPI]]*MateriaisCampo[[#This Row],[IPI %]])</f>
        <v>2400</v>
      </c>
      <c r="U213" s="445">
        <f>IF(AND(MateriaisCampo[[#This Row],[ICMS %]]&lt;&gt;18%,MateriaisCampo[[#This Row],[ORIGEM]]&lt;&gt;"SÃO PAULO"),((18%-MateriaisCampo[[#This Row],[ICMS %]])*MateriaisCampo[[#This Row],[UNIT S/ IPI C/DESC]]),0)</f>
        <v>0</v>
      </c>
      <c r="V213" s="437">
        <f>MateriaisCampo[[#This Row],[UNIT S/ IPI C/DESC]]*MateriaisCampo[[#This Row],[ICMS %]]</f>
        <v>0.48</v>
      </c>
      <c r="W213" s="437">
        <f>MateriaisCampo[[#This Row],[ICMS $]]*MateriaisCampo[[#This Row],[QUANTIDADE]]</f>
        <v>288</v>
      </c>
      <c r="X213" s="446">
        <f>MateriaisCampo[[#This Row],[UNIT S/ IPI C/DESC]]+MateriaisCampo[[#This Row],[DIFERENCIAL ICMS]]</f>
        <v>4</v>
      </c>
      <c r="Y213" s="446">
        <f>(MateriaisCampo[[#This Row],[PIS]]*MateriaisCampo[[#This Row],[UNIT S/ IPI C/DESC]])/2</f>
        <v>3.3000000000000002E-2</v>
      </c>
      <c r="Z213" s="446">
        <f>(MateriaisCampo[[#This Row],[COFINS]]*MateriaisCampo[[#This Row],[UNIT S/ IPI C/DESC]])/2</f>
        <v>0.152</v>
      </c>
      <c r="AA213" s="445">
        <f>MateriaisCampo[[#This Row],[UNIT S/ IP + DIF ICMS]]+(MateriaisCampo[[#This Row],[UNIT S/ IP + DIF ICMS]]*MateriaisCampo[[#This Row],[IPI %]])</f>
        <v>4</v>
      </c>
      <c r="AB213" s="448">
        <f>_xlfn.XLOOKUP(MateriaisCampo[[#This Row],[FATURAMENTO]],BASE!$U$48:$U$50,BASE!$W$48:$W$50,0,0,1)</f>
        <v>0.79709863947533133</v>
      </c>
      <c r="AC213" s="510" t="str">
        <f>RESUMO!$E$56</f>
        <v>SIM</v>
      </c>
      <c r="AD213" s="449" t="str">
        <f>RESUMO!$E$57</f>
        <v>SIM</v>
      </c>
      <c r="AE21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3.335</v>
      </c>
      <c r="AF213" s="450">
        <f>MateriaisCampo[[#This Row],[UNIT CRED]]*MateriaisCampo[[#This Row],[QUANTIDADE]]</f>
        <v>2001</v>
      </c>
      <c r="AG213" s="451">
        <f>MateriaisCampo[[#This Row],[TOT CRED]]</f>
        <v>2001</v>
      </c>
      <c r="AH213" s="452">
        <f>IF(MateriaisCampo[[#This Row],[QUANTIDADE]]&lt;&gt;0,((MateriaisCampo[[#This Row],[TOT CUSTO]]/MateriaisCampo[[#This Row],[QUANTIDADE]])/MateriaisCampo[[#This Row],[MARK-UP]]),0)</f>
        <v>4.1839238393320732</v>
      </c>
      <c r="AI213" s="453">
        <f>MateriaisCampo[[#This Row],[UNIT VENDA]]*MateriaisCampo[[#This Row],[QUANTIDADE]]</f>
        <v>2510.3543035992438</v>
      </c>
      <c r="AJ213" s="453">
        <f>IFERROR(MateriaisCampo[[#This Row],[VENDA]]*(RESUMO!$F$55/RESUMO!$F$45),0)</f>
        <v>3187.7514966339604</v>
      </c>
      <c r="AK213" s="453">
        <f>IFERROR(MateriaisCampo[[#This Row],[VENDA]]*(RESUMO!$F$58/RESUMO!$F$45),0)</f>
        <v>3187.7514966339604</v>
      </c>
      <c r="AL213" s="454">
        <f>IF(MateriaisCampo[[#This Row],[FATURAMENTO]]="NORMAL",MateriaisCampo[[#This Row],[VENDA]],0)</f>
        <v>2510.3543035992438</v>
      </c>
    </row>
    <row r="214" spans="1:38" x14ac:dyDescent="0.25">
      <c r="A214" s="113" t="s">
        <v>800</v>
      </c>
      <c r="B214" s="113" t="s">
        <v>800</v>
      </c>
      <c r="C214" s="113" t="s">
        <v>805</v>
      </c>
      <c r="D214" s="113" t="s">
        <v>778</v>
      </c>
      <c r="E214" s="434" t="s">
        <v>649</v>
      </c>
      <c r="F214" s="434">
        <f t="shared" si="0"/>
        <v>0</v>
      </c>
      <c r="G214" s="113"/>
      <c r="H214" s="435" t="s">
        <v>757</v>
      </c>
      <c r="I214" s="436">
        <v>1</v>
      </c>
      <c r="J214" s="437">
        <v>1200</v>
      </c>
      <c r="K214" s="438">
        <v>0</v>
      </c>
      <c r="L214" s="438">
        <v>0</v>
      </c>
      <c r="M214" s="458"/>
      <c r="N214" s="445">
        <f>MateriaisCampo[[#This Row],[UNIT S/IPI S/DESC]]-MateriaisCampo[[#This Row],[UNIT S/IPI S/DESC]]*MateriaisCampo[[#This Row],[% DESC]]</f>
        <v>1200</v>
      </c>
      <c r="O214" s="441" t="s">
        <v>295</v>
      </c>
      <c r="P214" s="442" t="s">
        <v>155</v>
      </c>
      <c r="Q214" s="438">
        <v>1.6500000000000001E-2</v>
      </c>
      <c r="R214" s="438">
        <v>7.5999999999999998E-2</v>
      </c>
      <c r="S214" s="443">
        <f>MateriaisCampo[[#This Row],[UNIT S/ IP + DIF ICMS]]*MateriaisCampo[[#This Row],[QUANTIDADE]]</f>
        <v>1200</v>
      </c>
      <c r="T214" s="444">
        <f>MateriaisCampo[[#This Row],[TOTAL S/ IPI]]+(MateriaisCampo[[#This Row],[TOTAL S/ IPI]]*MateriaisCampo[[#This Row],[IPI %]])</f>
        <v>1200</v>
      </c>
      <c r="U214" s="445">
        <f>IF(AND(MateriaisCampo[[#This Row],[ICMS %]]&lt;&gt;18%,MateriaisCampo[[#This Row],[ORIGEM]]&lt;&gt;"SÃO PAULO"),((18%-MateriaisCampo[[#This Row],[ICMS %]])*MateriaisCampo[[#This Row],[UNIT S/ IPI C/DESC]]),0)</f>
        <v>0</v>
      </c>
      <c r="V214" s="437">
        <f>MateriaisCampo[[#This Row],[UNIT S/ IPI C/DESC]]*MateriaisCampo[[#This Row],[ICMS %]]</f>
        <v>0</v>
      </c>
      <c r="W214" s="437">
        <f>MateriaisCampo[[#This Row],[ICMS $]]*MateriaisCampo[[#This Row],[QUANTIDADE]]</f>
        <v>0</v>
      </c>
      <c r="X214" s="446">
        <f>MateriaisCampo[[#This Row],[UNIT S/ IPI C/DESC]]+MateriaisCampo[[#This Row],[DIFERENCIAL ICMS]]</f>
        <v>1200</v>
      </c>
      <c r="Y214" s="446">
        <f>(MateriaisCampo[[#This Row],[PIS]]*MateriaisCampo[[#This Row],[UNIT S/ IPI C/DESC]])/2</f>
        <v>9.9</v>
      </c>
      <c r="Z214" s="446">
        <f>(MateriaisCampo[[#This Row],[COFINS]]*MateriaisCampo[[#This Row],[UNIT S/ IPI C/DESC]])/2</f>
        <v>45.6</v>
      </c>
      <c r="AA214" s="445">
        <f>MateriaisCampo[[#This Row],[UNIT S/ IP + DIF ICMS]]+(MateriaisCampo[[#This Row],[UNIT S/ IP + DIF ICMS]]*MateriaisCampo[[#This Row],[IPI %]])</f>
        <v>1200</v>
      </c>
      <c r="AB214" s="448">
        <f>_xlfn.XLOOKUP(MateriaisCampo[[#This Row],[FATURAMENTO]],BASE!$U$48:$U$50,BASE!$W$48:$W$50,0,0,1)</f>
        <v>0.79709863947533133</v>
      </c>
      <c r="AC214" s="510" t="str">
        <f>RESUMO!$E$56</f>
        <v>SIM</v>
      </c>
      <c r="AD214" s="449" t="str">
        <f>RESUMO!$E$57</f>
        <v>SIM</v>
      </c>
      <c r="AE21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1144.5</v>
      </c>
      <c r="AF214" s="450">
        <f>MateriaisCampo[[#This Row],[UNIT CRED]]*MateriaisCampo[[#This Row],[QUANTIDADE]]</f>
        <v>1144.5</v>
      </c>
      <c r="AG214" s="451">
        <f>MateriaisCampo[[#This Row],[TOT CRED]]</f>
        <v>1144.5</v>
      </c>
      <c r="AH214" s="452">
        <f>IF(MateriaisCampo[[#This Row],[QUANTIDADE]]&lt;&gt;0,((MateriaisCampo[[#This Row],[TOT CUSTO]]/MateriaisCampo[[#This Row],[QUANTIDADE]])/MateriaisCampo[[#This Row],[MARK-UP]]),0)</f>
        <v>1435.8323340676334</v>
      </c>
      <c r="AI214" s="453">
        <f>MateriaisCampo[[#This Row],[UNIT VENDA]]*MateriaisCampo[[#This Row],[QUANTIDADE]]</f>
        <v>1435.8323340676334</v>
      </c>
      <c r="AJ214" s="453">
        <f>IFERROR(MateriaisCampo[[#This Row],[VENDA]]*(RESUMO!$F$55/RESUMO!$F$45),0)</f>
        <v>1823.2791543715978</v>
      </c>
      <c r="AK214" s="453">
        <f>IFERROR(MateriaisCampo[[#This Row],[VENDA]]*(RESUMO!$F$58/RESUMO!$F$45),0)</f>
        <v>1823.2791543715978</v>
      </c>
      <c r="AL214" s="454">
        <f>IF(MateriaisCampo[[#This Row],[FATURAMENTO]]="NORMAL",MateriaisCampo[[#This Row],[VENDA]],0)</f>
        <v>1435.8323340676334</v>
      </c>
    </row>
    <row r="215" spans="1:38" x14ac:dyDescent="0.25">
      <c r="A215" s="113"/>
      <c r="B215" s="113"/>
      <c r="C215" s="113"/>
      <c r="D215" s="113"/>
      <c r="E215" s="434"/>
      <c r="F215" s="434">
        <f t="shared" si="0"/>
        <v>0</v>
      </c>
      <c r="G215" s="113"/>
      <c r="H215" s="435"/>
      <c r="I215" s="436"/>
      <c r="J215" s="437"/>
      <c r="K215" s="438"/>
      <c r="L215" s="438"/>
      <c r="M215" s="458"/>
      <c r="N215" s="445">
        <f>MateriaisCampo[[#This Row],[UNIT S/IPI S/DESC]]-MateriaisCampo[[#This Row],[UNIT S/IPI S/DESC]]*MateriaisCampo[[#This Row],[% DESC]]</f>
        <v>0</v>
      </c>
      <c r="O215" s="441" t="s">
        <v>295</v>
      </c>
      <c r="P215" s="442" t="s">
        <v>155</v>
      </c>
      <c r="Q215" s="438">
        <v>1.6500000000000001E-2</v>
      </c>
      <c r="R215" s="438">
        <v>7.5999999999999998E-2</v>
      </c>
      <c r="S215" s="443">
        <f>MateriaisCampo[[#This Row],[UNIT S/ IP + DIF ICMS]]*MateriaisCampo[[#This Row],[QUANTIDADE]]</f>
        <v>0</v>
      </c>
      <c r="T215" s="444">
        <f>MateriaisCampo[[#This Row],[TOTAL S/ IPI]]+(MateriaisCampo[[#This Row],[TOTAL S/ IPI]]*MateriaisCampo[[#This Row],[IPI %]])</f>
        <v>0</v>
      </c>
      <c r="U215" s="445">
        <f>IF(AND(MateriaisCampo[[#This Row],[ICMS %]]&lt;&gt;18%,MateriaisCampo[[#This Row],[ORIGEM]]&lt;&gt;"SÃO PAULO"),((18%-MateriaisCampo[[#This Row],[ICMS %]])*MateriaisCampo[[#This Row],[UNIT S/ IPI C/DESC]]),0)</f>
        <v>0</v>
      </c>
      <c r="V215" s="437">
        <f>MateriaisCampo[[#This Row],[UNIT S/ IPI C/DESC]]*MateriaisCampo[[#This Row],[ICMS %]]</f>
        <v>0</v>
      </c>
      <c r="W215" s="437">
        <f>MateriaisCampo[[#This Row],[ICMS $]]*MateriaisCampo[[#This Row],[QUANTIDADE]]</f>
        <v>0</v>
      </c>
      <c r="X215" s="446">
        <f>MateriaisCampo[[#This Row],[UNIT S/ IPI C/DESC]]+MateriaisCampo[[#This Row],[DIFERENCIAL ICMS]]</f>
        <v>0</v>
      </c>
      <c r="Y215" s="446">
        <f>(MateriaisCampo[[#This Row],[PIS]]*MateriaisCampo[[#This Row],[UNIT S/ IPI C/DESC]])/2</f>
        <v>0</v>
      </c>
      <c r="Z215" s="446">
        <f>(MateriaisCampo[[#This Row],[COFINS]]*MateriaisCampo[[#This Row],[UNIT S/ IPI C/DESC]])/2</f>
        <v>0</v>
      </c>
      <c r="AA215" s="445">
        <f>MateriaisCampo[[#This Row],[UNIT S/ IP + DIF ICMS]]+(MateriaisCampo[[#This Row],[UNIT S/ IP + DIF ICMS]]*MateriaisCampo[[#This Row],[IPI %]])</f>
        <v>0</v>
      </c>
      <c r="AB215" s="448">
        <f>_xlfn.XLOOKUP(MateriaisCampo[[#This Row],[FATURAMENTO]],BASE!$U$48:$U$50,BASE!$W$48:$W$50,0,0,1)</f>
        <v>0.79709863947533133</v>
      </c>
      <c r="AC215" s="510" t="str">
        <f>RESUMO!$E$56</f>
        <v>SIM</v>
      </c>
      <c r="AD215" s="449" t="str">
        <f>RESUMO!$E$57</f>
        <v>SIM</v>
      </c>
      <c r="AE21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15" s="450">
        <f>MateriaisCampo[[#This Row],[UNIT CRED]]*MateriaisCampo[[#This Row],[QUANTIDADE]]</f>
        <v>0</v>
      </c>
      <c r="AG215" s="451">
        <f>MateriaisCampo[[#This Row],[TOT CRED]]</f>
        <v>0</v>
      </c>
      <c r="AH215" s="452">
        <f>IF(MateriaisCampo[[#This Row],[QUANTIDADE]]&lt;&gt;0,((MateriaisCampo[[#This Row],[TOT CUSTO]]/MateriaisCampo[[#This Row],[QUANTIDADE]])/MateriaisCampo[[#This Row],[MARK-UP]]),0)</f>
        <v>0</v>
      </c>
      <c r="AI215" s="453">
        <f>MateriaisCampo[[#This Row],[UNIT VENDA]]*MateriaisCampo[[#This Row],[QUANTIDADE]]</f>
        <v>0</v>
      </c>
      <c r="AJ215" s="453">
        <f>IFERROR(MateriaisCampo[[#This Row],[VENDA]]*(RESUMO!$F$55/RESUMO!$F$45),0)</f>
        <v>0</v>
      </c>
      <c r="AK215" s="453">
        <f>IFERROR(MateriaisCampo[[#This Row],[VENDA]]*(RESUMO!$F$58/RESUMO!$F$45),0)</f>
        <v>0</v>
      </c>
      <c r="AL215" s="454">
        <f>IF(MateriaisCampo[[#This Row],[FATURAMENTO]]="NORMAL",MateriaisCampo[[#This Row],[VENDA]],0)</f>
        <v>0</v>
      </c>
    </row>
    <row r="216" spans="1:38" x14ac:dyDescent="0.25">
      <c r="A216" s="113"/>
      <c r="B216" s="113"/>
      <c r="C216" s="113"/>
      <c r="D216" s="113"/>
      <c r="E216" s="434"/>
      <c r="F216" s="434">
        <f t="shared" si="0"/>
        <v>0</v>
      </c>
      <c r="G216" s="113"/>
      <c r="H216" s="435"/>
      <c r="I216" s="436"/>
      <c r="J216" s="437"/>
      <c r="K216" s="438"/>
      <c r="L216" s="438"/>
      <c r="M216" s="458"/>
      <c r="N216" s="445">
        <f>MateriaisCampo[[#This Row],[UNIT S/IPI S/DESC]]-MateriaisCampo[[#This Row],[UNIT S/IPI S/DESC]]*MateriaisCampo[[#This Row],[% DESC]]</f>
        <v>0</v>
      </c>
      <c r="O216" s="441" t="s">
        <v>295</v>
      </c>
      <c r="P216" s="442" t="s">
        <v>155</v>
      </c>
      <c r="Q216" s="438">
        <v>1.6500000000000001E-2</v>
      </c>
      <c r="R216" s="438">
        <v>7.5999999999999998E-2</v>
      </c>
      <c r="S216" s="443">
        <f>MateriaisCampo[[#This Row],[UNIT S/ IP + DIF ICMS]]*MateriaisCampo[[#This Row],[QUANTIDADE]]</f>
        <v>0</v>
      </c>
      <c r="T216" s="444">
        <f>MateriaisCampo[[#This Row],[TOTAL S/ IPI]]+(MateriaisCampo[[#This Row],[TOTAL S/ IPI]]*MateriaisCampo[[#This Row],[IPI %]])</f>
        <v>0</v>
      </c>
      <c r="U216" s="445">
        <f>IF(AND(MateriaisCampo[[#This Row],[ICMS %]]&lt;&gt;18%,MateriaisCampo[[#This Row],[ORIGEM]]&lt;&gt;"SÃO PAULO"),((18%-MateriaisCampo[[#This Row],[ICMS %]])*MateriaisCampo[[#This Row],[UNIT S/ IPI C/DESC]]),0)</f>
        <v>0</v>
      </c>
      <c r="V216" s="437">
        <f>MateriaisCampo[[#This Row],[UNIT S/ IPI C/DESC]]*MateriaisCampo[[#This Row],[ICMS %]]</f>
        <v>0</v>
      </c>
      <c r="W216" s="437">
        <f>MateriaisCampo[[#This Row],[ICMS $]]*MateriaisCampo[[#This Row],[QUANTIDADE]]</f>
        <v>0</v>
      </c>
      <c r="X216" s="446">
        <f>MateriaisCampo[[#This Row],[UNIT S/ IPI C/DESC]]+MateriaisCampo[[#This Row],[DIFERENCIAL ICMS]]</f>
        <v>0</v>
      </c>
      <c r="Y216" s="446">
        <f>(MateriaisCampo[[#This Row],[PIS]]*MateriaisCampo[[#This Row],[UNIT S/ IPI C/DESC]])/2</f>
        <v>0</v>
      </c>
      <c r="Z216" s="446">
        <f>(MateriaisCampo[[#This Row],[COFINS]]*MateriaisCampo[[#This Row],[UNIT S/ IPI C/DESC]])/2</f>
        <v>0</v>
      </c>
      <c r="AA216" s="445">
        <f>MateriaisCampo[[#This Row],[UNIT S/ IP + DIF ICMS]]+(MateriaisCampo[[#This Row],[UNIT S/ IP + DIF ICMS]]*MateriaisCampo[[#This Row],[IPI %]])</f>
        <v>0</v>
      </c>
      <c r="AB216" s="448">
        <f>_xlfn.XLOOKUP(MateriaisCampo[[#This Row],[FATURAMENTO]],BASE!$U$48:$U$50,BASE!$W$48:$W$50,0,0,1)</f>
        <v>0.79709863947533133</v>
      </c>
      <c r="AC216" s="510" t="str">
        <f>RESUMO!$E$56</f>
        <v>SIM</v>
      </c>
      <c r="AD216" s="449" t="str">
        <f>RESUMO!$E$57</f>
        <v>SIM</v>
      </c>
      <c r="AE21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16" s="450">
        <f>MateriaisCampo[[#This Row],[UNIT CRED]]*MateriaisCampo[[#This Row],[QUANTIDADE]]</f>
        <v>0</v>
      </c>
      <c r="AG216" s="451">
        <f>MateriaisCampo[[#This Row],[TOT CRED]]</f>
        <v>0</v>
      </c>
      <c r="AH216" s="452">
        <f>IF(MateriaisCampo[[#This Row],[QUANTIDADE]]&lt;&gt;0,((MateriaisCampo[[#This Row],[TOT CUSTO]]/MateriaisCampo[[#This Row],[QUANTIDADE]])/MateriaisCampo[[#This Row],[MARK-UP]]),0)</f>
        <v>0</v>
      </c>
      <c r="AI216" s="453">
        <f>MateriaisCampo[[#This Row],[UNIT VENDA]]*MateriaisCampo[[#This Row],[QUANTIDADE]]</f>
        <v>0</v>
      </c>
      <c r="AJ216" s="453">
        <f>IFERROR(MateriaisCampo[[#This Row],[VENDA]]*(RESUMO!$F$55/RESUMO!$F$45),0)</f>
        <v>0</v>
      </c>
      <c r="AK216" s="453">
        <f>IFERROR(MateriaisCampo[[#This Row],[VENDA]]*(RESUMO!$F$58/RESUMO!$F$45),0)</f>
        <v>0</v>
      </c>
      <c r="AL216" s="454">
        <f>IF(MateriaisCampo[[#This Row],[FATURAMENTO]]="NORMAL",MateriaisCampo[[#This Row],[VENDA]],0)</f>
        <v>0</v>
      </c>
    </row>
    <row r="217" spans="1:38" x14ac:dyDescent="0.25">
      <c r="A217" s="484" t="s">
        <v>812</v>
      </c>
      <c r="B217" s="484" t="s">
        <v>812</v>
      </c>
      <c r="C217" s="484" t="s">
        <v>812</v>
      </c>
      <c r="D217" s="484"/>
      <c r="E217" s="485"/>
      <c r="F217" s="485">
        <v>0</v>
      </c>
      <c r="G217" s="484"/>
      <c r="H217" s="486"/>
      <c r="I217" s="487"/>
      <c r="J217" s="488"/>
      <c r="K217" s="438"/>
      <c r="L217" s="438"/>
      <c r="M217" s="458"/>
      <c r="N217" s="445">
        <f>MateriaisCampo[[#This Row],[UNIT S/IPI S/DESC]]-MateriaisCampo[[#This Row],[UNIT S/IPI S/DESC]]*MateriaisCampo[[#This Row],[% DESC]]</f>
        <v>0</v>
      </c>
      <c r="O217" s="441" t="s">
        <v>295</v>
      </c>
      <c r="P217" s="442" t="s">
        <v>155</v>
      </c>
      <c r="Q217" s="438">
        <v>1.6500000000000001E-2</v>
      </c>
      <c r="R217" s="438">
        <v>7.5999999999999998E-2</v>
      </c>
      <c r="S217" s="443">
        <f>MateriaisCampo[[#This Row],[UNIT S/ IP + DIF ICMS]]*MateriaisCampo[[#This Row],[QUANTIDADE]]</f>
        <v>0</v>
      </c>
      <c r="T217" s="444">
        <f>MateriaisCampo[[#This Row],[TOTAL S/ IPI]]+(MateriaisCampo[[#This Row],[TOTAL S/ IPI]]*MateriaisCampo[[#This Row],[IPI %]])</f>
        <v>0</v>
      </c>
      <c r="U217" s="445">
        <f>IF(AND(MateriaisCampo[[#This Row],[ICMS %]]&lt;&gt;18%,MateriaisCampo[[#This Row],[ORIGEM]]&lt;&gt;"SÃO PAULO"),((18%-MateriaisCampo[[#This Row],[ICMS %]])*MateriaisCampo[[#This Row],[UNIT S/ IPI C/DESC]]),0)</f>
        <v>0</v>
      </c>
      <c r="V217" s="437">
        <f>MateriaisCampo[[#This Row],[UNIT S/ IPI C/DESC]]*MateriaisCampo[[#This Row],[ICMS %]]</f>
        <v>0</v>
      </c>
      <c r="W217" s="437">
        <f>MateriaisCampo[[#This Row],[ICMS $]]*MateriaisCampo[[#This Row],[QUANTIDADE]]</f>
        <v>0</v>
      </c>
      <c r="X217" s="446">
        <f>MateriaisCampo[[#This Row],[UNIT S/ IPI C/DESC]]+MateriaisCampo[[#This Row],[DIFERENCIAL ICMS]]</f>
        <v>0</v>
      </c>
      <c r="Y217" s="446">
        <f>(MateriaisCampo[[#This Row],[PIS]]*MateriaisCampo[[#This Row],[UNIT S/ IPI C/DESC]])/2</f>
        <v>0</v>
      </c>
      <c r="Z217" s="446">
        <f>(MateriaisCampo[[#This Row],[COFINS]]*MateriaisCampo[[#This Row],[UNIT S/ IPI C/DESC]])/2</f>
        <v>0</v>
      </c>
      <c r="AA217" s="445">
        <f>MateriaisCampo[[#This Row],[UNIT S/ IP + DIF ICMS]]+(MateriaisCampo[[#This Row],[UNIT S/ IP + DIF ICMS]]*MateriaisCampo[[#This Row],[IPI %]])</f>
        <v>0</v>
      </c>
      <c r="AB217" s="448">
        <f>_xlfn.XLOOKUP(MateriaisCampo[[#This Row],[FATURAMENTO]],BASE!$U$48:$U$50,BASE!$W$48:$W$50,0,0,1)</f>
        <v>0.79709863947533133</v>
      </c>
      <c r="AC217" s="510" t="str">
        <f>RESUMO!$E$56</f>
        <v>SIM</v>
      </c>
      <c r="AD217" s="449" t="str">
        <f>RESUMO!$E$57</f>
        <v>SIM</v>
      </c>
      <c r="AE21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17" s="450">
        <f>MateriaisCampo[[#This Row],[UNIT CRED]]*MateriaisCampo[[#This Row],[QUANTIDADE]]</f>
        <v>0</v>
      </c>
      <c r="AG217" s="451">
        <f>MateriaisCampo[[#This Row],[TOT CRED]]</f>
        <v>0</v>
      </c>
      <c r="AH217" s="452">
        <f>IF(MateriaisCampo[[#This Row],[QUANTIDADE]]&lt;&gt;0,((MateriaisCampo[[#This Row],[TOT CUSTO]]/MateriaisCampo[[#This Row],[QUANTIDADE]])/MateriaisCampo[[#This Row],[MARK-UP]]),0)</f>
        <v>0</v>
      </c>
      <c r="AI217" s="453">
        <f>MateriaisCampo[[#This Row],[UNIT VENDA]]*MateriaisCampo[[#This Row],[QUANTIDADE]]</f>
        <v>0</v>
      </c>
      <c r="AJ217" s="453">
        <f>IFERROR(MateriaisCampo[[#This Row],[VENDA]]*(RESUMO!$F$55/RESUMO!$F$45),0)</f>
        <v>0</v>
      </c>
      <c r="AK217" s="453">
        <f>IFERROR(MateriaisCampo[[#This Row],[VENDA]]*(RESUMO!$F$58/RESUMO!$F$45),0)</f>
        <v>0</v>
      </c>
      <c r="AL217" s="454">
        <f>IF(MateriaisCampo[[#This Row],[FATURAMENTO]]="NORMAL",MateriaisCampo[[#This Row],[VENDA]],0)</f>
        <v>0</v>
      </c>
    </row>
    <row r="218" spans="1:38" x14ac:dyDescent="0.25">
      <c r="A218" s="113" t="s">
        <v>812</v>
      </c>
      <c r="B218" s="113" t="s">
        <v>812</v>
      </c>
      <c r="C218" s="113" t="s">
        <v>813</v>
      </c>
      <c r="D218" s="113" t="s">
        <v>778</v>
      </c>
      <c r="E218" s="434" t="s">
        <v>649</v>
      </c>
      <c r="F218" s="434">
        <f t="shared" si="0"/>
        <v>0</v>
      </c>
      <c r="G218" s="113"/>
      <c r="H218" s="435" t="s">
        <v>757</v>
      </c>
      <c r="I218" s="436">
        <v>1</v>
      </c>
      <c r="J218" s="437">
        <v>7500</v>
      </c>
      <c r="K218" s="438">
        <v>0.12</v>
      </c>
      <c r="L218" s="438">
        <v>0</v>
      </c>
      <c r="M218" s="458"/>
      <c r="N218" s="445">
        <f>MateriaisCampo[[#This Row],[UNIT S/IPI S/DESC]]-MateriaisCampo[[#This Row],[UNIT S/IPI S/DESC]]*MateriaisCampo[[#This Row],[% DESC]]</f>
        <v>7500</v>
      </c>
      <c r="O218" s="441" t="s">
        <v>295</v>
      </c>
      <c r="P218" s="442" t="s">
        <v>155</v>
      </c>
      <c r="Q218" s="438">
        <v>1.6500000000000001E-2</v>
      </c>
      <c r="R218" s="438">
        <v>7.5999999999999998E-2</v>
      </c>
      <c r="S218" s="443">
        <f>MateriaisCampo[[#This Row],[UNIT S/ IP + DIF ICMS]]*MateriaisCampo[[#This Row],[QUANTIDADE]]</f>
        <v>7500</v>
      </c>
      <c r="T218" s="444">
        <f>MateriaisCampo[[#This Row],[TOTAL S/ IPI]]+(MateriaisCampo[[#This Row],[TOTAL S/ IPI]]*MateriaisCampo[[#This Row],[IPI %]])</f>
        <v>7500</v>
      </c>
      <c r="U218" s="445">
        <f>IF(AND(MateriaisCampo[[#This Row],[ICMS %]]&lt;&gt;18%,MateriaisCampo[[#This Row],[ORIGEM]]&lt;&gt;"SÃO PAULO"),((18%-MateriaisCampo[[#This Row],[ICMS %]])*MateriaisCampo[[#This Row],[UNIT S/ IPI C/DESC]]),0)</f>
        <v>0</v>
      </c>
      <c r="V218" s="437">
        <f>MateriaisCampo[[#This Row],[UNIT S/ IPI C/DESC]]*MateriaisCampo[[#This Row],[ICMS %]]</f>
        <v>900</v>
      </c>
      <c r="W218" s="437">
        <f>MateriaisCampo[[#This Row],[ICMS $]]*MateriaisCampo[[#This Row],[QUANTIDADE]]</f>
        <v>900</v>
      </c>
      <c r="X218" s="446">
        <f>MateriaisCampo[[#This Row],[UNIT S/ IPI C/DESC]]+MateriaisCampo[[#This Row],[DIFERENCIAL ICMS]]</f>
        <v>7500</v>
      </c>
      <c r="Y218" s="446">
        <f>(MateriaisCampo[[#This Row],[PIS]]*MateriaisCampo[[#This Row],[UNIT S/ IPI C/DESC]])/2</f>
        <v>61.875</v>
      </c>
      <c r="Z218" s="446">
        <f>(MateriaisCampo[[#This Row],[COFINS]]*MateriaisCampo[[#This Row],[UNIT S/ IPI C/DESC]])/2</f>
        <v>285</v>
      </c>
      <c r="AA218" s="445">
        <f>MateriaisCampo[[#This Row],[UNIT S/ IP + DIF ICMS]]+(MateriaisCampo[[#This Row],[UNIT S/ IP + DIF ICMS]]*MateriaisCampo[[#This Row],[IPI %]])</f>
        <v>7500</v>
      </c>
      <c r="AB218" s="448">
        <f>_xlfn.XLOOKUP(MateriaisCampo[[#This Row],[FATURAMENTO]],BASE!$U$48:$U$50,BASE!$W$48:$W$50,0,0,1)</f>
        <v>0.79709863947533133</v>
      </c>
      <c r="AC218" s="510" t="str">
        <f>RESUMO!$E$56</f>
        <v>SIM</v>
      </c>
      <c r="AD218" s="449" t="str">
        <f>RESUMO!$E$57</f>
        <v>SIM</v>
      </c>
      <c r="AE21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6253.125</v>
      </c>
      <c r="AF218" s="450">
        <f>MateriaisCampo[[#This Row],[UNIT CRED]]*MateriaisCampo[[#This Row],[QUANTIDADE]]</f>
        <v>6253.125</v>
      </c>
      <c r="AG218" s="451">
        <f>MateriaisCampo[[#This Row],[TOT CRED]]</f>
        <v>6253.125</v>
      </c>
      <c r="AH218" s="452">
        <f>IF(MateriaisCampo[[#This Row],[QUANTIDADE]]&lt;&gt;0,((MateriaisCampo[[#This Row],[TOT CUSTO]]/MateriaisCampo[[#This Row],[QUANTIDADE]])/MateriaisCampo[[#This Row],[MARK-UP]]),0)</f>
        <v>7844.8571987476362</v>
      </c>
      <c r="AI218" s="453">
        <f>MateriaisCampo[[#This Row],[UNIT VENDA]]*MateriaisCampo[[#This Row],[QUANTIDADE]]</f>
        <v>7844.8571987476362</v>
      </c>
      <c r="AJ218" s="453">
        <f>IFERROR(MateriaisCampo[[#This Row],[VENDA]]*(RESUMO!$F$55/RESUMO!$F$45),0)</f>
        <v>9961.7234269811252</v>
      </c>
      <c r="AK218" s="453">
        <f>IFERROR(MateriaisCampo[[#This Row],[VENDA]]*(RESUMO!$F$58/RESUMO!$F$45),0)</f>
        <v>9961.7234269811252</v>
      </c>
      <c r="AL218" s="454">
        <f>IF(MateriaisCampo[[#This Row],[FATURAMENTO]]="NORMAL",MateriaisCampo[[#This Row],[VENDA]],0)</f>
        <v>7844.8571987476362</v>
      </c>
    </row>
    <row r="219" spans="1:38" x14ac:dyDescent="0.25">
      <c r="A219" s="113" t="s">
        <v>812</v>
      </c>
      <c r="B219" s="113" t="s">
        <v>812</v>
      </c>
      <c r="C219" s="113" t="s">
        <v>814</v>
      </c>
      <c r="D219" s="113" t="s">
        <v>815</v>
      </c>
      <c r="E219" s="434" t="s">
        <v>649</v>
      </c>
      <c r="F219" s="434">
        <f t="shared" si="0"/>
        <v>0</v>
      </c>
      <c r="G219" s="113"/>
      <c r="H219" s="435" t="s">
        <v>757</v>
      </c>
      <c r="I219" s="436">
        <v>1</v>
      </c>
      <c r="J219" s="437">
        <v>6750</v>
      </c>
      <c r="K219" s="438">
        <v>0.12</v>
      </c>
      <c r="L219" s="438">
        <v>0</v>
      </c>
      <c r="M219" s="458"/>
      <c r="N219" s="445">
        <f>MateriaisCampo[[#This Row],[UNIT S/IPI S/DESC]]-MateriaisCampo[[#This Row],[UNIT S/IPI S/DESC]]*MateriaisCampo[[#This Row],[% DESC]]</f>
        <v>6750</v>
      </c>
      <c r="O219" s="441" t="s">
        <v>295</v>
      </c>
      <c r="P219" s="442" t="s">
        <v>155</v>
      </c>
      <c r="Q219" s="438">
        <v>1.6500000000000001E-2</v>
      </c>
      <c r="R219" s="438">
        <v>7.5999999999999998E-2</v>
      </c>
      <c r="S219" s="443">
        <f>MateriaisCampo[[#This Row],[UNIT S/ IP + DIF ICMS]]*MateriaisCampo[[#This Row],[QUANTIDADE]]</f>
        <v>6750</v>
      </c>
      <c r="T219" s="444">
        <f>MateriaisCampo[[#This Row],[TOTAL S/ IPI]]+(MateriaisCampo[[#This Row],[TOTAL S/ IPI]]*MateriaisCampo[[#This Row],[IPI %]])</f>
        <v>6750</v>
      </c>
      <c r="U219" s="445">
        <f>IF(AND(MateriaisCampo[[#This Row],[ICMS %]]&lt;&gt;18%,MateriaisCampo[[#This Row],[ORIGEM]]&lt;&gt;"SÃO PAULO"),((18%-MateriaisCampo[[#This Row],[ICMS %]])*MateriaisCampo[[#This Row],[UNIT S/ IPI C/DESC]]),0)</f>
        <v>0</v>
      </c>
      <c r="V219" s="437">
        <f>MateriaisCampo[[#This Row],[UNIT S/ IPI C/DESC]]*MateriaisCampo[[#This Row],[ICMS %]]</f>
        <v>810</v>
      </c>
      <c r="W219" s="437">
        <f>MateriaisCampo[[#This Row],[ICMS $]]*MateriaisCampo[[#This Row],[QUANTIDADE]]</f>
        <v>810</v>
      </c>
      <c r="X219" s="446">
        <f>MateriaisCampo[[#This Row],[UNIT S/ IPI C/DESC]]+MateriaisCampo[[#This Row],[DIFERENCIAL ICMS]]</f>
        <v>6750</v>
      </c>
      <c r="Y219" s="446">
        <f>(MateriaisCampo[[#This Row],[PIS]]*MateriaisCampo[[#This Row],[UNIT S/ IPI C/DESC]])/2</f>
        <v>55.6875</v>
      </c>
      <c r="Z219" s="446">
        <f>(MateriaisCampo[[#This Row],[COFINS]]*MateriaisCampo[[#This Row],[UNIT S/ IPI C/DESC]])/2</f>
        <v>256.5</v>
      </c>
      <c r="AA219" s="445">
        <f>MateriaisCampo[[#This Row],[UNIT S/ IP + DIF ICMS]]+(MateriaisCampo[[#This Row],[UNIT S/ IP + DIF ICMS]]*MateriaisCampo[[#This Row],[IPI %]])</f>
        <v>6750</v>
      </c>
      <c r="AB219" s="448">
        <f>_xlfn.XLOOKUP(MateriaisCampo[[#This Row],[FATURAMENTO]],BASE!$U$48:$U$50,BASE!$W$48:$W$50,0,0,1)</f>
        <v>0.79709863947533133</v>
      </c>
      <c r="AC219" s="510" t="str">
        <f>RESUMO!$E$56</f>
        <v>SIM</v>
      </c>
      <c r="AD219" s="449" t="str">
        <f>RESUMO!$E$57</f>
        <v>SIM</v>
      </c>
      <c r="AE21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5627.8125</v>
      </c>
      <c r="AF219" s="450">
        <f>MateriaisCampo[[#This Row],[UNIT CRED]]*MateriaisCampo[[#This Row],[QUANTIDADE]]</f>
        <v>5627.8125</v>
      </c>
      <c r="AG219" s="451">
        <f>MateriaisCampo[[#This Row],[TOT CRED]]</f>
        <v>5627.8125</v>
      </c>
      <c r="AH219" s="452">
        <f>IF(MateriaisCampo[[#This Row],[QUANTIDADE]]&lt;&gt;0,((MateriaisCampo[[#This Row],[TOT CUSTO]]/MateriaisCampo[[#This Row],[QUANTIDADE]])/MateriaisCampo[[#This Row],[MARK-UP]]),0)</f>
        <v>7060.371478872873</v>
      </c>
      <c r="AI219" s="453">
        <f>MateriaisCampo[[#This Row],[UNIT VENDA]]*MateriaisCampo[[#This Row],[QUANTIDADE]]</f>
        <v>7060.371478872873</v>
      </c>
      <c r="AJ219" s="453">
        <f>IFERROR(MateriaisCampo[[#This Row],[VENDA]]*(RESUMO!$F$55/RESUMO!$F$45),0)</f>
        <v>8965.5510842830136</v>
      </c>
      <c r="AK219" s="453">
        <f>IFERROR(MateriaisCampo[[#This Row],[VENDA]]*(RESUMO!$F$58/RESUMO!$F$45),0)</f>
        <v>8965.5510842830136</v>
      </c>
      <c r="AL219" s="454">
        <f>IF(MateriaisCampo[[#This Row],[FATURAMENTO]]="NORMAL",MateriaisCampo[[#This Row],[VENDA]],0)</f>
        <v>7060.371478872873</v>
      </c>
    </row>
    <row r="220" spans="1:38" x14ac:dyDescent="0.25">
      <c r="A220" s="113"/>
      <c r="B220" s="113"/>
      <c r="C220" s="113"/>
      <c r="D220" s="113"/>
      <c r="E220" s="434"/>
      <c r="F220" s="434">
        <f t="shared" si="0"/>
        <v>0</v>
      </c>
      <c r="G220" s="113"/>
      <c r="H220" s="435"/>
      <c r="I220" s="436"/>
      <c r="J220" s="437"/>
      <c r="K220" s="438"/>
      <c r="L220" s="438"/>
      <c r="M220" s="458"/>
      <c r="N220" s="445">
        <f>MateriaisCampo[[#This Row],[UNIT S/IPI S/DESC]]-MateriaisCampo[[#This Row],[UNIT S/IPI S/DESC]]*MateriaisCampo[[#This Row],[% DESC]]</f>
        <v>0</v>
      </c>
      <c r="O220" s="441" t="s">
        <v>295</v>
      </c>
      <c r="P220" s="442" t="s">
        <v>155</v>
      </c>
      <c r="Q220" s="438">
        <v>1.6500000000000001E-2</v>
      </c>
      <c r="R220" s="438">
        <v>7.5999999999999998E-2</v>
      </c>
      <c r="S220" s="443">
        <f>MateriaisCampo[[#This Row],[UNIT S/ IP + DIF ICMS]]*MateriaisCampo[[#This Row],[QUANTIDADE]]</f>
        <v>0</v>
      </c>
      <c r="T220" s="444">
        <f>MateriaisCampo[[#This Row],[TOTAL S/ IPI]]+(MateriaisCampo[[#This Row],[TOTAL S/ IPI]]*MateriaisCampo[[#This Row],[IPI %]])</f>
        <v>0</v>
      </c>
      <c r="U220" s="445">
        <f>IF(AND(MateriaisCampo[[#This Row],[ICMS %]]&lt;&gt;18%,MateriaisCampo[[#This Row],[ORIGEM]]&lt;&gt;"SÃO PAULO"),((18%-MateriaisCampo[[#This Row],[ICMS %]])*MateriaisCampo[[#This Row],[UNIT S/ IPI C/DESC]]),0)</f>
        <v>0</v>
      </c>
      <c r="V220" s="437">
        <f>MateriaisCampo[[#This Row],[UNIT S/ IPI C/DESC]]*MateriaisCampo[[#This Row],[ICMS %]]</f>
        <v>0</v>
      </c>
      <c r="W220" s="437">
        <f>MateriaisCampo[[#This Row],[ICMS $]]*MateriaisCampo[[#This Row],[QUANTIDADE]]</f>
        <v>0</v>
      </c>
      <c r="X220" s="446">
        <f>MateriaisCampo[[#This Row],[UNIT S/ IPI C/DESC]]+MateriaisCampo[[#This Row],[DIFERENCIAL ICMS]]</f>
        <v>0</v>
      </c>
      <c r="Y220" s="446">
        <f>(MateriaisCampo[[#This Row],[PIS]]*MateriaisCampo[[#This Row],[UNIT S/ IPI C/DESC]])/2</f>
        <v>0</v>
      </c>
      <c r="Z220" s="446">
        <f>(MateriaisCampo[[#This Row],[COFINS]]*MateriaisCampo[[#This Row],[UNIT S/ IPI C/DESC]])/2</f>
        <v>0</v>
      </c>
      <c r="AA220" s="445">
        <f>MateriaisCampo[[#This Row],[UNIT S/ IP + DIF ICMS]]+(MateriaisCampo[[#This Row],[UNIT S/ IP + DIF ICMS]]*MateriaisCampo[[#This Row],[IPI %]])</f>
        <v>0</v>
      </c>
      <c r="AB220" s="448">
        <f>_xlfn.XLOOKUP(MateriaisCampo[[#This Row],[FATURAMENTO]],BASE!$U$48:$U$50,BASE!$W$48:$W$50,0,0,1)</f>
        <v>0.79709863947533133</v>
      </c>
      <c r="AC220" s="510" t="str">
        <f>RESUMO!$E$56</f>
        <v>SIM</v>
      </c>
      <c r="AD220" s="449" t="str">
        <f>RESUMO!$E$57</f>
        <v>SIM</v>
      </c>
      <c r="AE22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0" s="450">
        <f>MateriaisCampo[[#This Row],[UNIT CRED]]*MateriaisCampo[[#This Row],[QUANTIDADE]]</f>
        <v>0</v>
      </c>
      <c r="AG220" s="451">
        <f>MateriaisCampo[[#This Row],[TOT CRED]]</f>
        <v>0</v>
      </c>
      <c r="AH220" s="452">
        <f>IF(MateriaisCampo[[#This Row],[QUANTIDADE]]&lt;&gt;0,((MateriaisCampo[[#This Row],[TOT CUSTO]]/MateriaisCampo[[#This Row],[QUANTIDADE]])/MateriaisCampo[[#This Row],[MARK-UP]]),0)</f>
        <v>0</v>
      </c>
      <c r="AI220" s="453">
        <f>MateriaisCampo[[#This Row],[UNIT VENDA]]*MateriaisCampo[[#This Row],[QUANTIDADE]]</f>
        <v>0</v>
      </c>
      <c r="AJ220" s="453">
        <f>IFERROR(MateriaisCampo[[#This Row],[VENDA]]*(RESUMO!$F$55/RESUMO!$F$45),0)</f>
        <v>0</v>
      </c>
      <c r="AK220" s="453">
        <f>IFERROR(MateriaisCampo[[#This Row],[VENDA]]*(RESUMO!$F$58/RESUMO!$F$45),0)</f>
        <v>0</v>
      </c>
      <c r="AL220" s="454">
        <f>IF(MateriaisCampo[[#This Row],[FATURAMENTO]]="NORMAL",MateriaisCampo[[#This Row],[VENDA]],0)</f>
        <v>0</v>
      </c>
    </row>
    <row r="221" spans="1:38" x14ac:dyDescent="0.25">
      <c r="A221" s="113"/>
      <c r="B221" s="113"/>
      <c r="C221" s="113"/>
      <c r="D221" s="113"/>
      <c r="E221" s="434"/>
      <c r="F221" s="434">
        <f t="shared" si="0"/>
        <v>0</v>
      </c>
      <c r="G221" s="113"/>
      <c r="H221" s="435"/>
      <c r="I221" s="436"/>
      <c r="J221" s="437"/>
      <c r="K221" s="438"/>
      <c r="L221" s="438"/>
      <c r="M221" s="458"/>
      <c r="N221" s="445">
        <f>MateriaisCampo[[#This Row],[UNIT S/IPI S/DESC]]-MateriaisCampo[[#This Row],[UNIT S/IPI S/DESC]]*MateriaisCampo[[#This Row],[% DESC]]</f>
        <v>0</v>
      </c>
      <c r="O221" s="441" t="s">
        <v>295</v>
      </c>
      <c r="P221" s="442" t="s">
        <v>155</v>
      </c>
      <c r="Q221" s="438">
        <v>1.6500000000000001E-2</v>
      </c>
      <c r="R221" s="438">
        <v>7.5999999999999998E-2</v>
      </c>
      <c r="S221" s="443">
        <f>MateriaisCampo[[#This Row],[UNIT S/ IP + DIF ICMS]]*MateriaisCampo[[#This Row],[QUANTIDADE]]</f>
        <v>0</v>
      </c>
      <c r="T221" s="444">
        <f>MateriaisCampo[[#This Row],[TOTAL S/ IPI]]+(MateriaisCampo[[#This Row],[TOTAL S/ IPI]]*MateriaisCampo[[#This Row],[IPI %]])</f>
        <v>0</v>
      </c>
      <c r="U221" s="445">
        <f>IF(AND(MateriaisCampo[[#This Row],[ICMS %]]&lt;&gt;18%,MateriaisCampo[[#This Row],[ORIGEM]]&lt;&gt;"SÃO PAULO"),((18%-MateriaisCampo[[#This Row],[ICMS %]])*MateriaisCampo[[#This Row],[UNIT S/ IPI C/DESC]]),0)</f>
        <v>0</v>
      </c>
      <c r="V221" s="437">
        <f>MateriaisCampo[[#This Row],[UNIT S/ IPI C/DESC]]*MateriaisCampo[[#This Row],[ICMS %]]</f>
        <v>0</v>
      </c>
      <c r="W221" s="437">
        <f>MateriaisCampo[[#This Row],[ICMS $]]*MateriaisCampo[[#This Row],[QUANTIDADE]]</f>
        <v>0</v>
      </c>
      <c r="X221" s="446">
        <f>MateriaisCampo[[#This Row],[UNIT S/ IPI C/DESC]]+MateriaisCampo[[#This Row],[DIFERENCIAL ICMS]]</f>
        <v>0</v>
      </c>
      <c r="Y221" s="446">
        <f>(MateriaisCampo[[#This Row],[PIS]]*MateriaisCampo[[#This Row],[UNIT S/ IPI C/DESC]])/2</f>
        <v>0</v>
      </c>
      <c r="Z221" s="446">
        <f>(MateriaisCampo[[#This Row],[COFINS]]*MateriaisCampo[[#This Row],[UNIT S/ IPI C/DESC]])/2</f>
        <v>0</v>
      </c>
      <c r="AA221" s="445">
        <f>MateriaisCampo[[#This Row],[UNIT S/ IP + DIF ICMS]]+(MateriaisCampo[[#This Row],[UNIT S/ IP + DIF ICMS]]*MateriaisCampo[[#This Row],[IPI %]])</f>
        <v>0</v>
      </c>
      <c r="AB221" s="448">
        <f>_xlfn.XLOOKUP(MateriaisCampo[[#This Row],[FATURAMENTO]],BASE!$U$48:$U$50,BASE!$W$48:$W$50,0,0,1)</f>
        <v>0.79709863947533133</v>
      </c>
      <c r="AC221" s="510" t="str">
        <f>RESUMO!$E$56</f>
        <v>SIM</v>
      </c>
      <c r="AD221" s="449" t="str">
        <f>RESUMO!$E$57</f>
        <v>SIM</v>
      </c>
      <c r="AE22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1" s="450">
        <f>MateriaisCampo[[#This Row],[UNIT CRED]]*MateriaisCampo[[#This Row],[QUANTIDADE]]</f>
        <v>0</v>
      </c>
      <c r="AG221" s="451">
        <f>MateriaisCampo[[#This Row],[TOT CRED]]</f>
        <v>0</v>
      </c>
      <c r="AH221" s="452">
        <f>IF(MateriaisCampo[[#This Row],[QUANTIDADE]]&lt;&gt;0,((MateriaisCampo[[#This Row],[TOT CUSTO]]/MateriaisCampo[[#This Row],[QUANTIDADE]])/MateriaisCampo[[#This Row],[MARK-UP]]),0)</f>
        <v>0</v>
      </c>
      <c r="AI221" s="453">
        <f>MateriaisCampo[[#This Row],[UNIT VENDA]]*MateriaisCampo[[#This Row],[QUANTIDADE]]</f>
        <v>0</v>
      </c>
      <c r="AJ221" s="453">
        <f>IFERROR(MateriaisCampo[[#This Row],[VENDA]]*(RESUMO!$F$55/RESUMO!$F$45),0)</f>
        <v>0</v>
      </c>
      <c r="AK221" s="453">
        <f>IFERROR(MateriaisCampo[[#This Row],[VENDA]]*(RESUMO!$F$58/RESUMO!$F$45),0)</f>
        <v>0</v>
      </c>
      <c r="AL221" s="454">
        <f>IF(MateriaisCampo[[#This Row],[FATURAMENTO]]="NORMAL",MateriaisCampo[[#This Row],[VENDA]],0)</f>
        <v>0</v>
      </c>
    </row>
    <row r="222" spans="1:38" x14ac:dyDescent="0.25">
      <c r="A222" s="113"/>
      <c r="B222" s="113"/>
      <c r="C222" s="113"/>
      <c r="D222" s="113"/>
      <c r="E222" s="434"/>
      <c r="F222" s="434">
        <f t="shared" si="0"/>
        <v>0</v>
      </c>
      <c r="G222" s="113"/>
      <c r="H222" s="435"/>
      <c r="I222" s="436"/>
      <c r="J222" s="437"/>
      <c r="K222" s="438"/>
      <c r="L222" s="438"/>
      <c r="M222" s="458"/>
      <c r="N222" s="445">
        <f>MateriaisCampo[[#This Row],[UNIT S/IPI S/DESC]]-MateriaisCampo[[#This Row],[UNIT S/IPI S/DESC]]*MateriaisCampo[[#This Row],[% DESC]]</f>
        <v>0</v>
      </c>
      <c r="O222" s="441" t="s">
        <v>295</v>
      </c>
      <c r="P222" s="442" t="s">
        <v>155</v>
      </c>
      <c r="Q222" s="438">
        <v>1.6500000000000001E-2</v>
      </c>
      <c r="R222" s="438">
        <v>7.5999999999999998E-2</v>
      </c>
      <c r="S222" s="443">
        <f>MateriaisCampo[[#This Row],[UNIT S/ IP + DIF ICMS]]*MateriaisCampo[[#This Row],[QUANTIDADE]]</f>
        <v>0</v>
      </c>
      <c r="T222" s="444">
        <f>MateriaisCampo[[#This Row],[TOTAL S/ IPI]]+(MateriaisCampo[[#This Row],[TOTAL S/ IPI]]*MateriaisCampo[[#This Row],[IPI %]])</f>
        <v>0</v>
      </c>
      <c r="U222" s="445">
        <f>IF(AND(MateriaisCampo[[#This Row],[ICMS %]]&lt;&gt;18%,MateriaisCampo[[#This Row],[ORIGEM]]&lt;&gt;"SÃO PAULO"),((18%-MateriaisCampo[[#This Row],[ICMS %]])*MateriaisCampo[[#This Row],[UNIT S/ IPI C/DESC]]),0)</f>
        <v>0</v>
      </c>
      <c r="V222" s="437">
        <f>MateriaisCampo[[#This Row],[UNIT S/ IPI C/DESC]]*MateriaisCampo[[#This Row],[ICMS %]]</f>
        <v>0</v>
      </c>
      <c r="W222" s="437">
        <f>MateriaisCampo[[#This Row],[ICMS $]]*MateriaisCampo[[#This Row],[QUANTIDADE]]</f>
        <v>0</v>
      </c>
      <c r="X222" s="446">
        <f>MateriaisCampo[[#This Row],[UNIT S/ IPI C/DESC]]+MateriaisCampo[[#This Row],[DIFERENCIAL ICMS]]</f>
        <v>0</v>
      </c>
      <c r="Y222" s="446">
        <f>(MateriaisCampo[[#This Row],[PIS]]*MateriaisCampo[[#This Row],[UNIT S/ IPI C/DESC]])/2</f>
        <v>0</v>
      </c>
      <c r="Z222" s="446">
        <f>(MateriaisCampo[[#This Row],[COFINS]]*MateriaisCampo[[#This Row],[UNIT S/ IPI C/DESC]])/2</f>
        <v>0</v>
      </c>
      <c r="AA222" s="445">
        <f>MateriaisCampo[[#This Row],[UNIT S/ IP + DIF ICMS]]+(MateriaisCampo[[#This Row],[UNIT S/ IP + DIF ICMS]]*MateriaisCampo[[#This Row],[IPI %]])</f>
        <v>0</v>
      </c>
      <c r="AB222" s="448">
        <f>_xlfn.XLOOKUP(MateriaisCampo[[#This Row],[FATURAMENTO]],BASE!$U$48:$U$50,BASE!$W$48:$W$50,0,0,1)</f>
        <v>0.79709863947533133</v>
      </c>
      <c r="AC222" s="510" t="str">
        <f>RESUMO!$E$56</f>
        <v>SIM</v>
      </c>
      <c r="AD222" s="449" t="str">
        <f>RESUMO!$E$57</f>
        <v>SIM</v>
      </c>
      <c r="AE22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2" s="450">
        <f>MateriaisCampo[[#This Row],[UNIT CRED]]*MateriaisCampo[[#This Row],[QUANTIDADE]]</f>
        <v>0</v>
      </c>
      <c r="AG222" s="451">
        <f>MateriaisCampo[[#This Row],[TOT CRED]]</f>
        <v>0</v>
      </c>
      <c r="AH222" s="452">
        <f>IF(MateriaisCampo[[#This Row],[QUANTIDADE]]&lt;&gt;0,((MateriaisCampo[[#This Row],[TOT CUSTO]]/MateriaisCampo[[#This Row],[QUANTIDADE]])/MateriaisCampo[[#This Row],[MARK-UP]]),0)</f>
        <v>0</v>
      </c>
      <c r="AI222" s="453">
        <f>MateriaisCampo[[#This Row],[UNIT VENDA]]*MateriaisCampo[[#This Row],[QUANTIDADE]]</f>
        <v>0</v>
      </c>
      <c r="AJ222" s="453">
        <f>IFERROR(MateriaisCampo[[#This Row],[VENDA]]*(RESUMO!$F$55/RESUMO!$F$45),0)</f>
        <v>0</v>
      </c>
      <c r="AK222" s="453">
        <f>IFERROR(MateriaisCampo[[#This Row],[VENDA]]*(RESUMO!$F$58/RESUMO!$F$45),0)</f>
        <v>0</v>
      </c>
      <c r="AL222" s="454">
        <f>IF(MateriaisCampo[[#This Row],[FATURAMENTO]]="NORMAL",MateriaisCampo[[#This Row],[VENDA]],0)</f>
        <v>0</v>
      </c>
    </row>
    <row r="223" spans="1:38" x14ac:dyDescent="0.25">
      <c r="A223" s="113"/>
      <c r="B223" s="113"/>
      <c r="C223" s="113"/>
      <c r="D223" s="113"/>
      <c r="E223" s="434"/>
      <c r="F223" s="434">
        <f t="shared" si="0"/>
        <v>0</v>
      </c>
      <c r="G223" s="113"/>
      <c r="H223" s="435"/>
      <c r="I223" s="436"/>
      <c r="J223" s="437"/>
      <c r="K223" s="438"/>
      <c r="L223" s="438"/>
      <c r="M223" s="458"/>
      <c r="N223" s="445">
        <f>MateriaisCampo[[#This Row],[UNIT S/IPI S/DESC]]-MateriaisCampo[[#This Row],[UNIT S/IPI S/DESC]]*MateriaisCampo[[#This Row],[% DESC]]</f>
        <v>0</v>
      </c>
      <c r="O223" s="441" t="s">
        <v>295</v>
      </c>
      <c r="P223" s="442" t="s">
        <v>155</v>
      </c>
      <c r="Q223" s="438">
        <v>1.6500000000000001E-2</v>
      </c>
      <c r="R223" s="438">
        <v>7.5999999999999998E-2</v>
      </c>
      <c r="S223" s="443">
        <f>MateriaisCampo[[#This Row],[UNIT S/ IP + DIF ICMS]]*MateriaisCampo[[#This Row],[QUANTIDADE]]</f>
        <v>0</v>
      </c>
      <c r="T223" s="444">
        <f>MateriaisCampo[[#This Row],[TOTAL S/ IPI]]+(MateriaisCampo[[#This Row],[TOTAL S/ IPI]]*MateriaisCampo[[#This Row],[IPI %]])</f>
        <v>0</v>
      </c>
      <c r="U223" s="445">
        <f>IF(AND(MateriaisCampo[[#This Row],[ICMS %]]&lt;&gt;18%,MateriaisCampo[[#This Row],[ORIGEM]]&lt;&gt;"SÃO PAULO"),((18%-MateriaisCampo[[#This Row],[ICMS %]])*MateriaisCampo[[#This Row],[UNIT S/ IPI C/DESC]]),0)</f>
        <v>0</v>
      </c>
      <c r="V223" s="437">
        <f>MateriaisCampo[[#This Row],[UNIT S/ IPI C/DESC]]*MateriaisCampo[[#This Row],[ICMS %]]</f>
        <v>0</v>
      </c>
      <c r="W223" s="437">
        <f>MateriaisCampo[[#This Row],[ICMS $]]*MateriaisCampo[[#This Row],[QUANTIDADE]]</f>
        <v>0</v>
      </c>
      <c r="X223" s="446">
        <f>MateriaisCampo[[#This Row],[UNIT S/ IPI C/DESC]]+MateriaisCampo[[#This Row],[DIFERENCIAL ICMS]]</f>
        <v>0</v>
      </c>
      <c r="Y223" s="446">
        <f>(MateriaisCampo[[#This Row],[PIS]]*MateriaisCampo[[#This Row],[UNIT S/ IPI C/DESC]])/2</f>
        <v>0</v>
      </c>
      <c r="Z223" s="446">
        <f>(MateriaisCampo[[#This Row],[COFINS]]*MateriaisCampo[[#This Row],[UNIT S/ IPI C/DESC]])/2</f>
        <v>0</v>
      </c>
      <c r="AA223" s="445">
        <f>MateriaisCampo[[#This Row],[UNIT S/ IP + DIF ICMS]]+(MateriaisCampo[[#This Row],[UNIT S/ IP + DIF ICMS]]*MateriaisCampo[[#This Row],[IPI %]])</f>
        <v>0</v>
      </c>
      <c r="AB223" s="448">
        <f>_xlfn.XLOOKUP(MateriaisCampo[[#This Row],[FATURAMENTO]],BASE!$U$48:$U$50,BASE!$W$48:$W$50,0,0,1)</f>
        <v>0.79709863947533133</v>
      </c>
      <c r="AC223" s="510" t="str">
        <f>RESUMO!$E$56</f>
        <v>SIM</v>
      </c>
      <c r="AD223" s="449" t="str">
        <f>RESUMO!$E$57</f>
        <v>SIM</v>
      </c>
      <c r="AE22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3" s="450">
        <f>MateriaisCampo[[#This Row],[UNIT CRED]]*MateriaisCampo[[#This Row],[QUANTIDADE]]</f>
        <v>0</v>
      </c>
      <c r="AG223" s="451">
        <f>MateriaisCampo[[#This Row],[TOT CRED]]</f>
        <v>0</v>
      </c>
      <c r="AH223" s="452">
        <f>IF(MateriaisCampo[[#This Row],[QUANTIDADE]]&lt;&gt;0,((MateriaisCampo[[#This Row],[TOT CUSTO]]/MateriaisCampo[[#This Row],[QUANTIDADE]])/MateriaisCampo[[#This Row],[MARK-UP]]),0)</f>
        <v>0</v>
      </c>
      <c r="AI223" s="453">
        <f>MateriaisCampo[[#This Row],[UNIT VENDA]]*MateriaisCampo[[#This Row],[QUANTIDADE]]</f>
        <v>0</v>
      </c>
      <c r="AJ223" s="453">
        <f>IFERROR(MateriaisCampo[[#This Row],[VENDA]]*(RESUMO!$F$55/RESUMO!$F$45),0)</f>
        <v>0</v>
      </c>
      <c r="AK223" s="453">
        <f>IFERROR(MateriaisCampo[[#This Row],[VENDA]]*(RESUMO!$F$58/RESUMO!$F$45),0)</f>
        <v>0</v>
      </c>
      <c r="AL223" s="454">
        <f>IF(MateriaisCampo[[#This Row],[FATURAMENTO]]="NORMAL",MateriaisCampo[[#This Row],[VENDA]],0)</f>
        <v>0</v>
      </c>
    </row>
    <row r="224" spans="1:38" x14ac:dyDescent="0.25">
      <c r="A224" s="113"/>
      <c r="B224" s="113"/>
      <c r="C224" s="113"/>
      <c r="D224" s="113"/>
      <c r="E224" s="434"/>
      <c r="F224" s="434">
        <f t="shared" si="0"/>
        <v>0</v>
      </c>
      <c r="G224" s="113"/>
      <c r="H224" s="435"/>
      <c r="I224" s="436"/>
      <c r="J224" s="437"/>
      <c r="K224" s="438"/>
      <c r="L224" s="438"/>
      <c r="M224" s="458"/>
      <c r="N224" s="445">
        <f>MateriaisCampo[[#This Row],[UNIT S/IPI S/DESC]]-MateriaisCampo[[#This Row],[UNIT S/IPI S/DESC]]*MateriaisCampo[[#This Row],[% DESC]]</f>
        <v>0</v>
      </c>
      <c r="O224" s="441" t="s">
        <v>295</v>
      </c>
      <c r="P224" s="442" t="s">
        <v>155</v>
      </c>
      <c r="Q224" s="438">
        <v>1.6500000000000001E-2</v>
      </c>
      <c r="R224" s="438">
        <v>7.5999999999999998E-2</v>
      </c>
      <c r="S224" s="443">
        <f>MateriaisCampo[[#This Row],[UNIT S/ IP + DIF ICMS]]*MateriaisCampo[[#This Row],[QUANTIDADE]]</f>
        <v>0</v>
      </c>
      <c r="T224" s="444">
        <f>MateriaisCampo[[#This Row],[TOTAL S/ IPI]]+(MateriaisCampo[[#This Row],[TOTAL S/ IPI]]*MateriaisCampo[[#This Row],[IPI %]])</f>
        <v>0</v>
      </c>
      <c r="U224" s="445">
        <f>IF(AND(MateriaisCampo[[#This Row],[ICMS %]]&lt;&gt;18%,MateriaisCampo[[#This Row],[ORIGEM]]&lt;&gt;"SÃO PAULO"),((18%-MateriaisCampo[[#This Row],[ICMS %]])*MateriaisCampo[[#This Row],[UNIT S/ IPI C/DESC]]),0)</f>
        <v>0</v>
      </c>
      <c r="V224" s="437">
        <f>MateriaisCampo[[#This Row],[UNIT S/ IPI C/DESC]]*MateriaisCampo[[#This Row],[ICMS %]]</f>
        <v>0</v>
      </c>
      <c r="W224" s="437">
        <f>MateriaisCampo[[#This Row],[ICMS $]]*MateriaisCampo[[#This Row],[QUANTIDADE]]</f>
        <v>0</v>
      </c>
      <c r="X224" s="446">
        <f>MateriaisCampo[[#This Row],[UNIT S/ IPI C/DESC]]+MateriaisCampo[[#This Row],[DIFERENCIAL ICMS]]</f>
        <v>0</v>
      </c>
      <c r="Y224" s="446">
        <f>(MateriaisCampo[[#This Row],[PIS]]*MateriaisCampo[[#This Row],[UNIT S/ IPI C/DESC]])/2</f>
        <v>0</v>
      </c>
      <c r="Z224" s="446">
        <f>(MateriaisCampo[[#This Row],[COFINS]]*MateriaisCampo[[#This Row],[UNIT S/ IPI C/DESC]])/2</f>
        <v>0</v>
      </c>
      <c r="AA224" s="445">
        <f>MateriaisCampo[[#This Row],[UNIT S/ IP + DIF ICMS]]+(MateriaisCampo[[#This Row],[UNIT S/ IP + DIF ICMS]]*MateriaisCampo[[#This Row],[IPI %]])</f>
        <v>0</v>
      </c>
      <c r="AB224" s="448">
        <f>_xlfn.XLOOKUP(MateriaisCampo[[#This Row],[FATURAMENTO]],BASE!$U$48:$U$50,BASE!$W$48:$W$50,0,0,1)</f>
        <v>0.79709863947533133</v>
      </c>
      <c r="AC224" s="510" t="str">
        <f>RESUMO!$E$56</f>
        <v>SIM</v>
      </c>
      <c r="AD224" s="449" t="str">
        <f>RESUMO!$E$57</f>
        <v>SIM</v>
      </c>
      <c r="AE22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4" s="450">
        <f>MateriaisCampo[[#This Row],[UNIT CRED]]*MateriaisCampo[[#This Row],[QUANTIDADE]]</f>
        <v>0</v>
      </c>
      <c r="AG224" s="451">
        <f>MateriaisCampo[[#This Row],[TOT CRED]]</f>
        <v>0</v>
      </c>
      <c r="AH224" s="452">
        <f>IF(MateriaisCampo[[#This Row],[QUANTIDADE]]&lt;&gt;0,((MateriaisCampo[[#This Row],[TOT CUSTO]]/MateriaisCampo[[#This Row],[QUANTIDADE]])/MateriaisCampo[[#This Row],[MARK-UP]]),0)</f>
        <v>0</v>
      </c>
      <c r="AI224" s="453">
        <f>MateriaisCampo[[#This Row],[UNIT VENDA]]*MateriaisCampo[[#This Row],[QUANTIDADE]]</f>
        <v>0</v>
      </c>
      <c r="AJ224" s="453">
        <f>IFERROR(MateriaisCampo[[#This Row],[VENDA]]*(RESUMO!$F$55/RESUMO!$F$45),0)</f>
        <v>0</v>
      </c>
      <c r="AK224" s="453">
        <f>IFERROR(MateriaisCampo[[#This Row],[VENDA]]*(RESUMO!$F$58/RESUMO!$F$45),0)</f>
        <v>0</v>
      </c>
      <c r="AL224" s="454">
        <f>IF(MateriaisCampo[[#This Row],[FATURAMENTO]]="NORMAL",MateriaisCampo[[#This Row],[VENDA]],0)</f>
        <v>0</v>
      </c>
    </row>
    <row r="225" spans="1:38" x14ac:dyDescent="0.25">
      <c r="A225" s="113"/>
      <c r="B225" s="113"/>
      <c r="C225" s="113"/>
      <c r="D225" s="113"/>
      <c r="E225" s="434"/>
      <c r="F225" s="434">
        <f t="shared" si="0"/>
        <v>0</v>
      </c>
      <c r="G225" s="113"/>
      <c r="H225" s="435"/>
      <c r="I225" s="436"/>
      <c r="J225" s="437"/>
      <c r="K225" s="438"/>
      <c r="L225" s="438"/>
      <c r="M225" s="458"/>
      <c r="N225" s="445">
        <f>MateriaisCampo[[#This Row],[UNIT S/IPI S/DESC]]-MateriaisCampo[[#This Row],[UNIT S/IPI S/DESC]]*MateriaisCampo[[#This Row],[% DESC]]</f>
        <v>0</v>
      </c>
      <c r="O225" s="441" t="s">
        <v>295</v>
      </c>
      <c r="P225" s="442" t="s">
        <v>155</v>
      </c>
      <c r="Q225" s="438">
        <v>1.6500000000000001E-2</v>
      </c>
      <c r="R225" s="438">
        <v>7.5999999999999998E-2</v>
      </c>
      <c r="S225" s="443">
        <f>MateriaisCampo[[#This Row],[UNIT S/ IP + DIF ICMS]]*MateriaisCampo[[#This Row],[QUANTIDADE]]</f>
        <v>0</v>
      </c>
      <c r="T225" s="444">
        <f>MateriaisCampo[[#This Row],[TOTAL S/ IPI]]+(MateriaisCampo[[#This Row],[TOTAL S/ IPI]]*MateriaisCampo[[#This Row],[IPI %]])</f>
        <v>0</v>
      </c>
      <c r="U225" s="445">
        <f>IF(AND(MateriaisCampo[[#This Row],[ICMS %]]&lt;&gt;18%,MateriaisCampo[[#This Row],[ORIGEM]]&lt;&gt;"SÃO PAULO"),((18%-MateriaisCampo[[#This Row],[ICMS %]])*MateriaisCampo[[#This Row],[UNIT S/ IPI C/DESC]]),0)</f>
        <v>0</v>
      </c>
      <c r="V225" s="437">
        <f>MateriaisCampo[[#This Row],[UNIT S/ IPI C/DESC]]*MateriaisCampo[[#This Row],[ICMS %]]</f>
        <v>0</v>
      </c>
      <c r="W225" s="437">
        <f>MateriaisCampo[[#This Row],[ICMS $]]*MateriaisCampo[[#This Row],[QUANTIDADE]]</f>
        <v>0</v>
      </c>
      <c r="X225" s="446">
        <f>MateriaisCampo[[#This Row],[UNIT S/ IPI C/DESC]]+MateriaisCampo[[#This Row],[DIFERENCIAL ICMS]]</f>
        <v>0</v>
      </c>
      <c r="Y225" s="446">
        <f>(MateriaisCampo[[#This Row],[PIS]]*MateriaisCampo[[#This Row],[UNIT S/ IPI C/DESC]])/2</f>
        <v>0</v>
      </c>
      <c r="Z225" s="446">
        <f>(MateriaisCampo[[#This Row],[COFINS]]*MateriaisCampo[[#This Row],[UNIT S/ IPI C/DESC]])/2</f>
        <v>0</v>
      </c>
      <c r="AA225" s="445">
        <f>MateriaisCampo[[#This Row],[UNIT S/ IP + DIF ICMS]]+(MateriaisCampo[[#This Row],[UNIT S/ IP + DIF ICMS]]*MateriaisCampo[[#This Row],[IPI %]])</f>
        <v>0</v>
      </c>
      <c r="AB225" s="448">
        <f>_xlfn.XLOOKUP(MateriaisCampo[[#This Row],[FATURAMENTO]],BASE!$U$48:$U$50,BASE!$W$48:$W$50,0,0,1)</f>
        <v>0.79709863947533133</v>
      </c>
      <c r="AC225" s="510" t="str">
        <f>RESUMO!$E$56</f>
        <v>SIM</v>
      </c>
      <c r="AD225" s="449" t="str">
        <f>RESUMO!$E$57</f>
        <v>SIM</v>
      </c>
      <c r="AE22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5" s="450">
        <f>MateriaisCampo[[#This Row],[UNIT CRED]]*MateriaisCampo[[#This Row],[QUANTIDADE]]</f>
        <v>0</v>
      </c>
      <c r="AG225" s="451">
        <f>MateriaisCampo[[#This Row],[TOT CRED]]</f>
        <v>0</v>
      </c>
      <c r="AH225" s="452">
        <f>IF(MateriaisCampo[[#This Row],[QUANTIDADE]]&lt;&gt;0,((MateriaisCampo[[#This Row],[TOT CUSTO]]/MateriaisCampo[[#This Row],[QUANTIDADE]])/MateriaisCampo[[#This Row],[MARK-UP]]),0)</f>
        <v>0</v>
      </c>
      <c r="AI225" s="453">
        <f>MateriaisCampo[[#This Row],[UNIT VENDA]]*MateriaisCampo[[#This Row],[QUANTIDADE]]</f>
        <v>0</v>
      </c>
      <c r="AJ225" s="453">
        <f>IFERROR(MateriaisCampo[[#This Row],[VENDA]]*(RESUMO!$F$55/RESUMO!$F$45),0)</f>
        <v>0</v>
      </c>
      <c r="AK225" s="453">
        <f>IFERROR(MateriaisCampo[[#This Row],[VENDA]]*(RESUMO!$F$58/RESUMO!$F$45),0)</f>
        <v>0</v>
      </c>
      <c r="AL225" s="454">
        <f>IF(MateriaisCampo[[#This Row],[FATURAMENTO]]="NORMAL",MateriaisCampo[[#This Row],[VENDA]],0)</f>
        <v>0</v>
      </c>
    </row>
    <row r="226" spans="1:38" x14ac:dyDescent="0.25">
      <c r="A226" s="113"/>
      <c r="B226" s="113"/>
      <c r="C226" s="113"/>
      <c r="D226" s="113"/>
      <c r="E226" s="434"/>
      <c r="F226" s="434">
        <f t="shared" si="0"/>
        <v>0</v>
      </c>
      <c r="G226" s="113"/>
      <c r="H226" s="435"/>
      <c r="I226" s="436"/>
      <c r="J226" s="437"/>
      <c r="K226" s="438"/>
      <c r="L226" s="438"/>
      <c r="M226" s="458"/>
      <c r="N226" s="445">
        <f>MateriaisCampo[[#This Row],[UNIT S/IPI S/DESC]]-MateriaisCampo[[#This Row],[UNIT S/IPI S/DESC]]*MateriaisCampo[[#This Row],[% DESC]]</f>
        <v>0</v>
      </c>
      <c r="O226" s="441" t="s">
        <v>295</v>
      </c>
      <c r="P226" s="442" t="s">
        <v>155</v>
      </c>
      <c r="Q226" s="438">
        <v>1.6500000000000001E-2</v>
      </c>
      <c r="R226" s="438">
        <v>7.5999999999999998E-2</v>
      </c>
      <c r="S226" s="443">
        <f>MateriaisCampo[[#This Row],[UNIT S/ IP + DIF ICMS]]*MateriaisCampo[[#This Row],[QUANTIDADE]]</f>
        <v>0</v>
      </c>
      <c r="T226" s="444">
        <f>MateriaisCampo[[#This Row],[TOTAL S/ IPI]]+(MateriaisCampo[[#This Row],[TOTAL S/ IPI]]*MateriaisCampo[[#This Row],[IPI %]])</f>
        <v>0</v>
      </c>
      <c r="U226" s="445">
        <f>IF(AND(MateriaisCampo[[#This Row],[ICMS %]]&lt;&gt;18%,MateriaisCampo[[#This Row],[ORIGEM]]&lt;&gt;"SÃO PAULO"),((18%-MateriaisCampo[[#This Row],[ICMS %]])*MateriaisCampo[[#This Row],[UNIT S/ IPI C/DESC]]),0)</f>
        <v>0</v>
      </c>
      <c r="V226" s="437">
        <f>MateriaisCampo[[#This Row],[UNIT S/ IPI C/DESC]]*MateriaisCampo[[#This Row],[ICMS %]]</f>
        <v>0</v>
      </c>
      <c r="W226" s="437">
        <f>MateriaisCampo[[#This Row],[ICMS $]]*MateriaisCampo[[#This Row],[QUANTIDADE]]</f>
        <v>0</v>
      </c>
      <c r="X226" s="446">
        <f>MateriaisCampo[[#This Row],[UNIT S/ IPI C/DESC]]+MateriaisCampo[[#This Row],[DIFERENCIAL ICMS]]</f>
        <v>0</v>
      </c>
      <c r="Y226" s="446">
        <f>(MateriaisCampo[[#This Row],[PIS]]*MateriaisCampo[[#This Row],[UNIT S/ IPI C/DESC]])/2</f>
        <v>0</v>
      </c>
      <c r="Z226" s="446">
        <f>(MateriaisCampo[[#This Row],[COFINS]]*MateriaisCampo[[#This Row],[UNIT S/ IPI C/DESC]])/2</f>
        <v>0</v>
      </c>
      <c r="AA226" s="445">
        <f>MateriaisCampo[[#This Row],[UNIT S/ IP + DIF ICMS]]+(MateriaisCampo[[#This Row],[UNIT S/ IP + DIF ICMS]]*MateriaisCampo[[#This Row],[IPI %]])</f>
        <v>0</v>
      </c>
      <c r="AB226" s="448">
        <f>_xlfn.XLOOKUP(MateriaisCampo[[#This Row],[FATURAMENTO]],BASE!$U$48:$U$50,BASE!$W$48:$W$50,0,0,1)</f>
        <v>0.79709863947533133</v>
      </c>
      <c r="AC226" s="510" t="str">
        <f>RESUMO!$E$56</f>
        <v>SIM</v>
      </c>
      <c r="AD226" s="449" t="str">
        <f>RESUMO!$E$57</f>
        <v>SIM</v>
      </c>
      <c r="AE22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6" s="450">
        <f>MateriaisCampo[[#This Row],[UNIT CRED]]*MateriaisCampo[[#This Row],[QUANTIDADE]]</f>
        <v>0</v>
      </c>
      <c r="AG226" s="451">
        <f>MateriaisCampo[[#This Row],[TOT CRED]]</f>
        <v>0</v>
      </c>
      <c r="AH226" s="452">
        <f>IF(MateriaisCampo[[#This Row],[QUANTIDADE]]&lt;&gt;0,((MateriaisCampo[[#This Row],[TOT CUSTO]]/MateriaisCampo[[#This Row],[QUANTIDADE]])/MateriaisCampo[[#This Row],[MARK-UP]]),0)</f>
        <v>0</v>
      </c>
      <c r="AI226" s="453">
        <f>MateriaisCampo[[#This Row],[UNIT VENDA]]*MateriaisCampo[[#This Row],[QUANTIDADE]]</f>
        <v>0</v>
      </c>
      <c r="AJ226" s="453">
        <f>IFERROR(MateriaisCampo[[#This Row],[VENDA]]*(RESUMO!$F$55/RESUMO!$F$45),0)</f>
        <v>0</v>
      </c>
      <c r="AK226" s="453">
        <f>IFERROR(MateriaisCampo[[#This Row],[VENDA]]*(RESUMO!$F$58/RESUMO!$F$45),0)</f>
        <v>0</v>
      </c>
      <c r="AL226" s="454">
        <f>IF(MateriaisCampo[[#This Row],[FATURAMENTO]]="NORMAL",MateriaisCampo[[#This Row],[VENDA]],0)</f>
        <v>0</v>
      </c>
    </row>
    <row r="227" spans="1:38" x14ac:dyDescent="0.25">
      <c r="A227" s="113"/>
      <c r="B227" s="113"/>
      <c r="C227" s="113"/>
      <c r="D227" s="113"/>
      <c r="E227" s="434"/>
      <c r="F227" s="434">
        <f t="shared" si="0"/>
        <v>0</v>
      </c>
      <c r="G227" s="113"/>
      <c r="H227" s="435"/>
      <c r="I227" s="436"/>
      <c r="J227" s="437"/>
      <c r="K227" s="438"/>
      <c r="L227" s="438"/>
      <c r="M227" s="458"/>
      <c r="N227" s="445">
        <f>MateriaisCampo[[#This Row],[UNIT S/IPI S/DESC]]-MateriaisCampo[[#This Row],[UNIT S/IPI S/DESC]]*MateriaisCampo[[#This Row],[% DESC]]</f>
        <v>0</v>
      </c>
      <c r="O227" s="441" t="s">
        <v>295</v>
      </c>
      <c r="P227" s="442" t="s">
        <v>155</v>
      </c>
      <c r="Q227" s="438">
        <v>1.6500000000000001E-2</v>
      </c>
      <c r="R227" s="438">
        <v>7.5999999999999998E-2</v>
      </c>
      <c r="S227" s="443">
        <f>MateriaisCampo[[#This Row],[UNIT S/ IP + DIF ICMS]]*MateriaisCampo[[#This Row],[QUANTIDADE]]</f>
        <v>0</v>
      </c>
      <c r="T227" s="444">
        <f>MateriaisCampo[[#This Row],[TOTAL S/ IPI]]+(MateriaisCampo[[#This Row],[TOTAL S/ IPI]]*MateriaisCampo[[#This Row],[IPI %]])</f>
        <v>0</v>
      </c>
      <c r="U227" s="445">
        <f>IF(AND(MateriaisCampo[[#This Row],[ICMS %]]&lt;&gt;18%,MateriaisCampo[[#This Row],[ORIGEM]]&lt;&gt;"SÃO PAULO"),((18%-MateriaisCampo[[#This Row],[ICMS %]])*MateriaisCampo[[#This Row],[UNIT S/ IPI C/DESC]]),0)</f>
        <v>0</v>
      </c>
      <c r="V227" s="437">
        <f>MateriaisCampo[[#This Row],[UNIT S/ IPI C/DESC]]*MateriaisCampo[[#This Row],[ICMS %]]</f>
        <v>0</v>
      </c>
      <c r="W227" s="437">
        <f>MateriaisCampo[[#This Row],[ICMS $]]*MateriaisCampo[[#This Row],[QUANTIDADE]]</f>
        <v>0</v>
      </c>
      <c r="X227" s="446">
        <f>MateriaisCampo[[#This Row],[UNIT S/ IPI C/DESC]]+MateriaisCampo[[#This Row],[DIFERENCIAL ICMS]]</f>
        <v>0</v>
      </c>
      <c r="Y227" s="446">
        <f>(MateriaisCampo[[#This Row],[PIS]]*MateriaisCampo[[#This Row],[UNIT S/ IPI C/DESC]])/2</f>
        <v>0</v>
      </c>
      <c r="Z227" s="446">
        <f>(MateriaisCampo[[#This Row],[COFINS]]*MateriaisCampo[[#This Row],[UNIT S/ IPI C/DESC]])/2</f>
        <v>0</v>
      </c>
      <c r="AA227" s="445">
        <f>MateriaisCampo[[#This Row],[UNIT S/ IP + DIF ICMS]]+(MateriaisCampo[[#This Row],[UNIT S/ IP + DIF ICMS]]*MateriaisCampo[[#This Row],[IPI %]])</f>
        <v>0</v>
      </c>
      <c r="AB227" s="448">
        <f>_xlfn.XLOOKUP(MateriaisCampo[[#This Row],[FATURAMENTO]],BASE!$U$48:$U$50,BASE!$W$48:$W$50,0,0,1)</f>
        <v>0.79709863947533133</v>
      </c>
      <c r="AC227" s="510" t="str">
        <f>RESUMO!$E$56</f>
        <v>SIM</v>
      </c>
      <c r="AD227" s="449" t="str">
        <f>RESUMO!$E$57</f>
        <v>SIM</v>
      </c>
      <c r="AE22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7" s="450">
        <f>MateriaisCampo[[#This Row],[UNIT CRED]]*MateriaisCampo[[#This Row],[QUANTIDADE]]</f>
        <v>0</v>
      </c>
      <c r="AG227" s="451">
        <f>MateriaisCampo[[#This Row],[TOT CRED]]</f>
        <v>0</v>
      </c>
      <c r="AH227" s="452">
        <f>IF(MateriaisCampo[[#This Row],[QUANTIDADE]]&lt;&gt;0,((MateriaisCampo[[#This Row],[TOT CUSTO]]/MateriaisCampo[[#This Row],[QUANTIDADE]])/MateriaisCampo[[#This Row],[MARK-UP]]),0)</f>
        <v>0</v>
      </c>
      <c r="AI227" s="453">
        <f>MateriaisCampo[[#This Row],[UNIT VENDA]]*MateriaisCampo[[#This Row],[QUANTIDADE]]</f>
        <v>0</v>
      </c>
      <c r="AJ227" s="453">
        <f>IFERROR(MateriaisCampo[[#This Row],[VENDA]]*(RESUMO!$F$55/RESUMO!$F$45),0)</f>
        <v>0</v>
      </c>
      <c r="AK227" s="453">
        <f>IFERROR(MateriaisCampo[[#This Row],[VENDA]]*(RESUMO!$F$58/RESUMO!$F$45),0)</f>
        <v>0</v>
      </c>
      <c r="AL227" s="454">
        <f>IF(MateriaisCampo[[#This Row],[FATURAMENTO]]="NORMAL",MateriaisCampo[[#This Row],[VENDA]],0)</f>
        <v>0</v>
      </c>
    </row>
    <row r="228" spans="1:38" x14ac:dyDescent="0.25">
      <c r="A228" s="113"/>
      <c r="B228" s="113"/>
      <c r="C228" s="113"/>
      <c r="D228" s="113"/>
      <c r="E228" s="434"/>
      <c r="F228" s="434">
        <f t="shared" si="0"/>
        <v>0</v>
      </c>
      <c r="G228" s="113"/>
      <c r="H228" s="435"/>
      <c r="I228" s="436"/>
      <c r="J228" s="437"/>
      <c r="K228" s="438"/>
      <c r="L228" s="438"/>
      <c r="M228" s="458"/>
      <c r="N228" s="445">
        <f>MateriaisCampo[[#This Row],[UNIT S/IPI S/DESC]]-MateriaisCampo[[#This Row],[UNIT S/IPI S/DESC]]*MateriaisCampo[[#This Row],[% DESC]]</f>
        <v>0</v>
      </c>
      <c r="O228" s="441" t="s">
        <v>295</v>
      </c>
      <c r="P228" s="442" t="s">
        <v>155</v>
      </c>
      <c r="Q228" s="438">
        <v>1.6500000000000001E-2</v>
      </c>
      <c r="R228" s="438">
        <v>7.5999999999999998E-2</v>
      </c>
      <c r="S228" s="443">
        <f>MateriaisCampo[[#This Row],[UNIT S/ IP + DIF ICMS]]*MateriaisCampo[[#This Row],[QUANTIDADE]]</f>
        <v>0</v>
      </c>
      <c r="T228" s="444">
        <f>MateriaisCampo[[#This Row],[TOTAL S/ IPI]]+(MateriaisCampo[[#This Row],[TOTAL S/ IPI]]*MateriaisCampo[[#This Row],[IPI %]])</f>
        <v>0</v>
      </c>
      <c r="U228" s="445">
        <f>IF(AND(MateriaisCampo[[#This Row],[ICMS %]]&lt;&gt;18%,MateriaisCampo[[#This Row],[ORIGEM]]&lt;&gt;"SÃO PAULO"),((18%-MateriaisCampo[[#This Row],[ICMS %]])*MateriaisCampo[[#This Row],[UNIT S/ IPI C/DESC]]),0)</f>
        <v>0</v>
      </c>
      <c r="V228" s="437">
        <f>MateriaisCampo[[#This Row],[UNIT S/ IPI C/DESC]]*MateriaisCampo[[#This Row],[ICMS %]]</f>
        <v>0</v>
      </c>
      <c r="W228" s="437">
        <f>MateriaisCampo[[#This Row],[ICMS $]]*MateriaisCampo[[#This Row],[QUANTIDADE]]</f>
        <v>0</v>
      </c>
      <c r="X228" s="446">
        <f>MateriaisCampo[[#This Row],[UNIT S/ IPI C/DESC]]+MateriaisCampo[[#This Row],[DIFERENCIAL ICMS]]</f>
        <v>0</v>
      </c>
      <c r="Y228" s="446">
        <f>(MateriaisCampo[[#This Row],[PIS]]*MateriaisCampo[[#This Row],[UNIT S/ IPI C/DESC]])/2</f>
        <v>0</v>
      </c>
      <c r="Z228" s="446">
        <f>(MateriaisCampo[[#This Row],[COFINS]]*MateriaisCampo[[#This Row],[UNIT S/ IPI C/DESC]])/2</f>
        <v>0</v>
      </c>
      <c r="AA228" s="445">
        <f>MateriaisCampo[[#This Row],[UNIT S/ IP + DIF ICMS]]+(MateriaisCampo[[#This Row],[UNIT S/ IP + DIF ICMS]]*MateriaisCampo[[#This Row],[IPI %]])</f>
        <v>0</v>
      </c>
      <c r="AB228" s="448">
        <f>_xlfn.XLOOKUP(MateriaisCampo[[#This Row],[FATURAMENTO]],BASE!$U$48:$U$50,BASE!$W$48:$W$50,0,0,1)</f>
        <v>0.79709863947533133</v>
      </c>
      <c r="AC228" s="510" t="str">
        <f>RESUMO!$E$56</f>
        <v>SIM</v>
      </c>
      <c r="AD228" s="449" t="str">
        <f>RESUMO!$E$57</f>
        <v>SIM</v>
      </c>
      <c r="AE22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8" s="450">
        <f>MateriaisCampo[[#This Row],[UNIT CRED]]*MateriaisCampo[[#This Row],[QUANTIDADE]]</f>
        <v>0</v>
      </c>
      <c r="AG228" s="451">
        <f>MateriaisCampo[[#This Row],[TOT CRED]]</f>
        <v>0</v>
      </c>
      <c r="AH228" s="452">
        <f>IF(MateriaisCampo[[#This Row],[QUANTIDADE]]&lt;&gt;0,((MateriaisCampo[[#This Row],[TOT CUSTO]]/MateriaisCampo[[#This Row],[QUANTIDADE]])/MateriaisCampo[[#This Row],[MARK-UP]]),0)</f>
        <v>0</v>
      </c>
      <c r="AI228" s="453">
        <f>MateriaisCampo[[#This Row],[UNIT VENDA]]*MateriaisCampo[[#This Row],[QUANTIDADE]]</f>
        <v>0</v>
      </c>
      <c r="AJ228" s="453">
        <f>IFERROR(MateriaisCampo[[#This Row],[VENDA]]*(RESUMO!$F$55/RESUMO!$F$45),0)</f>
        <v>0</v>
      </c>
      <c r="AK228" s="453">
        <f>IFERROR(MateriaisCampo[[#This Row],[VENDA]]*(RESUMO!$F$58/RESUMO!$F$45),0)</f>
        <v>0</v>
      </c>
      <c r="AL228" s="454">
        <f>IF(MateriaisCampo[[#This Row],[FATURAMENTO]]="NORMAL",MateriaisCampo[[#This Row],[VENDA]],0)</f>
        <v>0</v>
      </c>
    </row>
    <row r="229" spans="1:38" x14ac:dyDescent="0.25">
      <c r="A229" s="113"/>
      <c r="B229" s="113"/>
      <c r="C229" s="113"/>
      <c r="D229" s="113"/>
      <c r="E229" s="434"/>
      <c r="F229" s="434">
        <f t="shared" si="0"/>
        <v>0</v>
      </c>
      <c r="G229" s="113"/>
      <c r="H229" s="435"/>
      <c r="I229" s="436"/>
      <c r="J229" s="437"/>
      <c r="K229" s="438"/>
      <c r="L229" s="438"/>
      <c r="M229" s="458"/>
      <c r="N229" s="445">
        <f>MateriaisCampo[[#This Row],[UNIT S/IPI S/DESC]]-MateriaisCampo[[#This Row],[UNIT S/IPI S/DESC]]*MateriaisCampo[[#This Row],[% DESC]]</f>
        <v>0</v>
      </c>
      <c r="O229" s="441" t="s">
        <v>295</v>
      </c>
      <c r="P229" s="442" t="s">
        <v>155</v>
      </c>
      <c r="Q229" s="438">
        <v>1.6500000000000001E-2</v>
      </c>
      <c r="R229" s="438">
        <v>7.5999999999999998E-2</v>
      </c>
      <c r="S229" s="443">
        <f>MateriaisCampo[[#This Row],[UNIT S/ IP + DIF ICMS]]*MateriaisCampo[[#This Row],[QUANTIDADE]]</f>
        <v>0</v>
      </c>
      <c r="T229" s="444">
        <f>MateriaisCampo[[#This Row],[TOTAL S/ IPI]]+(MateriaisCampo[[#This Row],[TOTAL S/ IPI]]*MateriaisCampo[[#This Row],[IPI %]])</f>
        <v>0</v>
      </c>
      <c r="U229" s="445">
        <f>IF(AND(MateriaisCampo[[#This Row],[ICMS %]]&lt;&gt;18%,MateriaisCampo[[#This Row],[ORIGEM]]&lt;&gt;"SÃO PAULO"),((18%-MateriaisCampo[[#This Row],[ICMS %]])*MateriaisCampo[[#This Row],[UNIT S/ IPI C/DESC]]),0)</f>
        <v>0</v>
      </c>
      <c r="V229" s="437">
        <f>MateriaisCampo[[#This Row],[UNIT S/ IPI C/DESC]]*MateriaisCampo[[#This Row],[ICMS %]]</f>
        <v>0</v>
      </c>
      <c r="W229" s="437">
        <f>MateriaisCampo[[#This Row],[ICMS $]]*MateriaisCampo[[#This Row],[QUANTIDADE]]</f>
        <v>0</v>
      </c>
      <c r="X229" s="446">
        <f>MateriaisCampo[[#This Row],[UNIT S/ IPI C/DESC]]+MateriaisCampo[[#This Row],[DIFERENCIAL ICMS]]</f>
        <v>0</v>
      </c>
      <c r="Y229" s="446">
        <f>(MateriaisCampo[[#This Row],[PIS]]*MateriaisCampo[[#This Row],[UNIT S/ IPI C/DESC]])/2</f>
        <v>0</v>
      </c>
      <c r="Z229" s="446">
        <f>(MateriaisCampo[[#This Row],[COFINS]]*MateriaisCampo[[#This Row],[UNIT S/ IPI C/DESC]])/2</f>
        <v>0</v>
      </c>
      <c r="AA229" s="445">
        <f>MateriaisCampo[[#This Row],[UNIT S/ IP + DIF ICMS]]+(MateriaisCampo[[#This Row],[UNIT S/ IP + DIF ICMS]]*MateriaisCampo[[#This Row],[IPI %]])</f>
        <v>0</v>
      </c>
      <c r="AB229" s="448">
        <f>_xlfn.XLOOKUP(MateriaisCampo[[#This Row],[FATURAMENTO]],BASE!$U$48:$U$50,BASE!$W$48:$W$50,0,0,1)</f>
        <v>0.79709863947533133</v>
      </c>
      <c r="AC229" s="510" t="str">
        <f>RESUMO!$E$56</f>
        <v>SIM</v>
      </c>
      <c r="AD229" s="449" t="str">
        <f>RESUMO!$E$57</f>
        <v>SIM</v>
      </c>
      <c r="AE22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29" s="450">
        <f>MateriaisCampo[[#This Row],[UNIT CRED]]*MateriaisCampo[[#This Row],[QUANTIDADE]]</f>
        <v>0</v>
      </c>
      <c r="AG229" s="451">
        <f>MateriaisCampo[[#This Row],[TOT CRED]]</f>
        <v>0</v>
      </c>
      <c r="AH229" s="452">
        <f>IF(MateriaisCampo[[#This Row],[QUANTIDADE]]&lt;&gt;0,((MateriaisCampo[[#This Row],[TOT CUSTO]]/MateriaisCampo[[#This Row],[QUANTIDADE]])/MateriaisCampo[[#This Row],[MARK-UP]]),0)</f>
        <v>0</v>
      </c>
      <c r="AI229" s="453">
        <f>MateriaisCampo[[#This Row],[UNIT VENDA]]*MateriaisCampo[[#This Row],[QUANTIDADE]]</f>
        <v>0</v>
      </c>
      <c r="AJ229" s="453">
        <f>IFERROR(MateriaisCampo[[#This Row],[VENDA]]*(RESUMO!$F$55/RESUMO!$F$45),0)</f>
        <v>0</v>
      </c>
      <c r="AK229" s="453">
        <f>IFERROR(MateriaisCampo[[#This Row],[VENDA]]*(RESUMO!$F$58/RESUMO!$F$45),0)</f>
        <v>0</v>
      </c>
      <c r="AL229" s="454">
        <f>IF(MateriaisCampo[[#This Row],[FATURAMENTO]]="NORMAL",MateriaisCampo[[#This Row],[VENDA]],0)</f>
        <v>0</v>
      </c>
    </row>
    <row r="230" spans="1:38" x14ac:dyDescent="0.25">
      <c r="A230" s="113"/>
      <c r="B230" s="113"/>
      <c r="C230" s="113"/>
      <c r="D230" s="113"/>
      <c r="E230" s="434"/>
      <c r="F230" s="434">
        <f t="shared" si="0"/>
        <v>0</v>
      </c>
      <c r="G230" s="113"/>
      <c r="H230" s="435"/>
      <c r="I230" s="436"/>
      <c r="J230" s="437"/>
      <c r="K230" s="438"/>
      <c r="L230" s="438"/>
      <c r="M230" s="458"/>
      <c r="N230" s="445">
        <f>MateriaisCampo[[#This Row],[UNIT S/IPI S/DESC]]-MateriaisCampo[[#This Row],[UNIT S/IPI S/DESC]]*MateriaisCampo[[#This Row],[% DESC]]</f>
        <v>0</v>
      </c>
      <c r="O230" s="441" t="s">
        <v>295</v>
      </c>
      <c r="P230" s="442" t="s">
        <v>155</v>
      </c>
      <c r="Q230" s="438">
        <v>1.6500000000000001E-2</v>
      </c>
      <c r="R230" s="438">
        <v>7.5999999999999998E-2</v>
      </c>
      <c r="S230" s="443">
        <f>MateriaisCampo[[#This Row],[UNIT S/ IP + DIF ICMS]]*MateriaisCampo[[#This Row],[QUANTIDADE]]</f>
        <v>0</v>
      </c>
      <c r="T230" s="444">
        <f>MateriaisCampo[[#This Row],[TOTAL S/ IPI]]+(MateriaisCampo[[#This Row],[TOTAL S/ IPI]]*MateriaisCampo[[#This Row],[IPI %]])</f>
        <v>0</v>
      </c>
      <c r="U230" s="445">
        <f>IF(AND(MateriaisCampo[[#This Row],[ICMS %]]&lt;&gt;18%,MateriaisCampo[[#This Row],[ORIGEM]]&lt;&gt;"SÃO PAULO"),((18%-MateriaisCampo[[#This Row],[ICMS %]])*MateriaisCampo[[#This Row],[UNIT S/ IPI C/DESC]]),0)</f>
        <v>0</v>
      </c>
      <c r="V230" s="437">
        <f>MateriaisCampo[[#This Row],[UNIT S/ IPI C/DESC]]*MateriaisCampo[[#This Row],[ICMS %]]</f>
        <v>0</v>
      </c>
      <c r="W230" s="437">
        <f>MateriaisCampo[[#This Row],[ICMS $]]*MateriaisCampo[[#This Row],[QUANTIDADE]]</f>
        <v>0</v>
      </c>
      <c r="X230" s="446">
        <f>MateriaisCampo[[#This Row],[UNIT S/ IPI C/DESC]]+MateriaisCampo[[#This Row],[DIFERENCIAL ICMS]]</f>
        <v>0</v>
      </c>
      <c r="Y230" s="446">
        <f>(MateriaisCampo[[#This Row],[PIS]]*MateriaisCampo[[#This Row],[UNIT S/ IPI C/DESC]])/2</f>
        <v>0</v>
      </c>
      <c r="Z230" s="446">
        <f>(MateriaisCampo[[#This Row],[COFINS]]*MateriaisCampo[[#This Row],[UNIT S/ IPI C/DESC]])/2</f>
        <v>0</v>
      </c>
      <c r="AA230" s="445">
        <f>MateriaisCampo[[#This Row],[UNIT S/ IP + DIF ICMS]]+(MateriaisCampo[[#This Row],[UNIT S/ IP + DIF ICMS]]*MateriaisCampo[[#This Row],[IPI %]])</f>
        <v>0</v>
      </c>
      <c r="AB230" s="448">
        <f>_xlfn.XLOOKUP(MateriaisCampo[[#This Row],[FATURAMENTO]],BASE!$U$48:$U$50,BASE!$W$48:$W$50,0,0,1)</f>
        <v>0.79709863947533133</v>
      </c>
      <c r="AC230" s="510" t="str">
        <f>RESUMO!$E$56</f>
        <v>SIM</v>
      </c>
      <c r="AD230" s="449" t="str">
        <f>RESUMO!$E$57</f>
        <v>SIM</v>
      </c>
      <c r="AE23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0" s="450">
        <f>MateriaisCampo[[#This Row],[UNIT CRED]]*MateriaisCampo[[#This Row],[QUANTIDADE]]</f>
        <v>0</v>
      </c>
      <c r="AG230" s="451">
        <f>MateriaisCampo[[#This Row],[TOT CRED]]</f>
        <v>0</v>
      </c>
      <c r="AH230" s="452">
        <f>IF(MateriaisCampo[[#This Row],[QUANTIDADE]]&lt;&gt;0,((MateriaisCampo[[#This Row],[TOT CUSTO]]/MateriaisCampo[[#This Row],[QUANTIDADE]])/MateriaisCampo[[#This Row],[MARK-UP]]),0)</f>
        <v>0</v>
      </c>
      <c r="AI230" s="453">
        <f>MateriaisCampo[[#This Row],[UNIT VENDA]]*MateriaisCampo[[#This Row],[QUANTIDADE]]</f>
        <v>0</v>
      </c>
      <c r="AJ230" s="453">
        <f>IFERROR(MateriaisCampo[[#This Row],[VENDA]]*(RESUMO!$F$55/RESUMO!$F$45),0)</f>
        <v>0</v>
      </c>
      <c r="AK230" s="453">
        <f>IFERROR(MateriaisCampo[[#This Row],[VENDA]]*(RESUMO!$F$58/RESUMO!$F$45),0)</f>
        <v>0</v>
      </c>
      <c r="AL230" s="454">
        <f>IF(MateriaisCampo[[#This Row],[FATURAMENTO]]="NORMAL",MateriaisCampo[[#This Row],[VENDA]],0)</f>
        <v>0</v>
      </c>
    </row>
    <row r="231" spans="1:38" x14ac:dyDescent="0.25">
      <c r="A231" s="113"/>
      <c r="B231" s="113"/>
      <c r="C231" s="113"/>
      <c r="D231" s="113"/>
      <c r="E231" s="434"/>
      <c r="F231" s="434">
        <f t="shared" si="0"/>
        <v>0</v>
      </c>
      <c r="G231" s="113"/>
      <c r="H231" s="435"/>
      <c r="I231" s="436"/>
      <c r="J231" s="437"/>
      <c r="K231" s="438"/>
      <c r="L231" s="438"/>
      <c r="M231" s="458"/>
      <c r="N231" s="445">
        <f>MateriaisCampo[[#This Row],[UNIT S/IPI S/DESC]]-MateriaisCampo[[#This Row],[UNIT S/IPI S/DESC]]*MateriaisCampo[[#This Row],[% DESC]]</f>
        <v>0</v>
      </c>
      <c r="O231" s="441" t="s">
        <v>295</v>
      </c>
      <c r="P231" s="442" t="s">
        <v>155</v>
      </c>
      <c r="Q231" s="438">
        <v>1.6500000000000001E-2</v>
      </c>
      <c r="R231" s="438">
        <v>7.5999999999999998E-2</v>
      </c>
      <c r="S231" s="443">
        <f>MateriaisCampo[[#This Row],[UNIT S/ IP + DIF ICMS]]*MateriaisCampo[[#This Row],[QUANTIDADE]]</f>
        <v>0</v>
      </c>
      <c r="T231" s="444">
        <f>MateriaisCampo[[#This Row],[TOTAL S/ IPI]]+(MateriaisCampo[[#This Row],[TOTAL S/ IPI]]*MateriaisCampo[[#This Row],[IPI %]])</f>
        <v>0</v>
      </c>
      <c r="U231" s="445">
        <f>IF(AND(MateriaisCampo[[#This Row],[ICMS %]]&lt;&gt;18%,MateriaisCampo[[#This Row],[ORIGEM]]&lt;&gt;"SÃO PAULO"),((18%-MateriaisCampo[[#This Row],[ICMS %]])*MateriaisCampo[[#This Row],[UNIT S/ IPI C/DESC]]),0)</f>
        <v>0</v>
      </c>
      <c r="V231" s="437">
        <f>MateriaisCampo[[#This Row],[UNIT S/ IPI C/DESC]]*MateriaisCampo[[#This Row],[ICMS %]]</f>
        <v>0</v>
      </c>
      <c r="W231" s="437">
        <f>MateriaisCampo[[#This Row],[ICMS $]]*MateriaisCampo[[#This Row],[QUANTIDADE]]</f>
        <v>0</v>
      </c>
      <c r="X231" s="446">
        <f>MateriaisCampo[[#This Row],[UNIT S/ IPI C/DESC]]+MateriaisCampo[[#This Row],[DIFERENCIAL ICMS]]</f>
        <v>0</v>
      </c>
      <c r="Y231" s="446">
        <f>(MateriaisCampo[[#This Row],[PIS]]*MateriaisCampo[[#This Row],[UNIT S/ IPI C/DESC]])/2</f>
        <v>0</v>
      </c>
      <c r="Z231" s="446">
        <f>(MateriaisCampo[[#This Row],[COFINS]]*MateriaisCampo[[#This Row],[UNIT S/ IPI C/DESC]])/2</f>
        <v>0</v>
      </c>
      <c r="AA231" s="445">
        <f>MateriaisCampo[[#This Row],[UNIT S/ IP + DIF ICMS]]+(MateriaisCampo[[#This Row],[UNIT S/ IP + DIF ICMS]]*MateriaisCampo[[#This Row],[IPI %]])</f>
        <v>0</v>
      </c>
      <c r="AB231" s="448">
        <f>_xlfn.XLOOKUP(MateriaisCampo[[#This Row],[FATURAMENTO]],BASE!$U$48:$U$50,BASE!$W$48:$W$50,0,0,1)</f>
        <v>0.79709863947533133</v>
      </c>
      <c r="AC231" s="510" t="str">
        <f>RESUMO!$E$56</f>
        <v>SIM</v>
      </c>
      <c r="AD231" s="449" t="str">
        <f>RESUMO!$E$57</f>
        <v>SIM</v>
      </c>
      <c r="AE23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1" s="450">
        <f>MateriaisCampo[[#This Row],[UNIT CRED]]*MateriaisCampo[[#This Row],[QUANTIDADE]]</f>
        <v>0</v>
      </c>
      <c r="AG231" s="451">
        <f>MateriaisCampo[[#This Row],[TOT CRED]]</f>
        <v>0</v>
      </c>
      <c r="AH231" s="452">
        <f>IF(MateriaisCampo[[#This Row],[QUANTIDADE]]&lt;&gt;0,((MateriaisCampo[[#This Row],[TOT CUSTO]]/MateriaisCampo[[#This Row],[QUANTIDADE]])/MateriaisCampo[[#This Row],[MARK-UP]]),0)</f>
        <v>0</v>
      </c>
      <c r="AI231" s="453">
        <f>MateriaisCampo[[#This Row],[UNIT VENDA]]*MateriaisCampo[[#This Row],[QUANTIDADE]]</f>
        <v>0</v>
      </c>
      <c r="AJ231" s="453">
        <f>IFERROR(MateriaisCampo[[#This Row],[VENDA]]*(RESUMO!$F$55/RESUMO!$F$45),0)</f>
        <v>0</v>
      </c>
      <c r="AK231" s="453">
        <f>IFERROR(MateriaisCampo[[#This Row],[VENDA]]*(RESUMO!$F$58/RESUMO!$F$45),0)</f>
        <v>0</v>
      </c>
      <c r="AL231" s="454">
        <f>IF(MateriaisCampo[[#This Row],[FATURAMENTO]]="NORMAL",MateriaisCampo[[#This Row],[VENDA]],0)</f>
        <v>0</v>
      </c>
    </row>
    <row r="232" spans="1:38" x14ac:dyDescent="0.25">
      <c r="A232" s="113"/>
      <c r="B232" s="113"/>
      <c r="C232" s="113"/>
      <c r="D232" s="113"/>
      <c r="E232" s="434"/>
      <c r="F232" s="434">
        <f t="shared" si="0"/>
        <v>0</v>
      </c>
      <c r="G232" s="113"/>
      <c r="H232" s="435"/>
      <c r="I232" s="436"/>
      <c r="J232" s="437"/>
      <c r="K232" s="438"/>
      <c r="L232" s="438"/>
      <c r="M232" s="458"/>
      <c r="N232" s="445">
        <f>MateriaisCampo[[#This Row],[UNIT S/IPI S/DESC]]-MateriaisCampo[[#This Row],[UNIT S/IPI S/DESC]]*MateriaisCampo[[#This Row],[% DESC]]</f>
        <v>0</v>
      </c>
      <c r="O232" s="441" t="s">
        <v>295</v>
      </c>
      <c r="P232" s="442" t="s">
        <v>155</v>
      </c>
      <c r="Q232" s="438">
        <v>1.6500000000000001E-2</v>
      </c>
      <c r="R232" s="438">
        <v>7.5999999999999998E-2</v>
      </c>
      <c r="S232" s="443">
        <f>MateriaisCampo[[#This Row],[UNIT S/ IP + DIF ICMS]]*MateriaisCampo[[#This Row],[QUANTIDADE]]</f>
        <v>0</v>
      </c>
      <c r="T232" s="444">
        <f>MateriaisCampo[[#This Row],[TOTAL S/ IPI]]+(MateriaisCampo[[#This Row],[TOTAL S/ IPI]]*MateriaisCampo[[#This Row],[IPI %]])</f>
        <v>0</v>
      </c>
      <c r="U232" s="445">
        <f>IF(AND(MateriaisCampo[[#This Row],[ICMS %]]&lt;&gt;18%,MateriaisCampo[[#This Row],[ORIGEM]]&lt;&gt;"SÃO PAULO"),((18%-MateriaisCampo[[#This Row],[ICMS %]])*MateriaisCampo[[#This Row],[UNIT S/ IPI C/DESC]]),0)</f>
        <v>0</v>
      </c>
      <c r="V232" s="437">
        <f>MateriaisCampo[[#This Row],[UNIT S/ IPI C/DESC]]*MateriaisCampo[[#This Row],[ICMS %]]</f>
        <v>0</v>
      </c>
      <c r="W232" s="437">
        <f>MateriaisCampo[[#This Row],[ICMS $]]*MateriaisCampo[[#This Row],[QUANTIDADE]]</f>
        <v>0</v>
      </c>
      <c r="X232" s="446">
        <f>MateriaisCampo[[#This Row],[UNIT S/ IPI C/DESC]]+MateriaisCampo[[#This Row],[DIFERENCIAL ICMS]]</f>
        <v>0</v>
      </c>
      <c r="Y232" s="446">
        <f>(MateriaisCampo[[#This Row],[PIS]]*MateriaisCampo[[#This Row],[UNIT S/ IPI C/DESC]])/2</f>
        <v>0</v>
      </c>
      <c r="Z232" s="446">
        <f>(MateriaisCampo[[#This Row],[COFINS]]*MateriaisCampo[[#This Row],[UNIT S/ IPI C/DESC]])/2</f>
        <v>0</v>
      </c>
      <c r="AA232" s="445">
        <f>MateriaisCampo[[#This Row],[UNIT S/ IP + DIF ICMS]]+(MateriaisCampo[[#This Row],[UNIT S/ IP + DIF ICMS]]*MateriaisCampo[[#This Row],[IPI %]])</f>
        <v>0</v>
      </c>
      <c r="AB232" s="448">
        <f>_xlfn.XLOOKUP(MateriaisCampo[[#This Row],[FATURAMENTO]],BASE!$U$48:$U$50,BASE!$W$48:$W$50,0,0,1)</f>
        <v>0.79709863947533133</v>
      </c>
      <c r="AC232" s="510" t="str">
        <f>RESUMO!$E$56</f>
        <v>SIM</v>
      </c>
      <c r="AD232" s="449" t="str">
        <f>RESUMO!$E$57</f>
        <v>SIM</v>
      </c>
      <c r="AE23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2" s="450">
        <f>MateriaisCampo[[#This Row],[UNIT CRED]]*MateriaisCampo[[#This Row],[QUANTIDADE]]</f>
        <v>0</v>
      </c>
      <c r="AG232" s="451">
        <f>MateriaisCampo[[#This Row],[TOT CRED]]</f>
        <v>0</v>
      </c>
      <c r="AH232" s="452">
        <f>IF(MateriaisCampo[[#This Row],[QUANTIDADE]]&lt;&gt;0,((MateriaisCampo[[#This Row],[TOT CUSTO]]/MateriaisCampo[[#This Row],[QUANTIDADE]])/MateriaisCampo[[#This Row],[MARK-UP]]),0)</f>
        <v>0</v>
      </c>
      <c r="AI232" s="453">
        <f>MateriaisCampo[[#This Row],[UNIT VENDA]]*MateriaisCampo[[#This Row],[QUANTIDADE]]</f>
        <v>0</v>
      </c>
      <c r="AJ232" s="453">
        <f>IFERROR(MateriaisCampo[[#This Row],[VENDA]]*(RESUMO!$F$55/RESUMO!$F$45),0)</f>
        <v>0</v>
      </c>
      <c r="AK232" s="453">
        <f>IFERROR(MateriaisCampo[[#This Row],[VENDA]]*(RESUMO!$F$58/RESUMO!$F$45),0)</f>
        <v>0</v>
      </c>
      <c r="AL232" s="454">
        <f>IF(MateriaisCampo[[#This Row],[FATURAMENTO]]="NORMAL",MateriaisCampo[[#This Row],[VENDA]],0)</f>
        <v>0</v>
      </c>
    </row>
    <row r="233" spans="1:38" x14ac:dyDescent="0.25">
      <c r="A233" s="113"/>
      <c r="B233" s="113"/>
      <c r="C233" s="113"/>
      <c r="D233" s="113"/>
      <c r="E233" s="434"/>
      <c r="F233" s="434">
        <f t="shared" si="0"/>
        <v>0</v>
      </c>
      <c r="G233" s="113"/>
      <c r="H233" s="435"/>
      <c r="I233" s="436"/>
      <c r="J233" s="437"/>
      <c r="K233" s="438"/>
      <c r="L233" s="438"/>
      <c r="M233" s="458"/>
      <c r="N233" s="445">
        <f>MateriaisCampo[[#This Row],[UNIT S/IPI S/DESC]]-MateriaisCampo[[#This Row],[UNIT S/IPI S/DESC]]*MateriaisCampo[[#This Row],[% DESC]]</f>
        <v>0</v>
      </c>
      <c r="O233" s="441" t="s">
        <v>295</v>
      </c>
      <c r="P233" s="442" t="s">
        <v>155</v>
      </c>
      <c r="Q233" s="438">
        <v>1.6500000000000001E-2</v>
      </c>
      <c r="R233" s="438">
        <v>7.5999999999999998E-2</v>
      </c>
      <c r="S233" s="443">
        <f>MateriaisCampo[[#This Row],[UNIT S/ IP + DIF ICMS]]*MateriaisCampo[[#This Row],[QUANTIDADE]]</f>
        <v>0</v>
      </c>
      <c r="T233" s="444">
        <f>MateriaisCampo[[#This Row],[TOTAL S/ IPI]]+(MateriaisCampo[[#This Row],[TOTAL S/ IPI]]*MateriaisCampo[[#This Row],[IPI %]])</f>
        <v>0</v>
      </c>
      <c r="U233" s="445">
        <f>IF(AND(MateriaisCampo[[#This Row],[ICMS %]]&lt;&gt;18%,MateriaisCampo[[#This Row],[ORIGEM]]&lt;&gt;"SÃO PAULO"),((18%-MateriaisCampo[[#This Row],[ICMS %]])*MateriaisCampo[[#This Row],[UNIT S/ IPI C/DESC]]),0)</f>
        <v>0</v>
      </c>
      <c r="V233" s="437">
        <f>MateriaisCampo[[#This Row],[UNIT S/ IPI C/DESC]]*MateriaisCampo[[#This Row],[ICMS %]]</f>
        <v>0</v>
      </c>
      <c r="W233" s="437">
        <f>MateriaisCampo[[#This Row],[ICMS $]]*MateriaisCampo[[#This Row],[QUANTIDADE]]</f>
        <v>0</v>
      </c>
      <c r="X233" s="446">
        <f>MateriaisCampo[[#This Row],[UNIT S/ IPI C/DESC]]+MateriaisCampo[[#This Row],[DIFERENCIAL ICMS]]</f>
        <v>0</v>
      </c>
      <c r="Y233" s="446">
        <f>(MateriaisCampo[[#This Row],[PIS]]*MateriaisCampo[[#This Row],[UNIT S/ IPI C/DESC]])/2</f>
        <v>0</v>
      </c>
      <c r="Z233" s="446">
        <f>(MateriaisCampo[[#This Row],[COFINS]]*MateriaisCampo[[#This Row],[UNIT S/ IPI C/DESC]])/2</f>
        <v>0</v>
      </c>
      <c r="AA233" s="445">
        <f>MateriaisCampo[[#This Row],[UNIT S/ IP + DIF ICMS]]+(MateriaisCampo[[#This Row],[UNIT S/ IP + DIF ICMS]]*MateriaisCampo[[#This Row],[IPI %]])</f>
        <v>0</v>
      </c>
      <c r="AB233" s="448">
        <f>_xlfn.XLOOKUP(MateriaisCampo[[#This Row],[FATURAMENTO]],BASE!$U$48:$U$50,BASE!$W$48:$W$50,0,0,1)</f>
        <v>0.79709863947533133</v>
      </c>
      <c r="AC233" s="510" t="str">
        <f>RESUMO!$E$56</f>
        <v>SIM</v>
      </c>
      <c r="AD233" s="449" t="str">
        <f>RESUMO!$E$57</f>
        <v>SIM</v>
      </c>
      <c r="AE23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3" s="450">
        <f>MateriaisCampo[[#This Row],[UNIT CRED]]*MateriaisCampo[[#This Row],[QUANTIDADE]]</f>
        <v>0</v>
      </c>
      <c r="AG233" s="451">
        <f>MateriaisCampo[[#This Row],[TOT CRED]]</f>
        <v>0</v>
      </c>
      <c r="AH233" s="452">
        <f>IF(MateriaisCampo[[#This Row],[QUANTIDADE]]&lt;&gt;0,((MateriaisCampo[[#This Row],[TOT CUSTO]]/MateriaisCampo[[#This Row],[QUANTIDADE]])/MateriaisCampo[[#This Row],[MARK-UP]]),0)</f>
        <v>0</v>
      </c>
      <c r="AI233" s="453">
        <f>MateriaisCampo[[#This Row],[UNIT VENDA]]*MateriaisCampo[[#This Row],[QUANTIDADE]]</f>
        <v>0</v>
      </c>
      <c r="AJ233" s="453">
        <f>IFERROR(MateriaisCampo[[#This Row],[VENDA]]*(RESUMO!$F$55/RESUMO!$F$45),0)</f>
        <v>0</v>
      </c>
      <c r="AK233" s="453">
        <f>IFERROR(MateriaisCampo[[#This Row],[VENDA]]*(RESUMO!$F$58/RESUMO!$F$45),0)</f>
        <v>0</v>
      </c>
      <c r="AL233" s="454">
        <f>IF(MateriaisCampo[[#This Row],[FATURAMENTO]]="NORMAL",MateriaisCampo[[#This Row],[VENDA]],0)</f>
        <v>0</v>
      </c>
    </row>
    <row r="234" spans="1:38" x14ac:dyDescent="0.25">
      <c r="A234" s="113"/>
      <c r="B234" s="113"/>
      <c r="C234" s="113"/>
      <c r="D234" s="113"/>
      <c r="E234" s="434"/>
      <c r="F234" s="434">
        <f t="shared" si="0"/>
        <v>0</v>
      </c>
      <c r="G234" s="113"/>
      <c r="H234" s="435"/>
      <c r="I234" s="436"/>
      <c r="J234" s="437"/>
      <c r="K234" s="438"/>
      <c r="L234" s="438"/>
      <c r="M234" s="458"/>
      <c r="N234" s="445">
        <f>MateriaisCampo[[#This Row],[UNIT S/IPI S/DESC]]-MateriaisCampo[[#This Row],[UNIT S/IPI S/DESC]]*MateriaisCampo[[#This Row],[% DESC]]</f>
        <v>0</v>
      </c>
      <c r="O234" s="441" t="s">
        <v>295</v>
      </c>
      <c r="P234" s="442" t="s">
        <v>155</v>
      </c>
      <c r="Q234" s="438">
        <v>1.6500000000000001E-2</v>
      </c>
      <c r="R234" s="438">
        <v>7.5999999999999998E-2</v>
      </c>
      <c r="S234" s="443">
        <f>MateriaisCampo[[#This Row],[UNIT S/ IP + DIF ICMS]]*MateriaisCampo[[#This Row],[QUANTIDADE]]</f>
        <v>0</v>
      </c>
      <c r="T234" s="444">
        <f>MateriaisCampo[[#This Row],[TOTAL S/ IPI]]+(MateriaisCampo[[#This Row],[TOTAL S/ IPI]]*MateriaisCampo[[#This Row],[IPI %]])</f>
        <v>0</v>
      </c>
      <c r="U234" s="445">
        <f>IF(AND(MateriaisCampo[[#This Row],[ICMS %]]&lt;&gt;18%,MateriaisCampo[[#This Row],[ORIGEM]]&lt;&gt;"SÃO PAULO"),((18%-MateriaisCampo[[#This Row],[ICMS %]])*MateriaisCampo[[#This Row],[UNIT S/ IPI C/DESC]]),0)</f>
        <v>0</v>
      </c>
      <c r="V234" s="437">
        <f>MateriaisCampo[[#This Row],[UNIT S/ IPI C/DESC]]*MateriaisCampo[[#This Row],[ICMS %]]</f>
        <v>0</v>
      </c>
      <c r="W234" s="437">
        <f>MateriaisCampo[[#This Row],[ICMS $]]*MateriaisCampo[[#This Row],[QUANTIDADE]]</f>
        <v>0</v>
      </c>
      <c r="X234" s="446">
        <f>MateriaisCampo[[#This Row],[UNIT S/ IPI C/DESC]]+MateriaisCampo[[#This Row],[DIFERENCIAL ICMS]]</f>
        <v>0</v>
      </c>
      <c r="Y234" s="446">
        <f>(MateriaisCampo[[#This Row],[PIS]]*MateriaisCampo[[#This Row],[UNIT S/ IPI C/DESC]])/2</f>
        <v>0</v>
      </c>
      <c r="Z234" s="446">
        <f>(MateriaisCampo[[#This Row],[COFINS]]*MateriaisCampo[[#This Row],[UNIT S/ IPI C/DESC]])/2</f>
        <v>0</v>
      </c>
      <c r="AA234" s="445">
        <f>MateriaisCampo[[#This Row],[UNIT S/ IP + DIF ICMS]]+(MateriaisCampo[[#This Row],[UNIT S/ IP + DIF ICMS]]*MateriaisCampo[[#This Row],[IPI %]])</f>
        <v>0</v>
      </c>
      <c r="AB234" s="448">
        <f>_xlfn.XLOOKUP(MateriaisCampo[[#This Row],[FATURAMENTO]],BASE!$U$48:$U$50,BASE!$W$48:$W$50,0,0,1)</f>
        <v>0.79709863947533133</v>
      </c>
      <c r="AC234" s="510" t="str">
        <f>RESUMO!$E$56</f>
        <v>SIM</v>
      </c>
      <c r="AD234" s="449" t="str">
        <f>RESUMO!$E$57</f>
        <v>SIM</v>
      </c>
      <c r="AE23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4" s="450">
        <f>MateriaisCampo[[#This Row],[UNIT CRED]]*MateriaisCampo[[#This Row],[QUANTIDADE]]</f>
        <v>0</v>
      </c>
      <c r="AG234" s="451">
        <f>MateriaisCampo[[#This Row],[TOT CRED]]</f>
        <v>0</v>
      </c>
      <c r="AH234" s="452">
        <f>IF(MateriaisCampo[[#This Row],[QUANTIDADE]]&lt;&gt;0,((MateriaisCampo[[#This Row],[TOT CUSTO]]/MateriaisCampo[[#This Row],[QUANTIDADE]])/MateriaisCampo[[#This Row],[MARK-UP]]),0)</f>
        <v>0</v>
      </c>
      <c r="AI234" s="453">
        <f>MateriaisCampo[[#This Row],[UNIT VENDA]]*MateriaisCampo[[#This Row],[QUANTIDADE]]</f>
        <v>0</v>
      </c>
      <c r="AJ234" s="453">
        <f>IFERROR(MateriaisCampo[[#This Row],[VENDA]]*(RESUMO!$F$55/RESUMO!$F$45),0)</f>
        <v>0</v>
      </c>
      <c r="AK234" s="453">
        <f>IFERROR(MateriaisCampo[[#This Row],[VENDA]]*(RESUMO!$F$58/RESUMO!$F$45),0)</f>
        <v>0</v>
      </c>
      <c r="AL234" s="454">
        <f>IF(MateriaisCampo[[#This Row],[FATURAMENTO]]="NORMAL",MateriaisCampo[[#This Row],[VENDA]],0)</f>
        <v>0</v>
      </c>
    </row>
    <row r="235" spans="1:38" x14ac:dyDescent="0.25">
      <c r="A235" s="113"/>
      <c r="B235" s="113"/>
      <c r="C235" s="113"/>
      <c r="D235" s="113"/>
      <c r="E235" s="434"/>
      <c r="F235" s="434">
        <f t="shared" si="0"/>
        <v>0</v>
      </c>
      <c r="G235" s="113"/>
      <c r="H235" s="435"/>
      <c r="I235" s="436"/>
      <c r="J235" s="437"/>
      <c r="K235" s="438"/>
      <c r="L235" s="438"/>
      <c r="M235" s="458"/>
      <c r="N235" s="445">
        <f>MateriaisCampo[[#This Row],[UNIT S/IPI S/DESC]]-MateriaisCampo[[#This Row],[UNIT S/IPI S/DESC]]*MateriaisCampo[[#This Row],[% DESC]]</f>
        <v>0</v>
      </c>
      <c r="O235" s="441" t="s">
        <v>295</v>
      </c>
      <c r="P235" s="442" t="s">
        <v>155</v>
      </c>
      <c r="Q235" s="438">
        <v>1.6500000000000001E-2</v>
      </c>
      <c r="R235" s="438">
        <v>7.5999999999999998E-2</v>
      </c>
      <c r="S235" s="443">
        <f>MateriaisCampo[[#This Row],[UNIT S/ IP + DIF ICMS]]*MateriaisCampo[[#This Row],[QUANTIDADE]]</f>
        <v>0</v>
      </c>
      <c r="T235" s="444">
        <f>MateriaisCampo[[#This Row],[TOTAL S/ IPI]]+(MateriaisCampo[[#This Row],[TOTAL S/ IPI]]*MateriaisCampo[[#This Row],[IPI %]])</f>
        <v>0</v>
      </c>
      <c r="U235" s="445">
        <f>IF(AND(MateriaisCampo[[#This Row],[ICMS %]]&lt;&gt;18%,MateriaisCampo[[#This Row],[ORIGEM]]&lt;&gt;"SÃO PAULO"),((18%-MateriaisCampo[[#This Row],[ICMS %]])*MateriaisCampo[[#This Row],[UNIT S/ IPI C/DESC]]),0)</f>
        <v>0</v>
      </c>
      <c r="V235" s="437">
        <f>MateriaisCampo[[#This Row],[UNIT S/ IPI C/DESC]]*MateriaisCampo[[#This Row],[ICMS %]]</f>
        <v>0</v>
      </c>
      <c r="W235" s="437">
        <f>MateriaisCampo[[#This Row],[ICMS $]]*MateriaisCampo[[#This Row],[QUANTIDADE]]</f>
        <v>0</v>
      </c>
      <c r="X235" s="446">
        <f>MateriaisCampo[[#This Row],[UNIT S/ IPI C/DESC]]+MateriaisCampo[[#This Row],[DIFERENCIAL ICMS]]</f>
        <v>0</v>
      </c>
      <c r="Y235" s="446">
        <f>(MateriaisCampo[[#This Row],[PIS]]*MateriaisCampo[[#This Row],[UNIT S/ IPI C/DESC]])/2</f>
        <v>0</v>
      </c>
      <c r="Z235" s="446">
        <f>(MateriaisCampo[[#This Row],[COFINS]]*MateriaisCampo[[#This Row],[UNIT S/ IPI C/DESC]])/2</f>
        <v>0</v>
      </c>
      <c r="AA235" s="445">
        <f>MateriaisCampo[[#This Row],[UNIT S/ IP + DIF ICMS]]+(MateriaisCampo[[#This Row],[UNIT S/ IP + DIF ICMS]]*MateriaisCampo[[#This Row],[IPI %]])</f>
        <v>0</v>
      </c>
      <c r="AB235" s="448">
        <f>_xlfn.XLOOKUP(MateriaisCampo[[#This Row],[FATURAMENTO]],BASE!$U$48:$U$50,BASE!$W$48:$W$50,0,0,1)</f>
        <v>0.79709863947533133</v>
      </c>
      <c r="AC235" s="510" t="str">
        <f>RESUMO!$E$56</f>
        <v>SIM</v>
      </c>
      <c r="AD235" s="449" t="str">
        <f>RESUMO!$E$57</f>
        <v>SIM</v>
      </c>
      <c r="AE23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5" s="450">
        <f>MateriaisCampo[[#This Row],[UNIT CRED]]*MateriaisCampo[[#This Row],[QUANTIDADE]]</f>
        <v>0</v>
      </c>
      <c r="AG235" s="451">
        <f>MateriaisCampo[[#This Row],[TOT CRED]]</f>
        <v>0</v>
      </c>
      <c r="AH235" s="452">
        <f>IF(MateriaisCampo[[#This Row],[QUANTIDADE]]&lt;&gt;0,((MateriaisCampo[[#This Row],[TOT CUSTO]]/MateriaisCampo[[#This Row],[QUANTIDADE]])/MateriaisCampo[[#This Row],[MARK-UP]]),0)</f>
        <v>0</v>
      </c>
      <c r="AI235" s="453">
        <f>MateriaisCampo[[#This Row],[UNIT VENDA]]*MateriaisCampo[[#This Row],[QUANTIDADE]]</f>
        <v>0</v>
      </c>
      <c r="AJ235" s="453">
        <f>IFERROR(MateriaisCampo[[#This Row],[VENDA]]*(RESUMO!$F$55/RESUMO!$F$45),0)</f>
        <v>0</v>
      </c>
      <c r="AK235" s="453">
        <f>IFERROR(MateriaisCampo[[#This Row],[VENDA]]*(RESUMO!$F$58/RESUMO!$F$45),0)</f>
        <v>0</v>
      </c>
      <c r="AL235" s="454">
        <f>IF(MateriaisCampo[[#This Row],[FATURAMENTO]]="NORMAL",MateriaisCampo[[#This Row],[VENDA]],0)</f>
        <v>0</v>
      </c>
    </row>
    <row r="236" spans="1:38" x14ac:dyDescent="0.25">
      <c r="A236" s="113"/>
      <c r="B236" s="113"/>
      <c r="C236" s="113"/>
      <c r="D236" s="113"/>
      <c r="E236" s="434"/>
      <c r="F236" s="434">
        <f t="shared" si="0"/>
        <v>0</v>
      </c>
      <c r="G236" s="113"/>
      <c r="H236" s="435"/>
      <c r="I236" s="436"/>
      <c r="J236" s="437"/>
      <c r="K236" s="438"/>
      <c r="L236" s="438"/>
      <c r="M236" s="458"/>
      <c r="N236" s="445">
        <f>MateriaisCampo[[#This Row],[UNIT S/IPI S/DESC]]-MateriaisCampo[[#This Row],[UNIT S/IPI S/DESC]]*MateriaisCampo[[#This Row],[% DESC]]</f>
        <v>0</v>
      </c>
      <c r="O236" s="441" t="s">
        <v>295</v>
      </c>
      <c r="P236" s="442" t="s">
        <v>155</v>
      </c>
      <c r="Q236" s="438">
        <v>1.6500000000000001E-2</v>
      </c>
      <c r="R236" s="438">
        <v>7.5999999999999998E-2</v>
      </c>
      <c r="S236" s="443">
        <f>MateriaisCampo[[#This Row],[UNIT S/ IP + DIF ICMS]]*MateriaisCampo[[#This Row],[QUANTIDADE]]</f>
        <v>0</v>
      </c>
      <c r="T236" s="444">
        <f>MateriaisCampo[[#This Row],[TOTAL S/ IPI]]+(MateriaisCampo[[#This Row],[TOTAL S/ IPI]]*MateriaisCampo[[#This Row],[IPI %]])</f>
        <v>0</v>
      </c>
      <c r="U236" s="445">
        <f>IF(AND(MateriaisCampo[[#This Row],[ICMS %]]&lt;&gt;18%,MateriaisCampo[[#This Row],[ORIGEM]]&lt;&gt;"SÃO PAULO"),((18%-MateriaisCampo[[#This Row],[ICMS %]])*MateriaisCampo[[#This Row],[UNIT S/ IPI C/DESC]]),0)</f>
        <v>0</v>
      </c>
      <c r="V236" s="437">
        <f>MateriaisCampo[[#This Row],[UNIT S/ IPI C/DESC]]*MateriaisCampo[[#This Row],[ICMS %]]</f>
        <v>0</v>
      </c>
      <c r="W236" s="437">
        <f>MateriaisCampo[[#This Row],[ICMS $]]*MateriaisCampo[[#This Row],[QUANTIDADE]]</f>
        <v>0</v>
      </c>
      <c r="X236" s="446">
        <f>MateriaisCampo[[#This Row],[UNIT S/ IPI C/DESC]]+MateriaisCampo[[#This Row],[DIFERENCIAL ICMS]]</f>
        <v>0</v>
      </c>
      <c r="Y236" s="446">
        <f>(MateriaisCampo[[#This Row],[PIS]]*MateriaisCampo[[#This Row],[UNIT S/ IPI C/DESC]])/2</f>
        <v>0</v>
      </c>
      <c r="Z236" s="446">
        <f>(MateriaisCampo[[#This Row],[COFINS]]*MateriaisCampo[[#This Row],[UNIT S/ IPI C/DESC]])/2</f>
        <v>0</v>
      </c>
      <c r="AA236" s="445">
        <f>MateriaisCampo[[#This Row],[UNIT S/ IP + DIF ICMS]]+(MateriaisCampo[[#This Row],[UNIT S/ IP + DIF ICMS]]*MateriaisCampo[[#This Row],[IPI %]])</f>
        <v>0</v>
      </c>
      <c r="AB236" s="448">
        <f>_xlfn.XLOOKUP(MateriaisCampo[[#This Row],[FATURAMENTO]],BASE!$U$48:$U$50,BASE!$W$48:$W$50,0,0,1)</f>
        <v>0.79709863947533133</v>
      </c>
      <c r="AC236" s="510" t="str">
        <f>RESUMO!$E$56</f>
        <v>SIM</v>
      </c>
      <c r="AD236" s="449" t="str">
        <f>RESUMO!$E$57</f>
        <v>SIM</v>
      </c>
      <c r="AE23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6" s="450">
        <f>MateriaisCampo[[#This Row],[UNIT CRED]]*MateriaisCampo[[#This Row],[QUANTIDADE]]</f>
        <v>0</v>
      </c>
      <c r="AG236" s="451">
        <f>MateriaisCampo[[#This Row],[TOT CRED]]</f>
        <v>0</v>
      </c>
      <c r="AH236" s="452">
        <f>IF(MateriaisCampo[[#This Row],[QUANTIDADE]]&lt;&gt;0,((MateriaisCampo[[#This Row],[TOT CUSTO]]/MateriaisCampo[[#This Row],[QUANTIDADE]])/MateriaisCampo[[#This Row],[MARK-UP]]),0)</f>
        <v>0</v>
      </c>
      <c r="AI236" s="453">
        <f>MateriaisCampo[[#This Row],[UNIT VENDA]]*MateriaisCampo[[#This Row],[QUANTIDADE]]</f>
        <v>0</v>
      </c>
      <c r="AJ236" s="453">
        <f>IFERROR(MateriaisCampo[[#This Row],[VENDA]]*(RESUMO!$F$55/RESUMO!$F$45),0)</f>
        <v>0</v>
      </c>
      <c r="AK236" s="453">
        <f>IFERROR(MateriaisCampo[[#This Row],[VENDA]]*(RESUMO!$F$58/RESUMO!$F$45),0)</f>
        <v>0</v>
      </c>
      <c r="AL236" s="454">
        <f>IF(MateriaisCampo[[#This Row],[FATURAMENTO]]="NORMAL",MateriaisCampo[[#This Row],[VENDA]],0)</f>
        <v>0</v>
      </c>
    </row>
    <row r="237" spans="1:38" x14ac:dyDescent="0.25">
      <c r="A237" s="113"/>
      <c r="B237" s="113"/>
      <c r="C237" s="113"/>
      <c r="D237" s="113"/>
      <c r="E237" s="434"/>
      <c r="F237" s="434">
        <f t="shared" si="0"/>
        <v>0</v>
      </c>
      <c r="G237" s="113"/>
      <c r="H237" s="435"/>
      <c r="I237" s="436"/>
      <c r="J237" s="437"/>
      <c r="K237" s="438"/>
      <c r="L237" s="438"/>
      <c r="M237" s="458"/>
      <c r="N237" s="445">
        <f>MateriaisCampo[[#This Row],[UNIT S/IPI S/DESC]]-MateriaisCampo[[#This Row],[UNIT S/IPI S/DESC]]*MateriaisCampo[[#This Row],[% DESC]]</f>
        <v>0</v>
      </c>
      <c r="O237" s="441" t="s">
        <v>295</v>
      </c>
      <c r="P237" s="442" t="s">
        <v>155</v>
      </c>
      <c r="Q237" s="438">
        <v>1.6500000000000001E-2</v>
      </c>
      <c r="R237" s="438">
        <v>7.5999999999999998E-2</v>
      </c>
      <c r="S237" s="443">
        <f>MateriaisCampo[[#This Row],[UNIT S/ IP + DIF ICMS]]*MateriaisCampo[[#This Row],[QUANTIDADE]]</f>
        <v>0</v>
      </c>
      <c r="T237" s="444">
        <f>MateriaisCampo[[#This Row],[TOTAL S/ IPI]]+(MateriaisCampo[[#This Row],[TOTAL S/ IPI]]*MateriaisCampo[[#This Row],[IPI %]])</f>
        <v>0</v>
      </c>
      <c r="U237" s="445">
        <f>IF(AND(MateriaisCampo[[#This Row],[ICMS %]]&lt;&gt;18%,MateriaisCampo[[#This Row],[ORIGEM]]&lt;&gt;"SÃO PAULO"),((18%-MateriaisCampo[[#This Row],[ICMS %]])*MateriaisCampo[[#This Row],[UNIT S/ IPI C/DESC]]),0)</f>
        <v>0</v>
      </c>
      <c r="V237" s="437">
        <f>MateriaisCampo[[#This Row],[UNIT S/ IPI C/DESC]]*MateriaisCampo[[#This Row],[ICMS %]]</f>
        <v>0</v>
      </c>
      <c r="W237" s="437">
        <f>MateriaisCampo[[#This Row],[ICMS $]]*MateriaisCampo[[#This Row],[QUANTIDADE]]</f>
        <v>0</v>
      </c>
      <c r="X237" s="446">
        <f>MateriaisCampo[[#This Row],[UNIT S/ IPI C/DESC]]+MateriaisCampo[[#This Row],[DIFERENCIAL ICMS]]</f>
        <v>0</v>
      </c>
      <c r="Y237" s="446">
        <f>(MateriaisCampo[[#This Row],[PIS]]*MateriaisCampo[[#This Row],[UNIT S/ IPI C/DESC]])/2</f>
        <v>0</v>
      </c>
      <c r="Z237" s="446">
        <f>(MateriaisCampo[[#This Row],[COFINS]]*MateriaisCampo[[#This Row],[UNIT S/ IPI C/DESC]])/2</f>
        <v>0</v>
      </c>
      <c r="AA237" s="445">
        <f>MateriaisCampo[[#This Row],[UNIT S/ IP + DIF ICMS]]+(MateriaisCampo[[#This Row],[UNIT S/ IP + DIF ICMS]]*MateriaisCampo[[#This Row],[IPI %]])</f>
        <v>0</v>
      </c>
      <c r="AB237" s="448">
        <f>_xlfn.XLOOKUP(MateriaisCampo[[#This Row],[FATURAMENTO]],BASE!$U$48:$U$50,BASE!$W$48:$W$50,0,0,1)</f>
        <v>0.79709863947533133</v>
      </c>
      <c r="AC237" s="510" t="str">
        <f>RESUMO!$E$56</f>
        <v>SIM</v>
      </c>
      <c r="AD237" s="449" t="str">
        <f>RESUMO!$E$57</f>
        <v>SIM</v>
      </c>
      <c r="AE23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7" s="450">
        <f>MateriaisCampo[[#This Row],[UNIT CRED]]*MateriaisCampo[[#This Row],[QUANTIDADE]]</f>
        <v>0</v>
      </c>
      <c r="AG237" s="451">
        <f>MateriaisCampo[[#This Row],[TOT CRED]]</f>
        <v>0</v>
      </c>
      <c r="AH237" s="452">
        <f>IF(MateriaisCampo[[#This Row],[QUANTIDADE]]&lt;&gt;0,((MateriaisCampo[[#This Row],[TOT CUSTO]]/MateriaisCampo[[#This Row],[QUANTIDADE]])/MateriaisCampo[[#This Row],[MARK-UP]]),0)</f>
        <v>0</v>
      </c>
      <c r="AI237" s="453">
        <f>MateriaisCampo[[#This Row],[UNIT VENDA]]*MateriaisCampo[[#This Row],[QUANTIDADE]]</f>
        <v>0</v>
      </c>
      <c r="AJ237" s="453">
        <f>IFERROR(MateriaisCampo[[#This Row],[VENDA]]*(RESUMO!$F$55/RESUMO!$F$45),0)</f>
        <v>0</v>
      </c>
      <c r="AK237" s="453">
        <f>IFERROR(MateriaisCampo[[#This Row],[VENDA]]*(RESUMO!$F$58/RESUMO!$F$45),0)</f>
        <v>0</v>
      </c>
      <c r="AL237" s="454">
        <f>IF(MateriaisCampo[[#This Row],[FATURAMENTO]]="NORMAL",MateriaisCampo[[#This Row],[VENDA]],0)</f>
        <v>0</v>
      </c>
    </row>
    <row r="238" spans="1:38" x14ac:dyDescent="0.25">
      <c r="A238" s="113"/>
      <c r="B238" s="113"/>
      <c r="C238" s="113"/>
      <c r="D238" s="113"/>
      <c r="E238" s="434"/>
      <c r="F238" s="434">
        <f t="shared" si="0"/>
        <v>0</v>
      </c>
      <c r="G238" s="113"/>
      <c r="H238" s="435"/>
      <c r="I238" s="436"/>
      <c r="J238" s="437"/>
      <c r="K238" s="438"/>
      <c r="L238" s="438"/>
      <c r="M238" s="458"/>
      <c r="N238" s="445">
        <f>MateriaisCampo[[#This Row],[UNIT S/IPI S/DESC]]-MateriaisCampo[[#This Row],[UNIT S/IPI S/DESC]]*MateriaisCampo[[#This Row],[% DESC]]</f>
        <v>0</v>
      </c>
      <c r="O238" s="441" t="s">
        <v>295</v>
      </c>
      <c r="P238" s="442" t="s">
        <v>155</v>
      </c>
      <c r="Q238" s="438">
        <v>1.6500000000000001E-2</v>
      </c>
      <c r="R238" s="438">
        <v>7.5999999999999998E-2</v>
      </c>
      <c r="S238" s="443">
        <f>MateriaisCampo[[#This Row],[UNIT S/ IP + DIF ICMS]]*MateriaisCampo[[#This Row],[QUANTIDADE]]</f>
        <v>0</v>
      </c>
      <c r="T238" s="444">
        <f>MateriaisCampo[[#This Row],[TOTAL S/ IPI]]+(MateriaisCampo[[#This Row],[TOTAL S/ IPI]]*MateriaisCampo[[#This Row],[IPI %]])</f>
        <v>0</v>
      </c>
      <c r="U238" s="445">
        <f>IF(AND(MateriaisCampo[[#This Row],[ICMS %]]&lt;&gt;18%,MateriaisCampo[[#This Row],[ORIGEM]]&lt;&gt;"SÃO PAULO"),((18%-MateriaisCampo[[#This Row],[ICMS %]])*MateriaisCampo[[#This Row],[UNIT S/ IPI C/DESC]]),0)</f>
        <v>0</v>
      </c>
      <c r="V238" s="437">
        <f>MateriaisCampo[[#This Row],[UNIT S/ IPI C/DESC]]*MateriaisCampo[[#This Row],[ICMS %]]</f>
        <v>0</v>
      </c>
      <c r="W238" s="437">
        <f>MateriaisCampo[[#This Row],[ICMS $]]*MateriaisCampo[[#This Row],[QUANTIDADE]]</f>
        <v>0</v>
      </c>
      <c r="X238" s="446">
        <f>MateriaisCampo[[#This Row],[UNIT S/ IPI C/DESC]]+MateriaisCampo[[#This Row],[DIFERENCIAL ICMS]]</f>
        <v>0</v>
      </c>
      <c r="Y238" s="446">
        <f>(MateriaisCampo[[#This Row],[PIS]]*MateriaisCampo[[#This Row],[UNIT S/ IPI C/DESC]])/2</f>
        <v>0</v>
      </c>
      <c r="Z238" s="446">
        <f>(MateriaisCampo[[#This Row],[COFINS]]*MateriaisCampo[[#This Row],[UNIT S/ IPI C/DESC]])/2</f>
        <v>0</v>
      </c>
      <c r="AA238" s="445">
        <f>MateriaisCampo[[#This Row],[UNIT S/ IP + DIF ICMS]]+(MateriaisCampo[[#This Row],[UNIT S/ IP + DIF ICMS]]*MateriaisCampo[[#This Row],[IPI %]])</f>
        <v>0</v>
      </c>
      <c r="AB238" s="448">
        <f>_xlfn.XLOOKUP(MateriaisCampo[[#This Row],[FATURAMENTO]],BASE!$U$48:$U$50,BASE!$W$48:$W$50,0,0,1)</f>
        <v>0.79709863947533133</v>
      </c>
      <c r="AC238" s="510" t="str">
        <f>RESUMO!$E$56</f>
        <v>SIM</v>
      </c>
      <c r="AD238" s="449" t="str">
        <f>RESUMO!$E$57</f>
        <v>SIM</v>
      </c>
      <c r="AE23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8" s="450">
        <f>MateriaisCampo[[#This Row],[UNIT CRED]]*MateriaisCampo[[#This Row],[QUANTIDADE]]</f>
        <v>0</v>
      </c>
      <c r="AG238" s="451">
        <f>MateriaisCampo[[#This Row],[TOT CRED]]</f>
        <v>0</v>
      </c>
      <c r="AH238" s="452">
        <f>IF(MateriaisCampo[[#This Row],[QUANTIDADE]]&lt;&gt;0,((MateriaisCampo[[#This Row],[TOT CUSTO]]/MateriaisCampo[[#This Row],[QUANTIDADE]])/MateriaisCampo[[#This Row],[MARK-UP]]),0)</f>
        <v>0</v>
      </c>
      <c r="AI238" s="453">
        <f>MateriaisCampo[[#This Row],[UNIT VENDA]]*MateriaisCampo[[#This Row],[QUANTIDADE]]</f>
        <v>0</v>
      </c>
      <c r="AJ238" s="453">
        <f>IFERROR(MateriaisCampo[[#This Row],[VENDA]]*(RESUMO!$F$55/RESUMO!$F$45),0)</f>
        <v>0</v>
      </c>
      <c r="AK238" s="453">
        <f>IFERROR(MateriaisCampo[[#This Row],[VENDA]]*(RESUMO!$F$58/RESUMO!$F$45),0)</f>
        <v>0</v>
      </c>
      <c r="AL238" s="454">
        <f>IF(MateriaisCampo[[#This Row],[FATURAMENTO]]="NORMAL",MateriaisCampo[[#This Row],[VENDA]],0)</f>
        <v>0</v>
      </c>
    </row>
    <row r="239" spans="1:38" x14ac:dyDescent="0.25">
      <c r="A239" s="113"/>
      <c r="B239" s="113"/>
      <c r="C239" s="113"/>
      <c r="D239" s="113"/>
      <c r="E239" s="434"/>
      <c r="F239" s="434">
        <f t="shared" si="0"/>
        <v>0</v>
      </c>
      <c r="G239" s="113"/>
      <c r="H239" s="435"/>
      <c r="I239" s="436"/>
      <c r="J239" s="437"/>
      <c r="K239" s="438"/>
      <c r="L239" s="438"/>
      <c r="M239" s="458"/>
      <c r="N239" s="445">
        <f>MateriaisCampo[[#This Row],[UNIT S/IPI S/DESC]]-MateriaisCampo[[#This Row],[UNIT S/IPI S/DESC]]*MateriaisCampo[[#This Row],[% DESC]]</f>
        <v>0</v>
      </c>
      <c r="O239" s="441" t="s">
        <v>295</v>
      </c>
      <c r="P239" s="442" t="s">
        <v>155</v>
      </c>
      <c r="Q239" s="438">
        <v>1.6500000000000001E-2</v>
      </c>
      <c r="R239" s="438">
        <v>7.5999999999999998E-2</v>
      </c>
      <c r="S239" s="443">
        <f>MateriaisCampo[[#This Row],[UNIT S/ IP + DIF ICMS]]*MateriaisCampo[[#This Row],[QUANTIDADE]]</f>
        <v>0</v>
      </c>
      <c r="T239" s="444">
        <f>MateriaisCampo[[#This Row],[TOTAL S/ IPI]]+(MateriaisCampo[[#This Row],[TOTAL S/ IPI]]*MateriaisCampo[[#This Row],[IPI %]])</f>
        <v>0</v>
      </c>
      <c r="U239" s="445">
        <f>IF(AND(MateriaisCampo[[#This Row],[ICMS %]]&lt;&gt;18%,MateriaisCampo[[#This Row],[ORIGEM]]&lt;&gt;"SÃO PAULO"),((18%-MateriaisCampo[[#This Row],[ICMS %]])*MateriaisCampo[[#This Row],[UNIT S/ IPI C/DESC]]),0)</f>
        <v>0</v>
      </c>
      <c r="V239" s="437">
        <f>MateriaisCampo[[#This Row],[UNIT S/ IPI C/DESC]]*MateriaisCampo[[#This Row],[ICMS %]]</f>
        <v>0</v>
      </c>
      <c r="W239" s="437">
        <f>MateriaisCampo[[#This Row],[ICMS $]]*MateriaisCampo[[#This Row],[QUANTIDADE]]</f>
        <v>0</v>
      </c>
      <c r="X239" s="446">
        <f>MateriaisCampo[[#This Row],[UNIT S/ IPI C/DESC]]+MateriaisCampo[[#This Row],[DIFERENCIAL ICMS]]</f>
        <v>0</v>
      </c>
      <c r="Y239" s="446">
        <f>(MateriaisCampo[[#This Row],[PIS]]*MateriaisCampo[[#This Row],[UNIT S/ IPI C/DESC]])/2</f>
        <v>0</v>
      </c>
      <c r="Z239" s="446">
        <f>(MateriaisCampo[[#This Row],[COFINS]]*MateriaisCampo[[#This Row],[UNIT S/ IPI C/DESC]])/2</f>
        <v>0</v>
      </c>
      <c r="AA239" s="445">
        <f>MateriaisCampo[[#This Row],[UNIT S/ IP + DIF ICMS]]+(MateriaisCampo[[#This Row],[UNIT S/ IP + DIF ICMS]]*MateriaisCampo[[#This Row],[IPI %]])</f>
        <v>0</v>
      </c>
      <c r="AB239" s="448">
        <f>_xlfn.XLOOKUP(MateriaisCampo[[#This Row],[FATURAMENTO]],BASE!$U$48:$U$50,BASE!$W$48:$W$50,0,0,1)</f>
        <v>0.79709863947533133</v>
      </c>
      <c r="AC239" s="510" t="str">
        <f>RESUMO!$E$56</f>
        <v>SIM</v>
      </c>
      <c r="AD239" s="449" t="str">
        <f>RESUMO!$E$57</f>
        <v>SIM</v>
      </c>
      <c r="AE23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39" s="450">
        <f>MateriaisCampo[[#This Row],[UNIT CRED]]*MateriaisCampo[[#This Row],[QUANTIDADE]]</f>
        <v>0</v>
      </c>
      <c r="AG239" s="451">
        <f>MateriaisCampo[[#This Row],[TOT CRED]]</f>
        <v>0</v>
      </c>
      <c r="AH239" s="452">
        <f>IF(MateriaisCampo[[#This Row],[QUANTIDADE]]&lt;&gt;0,((MateriaisCampo[[#This Row],[TOT CUSTO]]/MateriaisCampo[[#This Row],[QUANTIDADE]])/MateriaisCampo[[#This Row],[MARK-UP]]),0)</f>
        <v>0</v>
      </c>
      <c r="AI239" s="453">
        <f>MateriaisCampo[[#This Row],[UNIT VENDA]]*MateriaisCampo[[#This Row],[QUANTIDADE]]</f>
        <v>0</v>
      </c>
      <c r="AJ239" s="453">
        <f>IFERROR(MateriaisCampo[[#This Row],[VENDA]]*(RESUMO!$F$55/RESUMO!$F$45),0)</f>
        <v>0</v>
      </c>
      <c r="AK239" s="453">
        <f>IFERROR(MateriaisCampo[[#This Row],[VENDA]]*(RESUMO!$F$58/RESUMO!$F$45),0)</f>
        <v>0</v>
      </c>
      <c r="AL239" s="454">
        <f>IF(MateriaisCampo[[#This Row],[FATURAMENTO]]="NORMAL",MateriaisCampo[[#This Row],[VENDA]],0)</f>
        <v>0</v>
      </c>
    </row>
    <row r="240" spans="1:38" x14ac:dyDescent="0.25">
      <c r="A240" s="113"/>
      <c r="B240" s="113"/>
      <c r="C240" s="113"/>
      <c r="D240" s="113"/>
      <c r="E240" s="434"/>
      <c r="F240" s="434">
        <f t="shared" si="0"/>
        <v>0</v>
      </c>
      <c r="G240" s="113"/>
      <c r="H240" s="435"/>
      <c r="I240" s="436"/>
      <c r="J240" s="437"/>
      <c r="K240" s="438"/>
      <c r="L240" s="438"/>
      <c r="M240" s="458"/>
      <c r="N240" s="445">
        <f>MateriaisCampo[[#This Row],[UNIT S/IPI S/DESC]]-MateriaisCampo[[#This Row],[UNIT S/IPI S/DESC]]*MateriaisCampo[[#This Row],[% DESC]]</f>
        <v>0</v>
      </c>
      <c r="O240" s="441" t="s">
        <v>295</v>
      </c>
      <c r="P240" s="442" t="s">
        <v>155</v>
      </c>
      <c r="Q240" s="438">
        <v>1.6500000000000001E-2</v>
      </c>
      <c r="R240" s="438">
        <v>7.5999999999999998E-2</v>
      </c>
      <c r="S240" s="443">
        <f>MateriaisCampo[[#This Row],[UNIT S/ IP + DIF ICMS]]*MateriaisCampo[[#This Row],[QUANTIDADE]]</f>
        <v>0</v>
      </c>
      <c r="T240" s="444">
        <f>MateriaisCampo[[#This Row],[TOTAL S/ IPI]]+(MateriaisCampo[[#This Row],[TOTAL S/ IPI]]*MateriaisCampo[[#This Row],[IPI %]])</f>
        <v>0</v>
      </c>
      <c r="U240" s="445">
        <f>IF(AND(MateriaisCampo[[#This Row],[ICMS %]]&lt;&gt;18%,MateriaisCampo[[#This Row],[ORIGEM]]&lt;&gt;"SÃO PAULO"),((18%-MateriaisCampo[[#This Row],[ICMS %]])*MateriaisCampo[[#This Row],[UNIT S/ IPI C/DESC]]),0)</f>
        <v>0</v>
      </c>
      <c r="V240" s="437">
        <f>MateriaisCampo[[#This Row],[UNIT S/ IPI C/DESC]]*MateriaisCampo[[#This Row],[ICMS %]]</f>
        <v>0</v>
      </c>
      <c r="W240" s="437">
        <f>MateriaisCampo[[#This Row],[ICMS $]]*MateriaisCampo[[#This Row],[QUANTIDADE]]</f>
        <v>0</v>
      </c>
      <c r="X240" s="446">
        <f>MateriaisCampo[[#This Row],[UNIT S/ IPI C/DESC]]+MateriaisCampo[[#This Row],[DIFERENCIAL ICMS]]</f>
        <v>0</v>
      </c>
      <c r="Y240" s="446">
        <f>(MateriaisCampo[[#This Row],[PIS]]*MateriaisCampo[[#This Row],[UNIT S/ IPI C/DESC]])/2</f>
        <v>0</v>
      </c>
      <c r="Z240" s="446">
        <f>(MateriaisCampo[[#This Row],[COFINS]]*MateriaisCampo[[#This Row],[UNIT S/ IPI C/DESC]])/2</f>
        <v>0</v>
      </c>
      <c r="AA240" s="445">
        <f>MateriaisCampo[[#This Row],[UNIT S/ IP + DIF ICMS]]+(MateriaisCampo[[#This Row],[UNIT S/ IP + DIF ICMS]]*MateriaisCampo[[#This Row],[IPI %]])</f>
        <v>0</v>
      </c>
      <c r="AB240" s="448">
        <f>_xlfn.XLOOKUP(MateriaisCampo[[#This Row],[FATURAMENTO]],BASE!$U$48:$U$50,BASE!$W$48:$W$50,0,0,1)</f>
        <v>0.79709863947533133</v>
      </c>
      <c r="AC240" s="510" t="str">
        <f>RESUMO!$E$56</f>
        <v>SIM</v>
      </c>
      <c r="AD240" s="449" t="str">
        <f>RESUMO!$E$57</f>
        <v>SIM</v>
      </c>
      <c r="AE24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0" s="450">
        <f>MateriaisCampo[[#This Row],[UNIT CRED]]*MateriaisCampo[[#This Row],[QUANTIDADE]]</f>
        <v>0</v>
      </c>
      <c r="AG240" s="451">
        <f>MateriaisCampo[[#This Row],[TOT CRED]]</f>
        <v>0</v>
      </c>
      <c r="AH240" s="452">
        <f>IF(MateriaisCampo[[#This Row],[QUANTIDADE]]&lt;&gt;0,((MateriaisCampo[[#This Row],[TOT CUSTO]]/MateriaisCampo[[#This Row],[QUANTIDADE]])/MateriaisCampo[[#This Row],[MARK-UP]]),0)</f>
        <v>0</v>
      </c>
      <c r="AI240" s="453">
        <f>MateriaisCampo[[#This Row],[UNIT VENDA]]*MateriaisCampo[[#This Row],[QUANTIDADE]]</f>
        <v>0</v>
      </c>
      <c r="AJ240" s="453">
        <f>IFERROR(MateriaisCampo[[#This Row],[VENDA]]*(RESUMO!$F$55/RESUMO!$F$45),0)</f>
        <v>0</v>
      </c>
      <c r="AK240" s="453">
        <f>IFERROR(MateriaisCampo[[#This Row],[VENDA]]*(RESUMO!$F$58/RESUMO!$F$45),0)</f>
        <v>0</v>
      </c>
      <c r="AL240" s="454">
        <f>IF(MateriaisCampo[[#This Row],[FATURAMENTO]]="NORMAL",MateriaisCampo[[#This Row],[VENDA]],0)</f>
        <v>0</v>
      </c>
    </row>
    <row r="241" spans="1:38" x14ac:dyDescent="0.25">
      <c r="A241" s="113"/>
      <c r="B241" s="113"/>
      <c r="C241" s="113"/>
      <c r="D241" s="113"/>
      <c r="E241" s="434"/>
      <c r="F241" s="434">
        <f t="shared" si="0"/>
        <v>0</v>
      </c>
      <c r="G241" s="113"/>
      <c r="H241" s="435"/>
      <c r="I241" s="436"/>
      <c r="J241" s="437"/>
      <c r="K241" s="438"/>
      <c r="L241" s="438"/>
      <c r="M241" s="458"/>
      <c r="N241" s="445">
        <f>MateriaisCampo[[#This Row],[UNIT S/IPI S/DESC]]-MateriaisCampo[[#This Row],[UNIT S/IPI S/DESC]]*MateriaisCampo[[#This Row],[% DESC]]</f>
        <v>0</v>
      </c>
      <c r="O241" s="441" t="s">
        <v>295</v>
      </c>
      <c r="P241" s="442" t="s">
        <v>155</v>
      </c>
      <c r="Q241" s="438">
        <v>1.6500000000000001E-2</v>
      </c>
      <c r="R241" s="438">
        <v>7.5999999999999998E-2</v>
      </c>
      <c r="S241" s="443">
        <f>MateriaisCampo[[#This Row],[UNIT S/ IP + DIF ICMS]]*MateriaisCampo[[#This Row],[QUANTIDADE]]</f>
        <v>0</v>
      </c>
      <c r="T241" s="444">
        <f>MateriaisCampo[[#This Row],[TOTAL S/ IPI]]+(MateriaisCampo[[#This Row],[TOTAL S/ IPI]]*MateriaisCampo[[#This Row],[IPI %]])</f>
        <v>0</v>
      </c>
      <c r="U241" s="445">
        <f>IF(AND(MateriaisCampo[[#This Row],[ICMS %]]&lt;&gt;18%,MateriaisCampo[[#This Row],[ORIGEM]]&lt;&gt;"SÃO PAULO"),((18%-MateriaisCampo[[#This Row],[ICMS %]])*MateriaisCampo[[#This Row],[UNIT S/ IPI C/DESC]]),0)</f>
        <v>0</v>
      </c>
      <c r="V241" s="437">
        <f>MateriaisCampo[[#This Row],[UNIT S/ IPI C/DESC]]*MateriaisCampo[[#This Row],[ICMS %]]</f>
        <v>0</v>
      </c>
      <c r="W241" s="437">
        <f>MateriaisCampo[[#This Row],[ICMS $]]*MateriaisCampo[[#This Row],[QUANTIDADE]]</f>
        <v>0</v>
      </c>
      <c r="X241" s="446">
        <f>MateriaisCampo[[#This Row],[UNIT S/ IPI C/DESC]]+MateriaisCampo[[#This Row],[DIFERENCIAL ICMS]]</f>
        <v>0</v>
      </c>
      <c r="Y241" s="446">
        <f>(MateriaisCampo[[#This Row],[PIS]]*MateriaisCampo[[#This Row],[UNIT S/ IPI C/DESC]])/2</f>
        <v>0</v>
      </c>
      <c r="Z241" s="446">
        <f>(MateriaisCampo[[#This Row],[COFINS]]*MateriaisCampo[[#This Row],[UNIT S/ IPI C/DESC]])/2</f>
        <v>0</v>
      </c>
      <c r="AA241" s="445">
        <f>MateriaisCampo[[#This Row],[UNIT S/ IP + DIF ICMS]]+(MateriaisCampo[[#This Row],[UNIT S/ IP + DIF ICMS]]*MateriaisCampo[[#This Row],[IPI %]])</f>
        <v>0</v>
      </c>
      <c r="AB241" s="448">
        <f>_xlfn.XLOOKUP(MateriaisCampo[[#This Row],[FATURAMENTO]],BASE!$U$48:$U$50,BASE!$W$48:$W$50,0,0,1)</f>
        <v>0.79709863947533133</v>
      </c>
      <c r="AC241" s="510" t="str">
        <f>RESUMO!$E$56</f>
        <v>SIM</v>
      </c>
      <c r="AD241" s="449" t="str">
        <f>RESUMO!$E$57</f>
        <v>SIM</v>
      </c>
      <c r="AE24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1" s="450">
        <f>MateriaisCampo[[#This Row],[UNIT CRED]]*MateriaisCampo[[#This Row],[QUANTIDADE]]</f>
        <v>0</v>
      </c>
      <c r="AG241" s="451">
        <f>MateriaisCampo[[#This Row],[TOT CRED]]</f>
        <v>0</v>
      </c>
      <c r="AH241" s="452">
        <f>IF(MateriaisCampo[[#This Row],[QUANTIDADE]]&lt;&gt;0,((MateriaisCampo[[#This Row],[TOT CUSTO]]/MateriaisCampo[[#This Row],[QUANTIDADE]])/MateriaisCampo[[#This Row],[MARK-UP]]),0)</f>
        <v>0</v>
      </c>
      <c r="AI241" s="453">
        <f>MateriaisCampo[[#This Row],[UNIT VENDA]]*MateriaisCampo[[#This Row],[QUANTIDADE]]</f>
        <v>0</v>
      </c>
      <c r="AJ241" s="453">
        <f>IFERROR(MateriaisCampo[[#This Row],[VENDA]]*(RESUMO!$F$55/RESUMO!$F$45),0)</f>
        <v>0</v>
      </c>
      <c r="AK241" s="453">
        <f>IFERROR(MateriaisCampo[[#This Row],[VENDA]]*(RESUMO!$F$58/RESUMO!$F$45),0)</f>
        <v>0</v>
      </c>
      <c r="AL241" s="454">
        <f>IF(MateriaisCampo[[#This Row],[FATURAMENTO]]="NORMAL",MateriaisCampo[[#This Row],[VENDA]],0)</f>
        <v>0</v>
      </c>
    </row>
    <row r="242" spans="1:38" x14ac:dyDescent="0.25">
      <c r="A242" s="113"/>
      <c r="B242" s="113"/>
      <c r="C242" s="113"/>
      <c r="D242" s="113"/>
      <c r="E242" s="434"/>
      <c r="F242" s="434">
        <f t="shared" si="0"/>
        <v>0</v>
      </c>
      <c r="G242" s="113"/>
      <c r="H242" s="435"/>
      <c r="I242" s="436"/>
      <c r="J242" s="437"/>
      <c r="K242" s="438"/>
      <c r="L242" s="438"/>
      <c r="M242" s="458"/>
      <c r="N242" s="445">
        <f>MateriaisCampo[[#This Row],[UNIT S/IPI S/DESC]]-MateriaisCampo[[#This Row],[UNIT S/IPI S/DESC]]*MateriaisCampo[[#This Row],[% DESC]]</f>
        <v>0</v>
      </c>
      <c r="O242" s="441" t="s">
        <v>295</v>
      </c>
      <c r="P242" s="442" t="s">
        <v>155</v>
      </c>
      <c r="Q242" s="438">
        <v>1.6500000000000001E-2</v>
      </c>
      <c r="R242" s="438">
        <v>7.5999999999999998E-2</v>
      </c>
      <c r="S242" s="443">
        <f>MateriaisCampo[[#This Row],[UNIT S/ IP + DIF ICMS]]*MateriaisCampo[[#This Row],[QUANTIDADE]]</f>
        <v>0</v>
      </c>
      <c r="T242" s="444">
        <f>MateriaisCampo[[#This Row],[TOTAL S/ IPI]]+(MateriaisCampo[[#This Row],[TOTAL S/ IPI]]*MateriaisCampo[[#This Row],[IPI %]])</f>
        <v>0</v>
      </c>
      <c r="U242" s="445">
        <f>IF(AND(MateriaisCampo[[#This Row],[ICMS %]]&lt;&gt;18%,MateriaisCampo[[#This Row],[ORIGEM]]&lt;&gt;"SÃO PAULO"),((18%-MateriaisCampo[[#This Row],[ICMS %]])*MateriaisCampo[[#This Row],[UNIT S/ IPI C/DESC]]),0)</f>
        <v>0</v>
      </c>
      <c r="V242" s="437">
        <f>MateriaisCampo[[#This Row],[UNIT S/ IPI C/DESC]]*MateriaisCampo[[#This Row],[ICMS %]]</f>
        <v>0</v>
      </c>
      <c r="W242" s="437">
        <f>MateriaisCampo[[#This Row],[ICMS $]]*MateriaisCampo[[#This Row],[QUANTIDADE]]</f>
        <v>0</v>
      </c>
      <c r="X242" s="446">
        <f>MateriaisCampo[[#This Row],[UNIT S/ IPI C/DESC]]+MateriaisCampo[[#This Row],[DIFERENCIAL ICMS]]</f>
        <v>0</v>
      </c>
      <c r="Y242" s="446">
        <f>(MateriaisCampo[[#This Row],[PIS]]*MateriaisCampo[[#This Row],[UNIT S/ IPI C/DESC]])/2</f>
        <v>0</v>
      </c>
      <c r="Z242" s="446">
        <f>(MateriaisCampo[[#This Row],[COFINS]]*MateriaisCampo[[#This Row],[UNIT S/ IPI C/DESC]])/2</f>
        <v>0</v>
      </c>
      <c r="AA242" s="445">
        <f>MateriaisCampo[[#This Row],[UNIT S/ IP + DIF ICMS]]+(MateriaisCampo[[#This Row],[UNIT S/ IP + DIF ICMS]]*MateriaisCampo[[#This Row],[IPI %]])</f>
        <v>0</v>
      </c>
      <c r="AB242" s="448">
        <f>_xlfn.XLOOKUP(MateriaisCampo[[#This Row],[FATURAMENTO]],BASE!$U$48:$U$50,BASE!$W$48:$W$50,0,0,1)</f>
        <v>0.79709863947533133</v>
      </c>
      <c r="AC242" s="510" t="str">
        <f>RESUMO!$E$56</f>
        <v>SIM</v>
      </c>
      <c r="AD242" s="449" t="str">
        <f>RESUMO!$E$57</f>
        <v>SIM</v>
      </c>
      <c r="AE24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2" s="450">
        <f>MateriaisCampo[[#This Row],[UNIT CRED]]*MateriaisCampo[[#This Row],[QUANTIDADE]]</f>
        <v>0</v>
      </c>
      <c r="AG242" s="451">
        <f>MateriaisCampo[[#This Row],[TOT CRED]]</f>
        <v>0</v>
      </c>
      <c r="AH242" s="452">
        <f>IF(MateriaisCampo[[#This Row],[QUANTIDADE]]&lt;&gt;0,((MateriaisCampo[[#This Row],[TOT CUSTO]]/MateriaisCampo[[#This Row],[QUANTIDADE]])/MateriaisCampo[[#This Row],[MARK-UP]]),0)</f>
        <v>0</v>
      </c>
      <c r="AI242" s="453">
        <f>MateriaisCampo[[#This Row],[UNIT VENDA]]*MateriaisCampo[[#This Row],[QUANTIDADE]]</f>
        <v>0</v>
      </c>
      <c r="AJ242" s="453">
        <f>IFERROR(MateriaisCampo[[#This Row],[VENDA]]*(RESUMO!$F$55/RESUMO!$F$45),0)</f>
        <v>0</v>
      </c>
      <c r="AK242" s="453">
        <f>IFERROR(MateriaisCampo[[#This Row],[VENDA]]*(RESUMO!$F$58/RESUMO!$F$45),0)</f>
        <v>0</v>
      </c>
      <c r="AL242" s="454">
        <f>IF(MateriaisCampo[[#This Row],[FATURAMENTO]]="NORMAL",MateriaisCampo[[#This Row],[VENDA]],0)</f>
        <v>0</v>
      </c>
    </row>
    <row r="243" spans="1:38" x14ac:dyDescent="0.25">
      <c r="A243" s="113"/>
      <c r="B243" s="113"/>
      <c r="C243" s="113"/>
      <c r="D243" s="113"/>
      <c r="E243" s="434"/>
      <c r="F243" s="434">
        <f t="shared" si="0"/>
        <v>0</v>
      </c>
      <c r="G243" s="113"/>
      <c r="H243" s="435"/>
      <c r="I243" s="436"/>
      <c r="J243" s="437"/>
      <c r="K243" s="438"/>
      <c r="L243" s="438"/>
      <c r="M243" s="458"/>
      <c r="N243" s="445">
        <f>MateriaisCampo[[#This Row],[UNIT S/IPI S/DESC]]-MateriaisCampo[[#This Row],[UNIT S/IPI S/DESC]]*MateriaisCampo[[#This Row],[% DESC]]</f>
        <v>0</v>
      </c>
      <c r="O243" s="441" t="s">
        <v>295</v>
      </c>
      <c r="P243" s="442" t="s">
        <v>155</v>
      </c>
      <c r="Q243" s="438">
        <v>1.6500000000000001E-2</v>
      </c>
      <c r="R243" s="438">
        <v>7.5999999999999998E-2</v>
      </c>
      <c r="S243" s="443">
        <f>MateriaisCampo[[#This Row],[UNIT S/ IP + DIF ICMS]]*MateriaisCampo[[#This Row],[QUANTIDADE]]</f>
        <v>0</v>
      </c>
      <c r="T243" s="444">
        <f>MateriaisCampo[[#This Row],[TOTAL S/ IPI]]+(MateriaisCampo[[#This Row],[TOTAL S/ IPI]]*MateriaisCampo[[#This Row],[IPI %]])</f>
        <v>0</v>
      </c>
      <c r="U243" s="445">
        <f>IF(AND(MateriaisCampo[[#This Row],[ICMS %]]&lt;&gt;18%,MateriaisCampo[[#This Row],[ORIGEM]]&lt;&gt;"SÃO PAULO"),((18%-MateriaisCampo[[#This Row],[ICMS %]])*MateriaisCampo[[#This Row],[UNIT S/ IPI C/DESC]]),0)</f>
        <v>0</v>
      </c>
      <c r="V243" s="437">
        <f>MateriaisCampo[[#This Row],[UNIT S/ IPI C/DESC]]*MateriaisCampo[[#This Row],[ICMS %]]</f>
        <v>0</v>
      </c>
      <c r="W243" s="437">
        <f>MateriaisCampo[[#This Row],[ICMS $]]*MateriaisCampo[[#This Row],[QUANTIDADE]]</f>
        <v>0</v>
      </c>
      <c r="X243" s="446">
        <f>MateriaisCampo[[#This Row],[UNIT S/ IPI C/DESC]]+MateriaisCampo[[#This Row],[DIFERENCIAL ICMS]]</f>
        <v>0</v>
      </c>
      <c r="Y243" s="446">
        <f>(MateriaisCampo[[#This Row],[PIS]]*MateriaisCampo[[#This Row],[UNIT S/ IPI C/DESC]])/2</f>
        <v>0</v>
      </c>
      <c r="Z243" s="446">
        <f>(MateriaisCampo[[#This Row],[COFINS]]*MateriaisCampo[[#This Row],[UNIT S/ IPI C/DESC]])/2</f>
        <v>0</v>
      </c>
      <c r="AA243" s="445">
        <f>MateriaisCampo[[#This Row],[UNIT S/ IP + DIF ICMS]]+(MateriaisCampo[[#This Row],[UNIT S/ IP + DIF ICMS]]*MateriaisCampo[[#This Row],[IPI %]])</f>
        <v>0</v>
      </c>
      <c r="AB243" s="448">
        <f>_xlfn.XLOOKUP(MateriaisCampo[[#This Row],[FATURAMENTO]],BASE!$U$48:$U$50,BASE!$W$48:$W$50,0,0,1)</f>
        <v>0.79709863947533133</v>
      </c>
      <c r="AC243" s="510" t="str">
        <f>RESUMO!$E$56</f>
        <v>SIM</v>
      </c>
      <c r="AD243" s="449" t="str">
        <f>RESUMO!$E$57</f>
        <v>SIM</v>
      </c>
      <c r="AE24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3" s="450">
        <f>MateriaisCampo[[#This Row],[UNIT CRED]]*MateriaisCampo[[#This Row],[QUANTIDADE]]</f>
        <v>0</v>
      </c>
      <c r="AG243" s="451">
        <f>MateriaisCampo[[#This Row],[TOT CRED]]</f>
        <v>0</v>
      </c>
      <c r="AH243" s="452">
        <f>IF(MateriaisCampo[[#This Row],[QUANTIDADE]]&lt;&gt;0,((MateriaisCampo[[#This Row],[TOT CUSTO]]/MateriaisCampo[[#This Row],[QUANTIDADE]])/MateriaisCampo[[#This Row],[MARK-UP]]),0)</f>
        <v>0</v>
      </c>
      <c r="AI243" s="453">
        <f>MateriaisCampo[[#This Row],[UNIT VENDA]]*MateriaisCampo[[#This Row],[QUANTIDADE]]</f>
        <v>0</v>
      </c>
      <c r="AJ243" s="453">
        <f>IFERROR(MateriaisCampo[[#This Row],[VENDA]]*(RESUMO!$F$55/RESUMO!$F$45),0)</f>
        <v>0</v>
      </c>
      <c r="AK243" s="453">
        <f>IFERROR(MateriaisCampo[[#This Row],[VENDA]]*(RESUMO!$F$58/RESUMO!$F$45),0)</f>
        <v>0</v>
      </c>
      <c r="AL243" s="454">
        <f>IF(MateriaisCampo[[#This Row],[FATURAMENTO]]="NORMAL",MateriaisCampo[[#This Row],[VENDA]],0)</f>
        <v>0</v>
      </c>
    </row>
    <row r="244" spans="1:38" x14ac:dyDescent="0.25">
      <c r="A244" s="113"/>
      <c r="B244" s="113"/>
      <c r="C244" s="113"/>
      <c r="D244" s="113"/>
      <c r="E244" s="434"/>
      <c r="F244" s="434">
        <f t="shared" si="0"/>
        <v>0</v>
      </c>
      <c r="G244" s="113"/>
      <c r="H244" s="435"/>
      <c r="I244" s="436"/>
      <c r="J244" s="437"/>
      <c r="K244" s="438"/>
      <c r="L244" s="438"/>
      <c r="M244" s="458"/>
      <c r="N244" s="445">
        <f>MateriaisCampo[[#This Row],[UNIT S/IPI S/DESC]]-MateriaisCampo[[#This Row],[UNIT S/IPI S/DESC]]*MateriaisCampo[[#This Row],[% DESC]]</f>
        <v>0</v>
      </c>
      <c r="O244" s="441" t="s">
        <v>295</v>
      </c>
      <c r="P244" s="442" t="s">
        <v>155</v>
      </c>
      <c r="Q244" s="438">
        <v>1.6500000000000001E-2</v>
      </c>
      <c r="R244" s="438">
        <v>7.5999999999999998E-2</v>
      </c>
      <c r="S244" s="443">
        <f>MateriaisCampo[[#This Row],[UNIT S/ IP + DIF ICMS]]*MateriaisCampo[[#This Row],[QUANTIDADE]]</f>
        <v>0</v>
      </c>
      <c r="T244" s="444">
        <f>MateriaisCampo[[#This Row],[TOTAL S/ IPI]]+(MateriaisCampo[[#This Row],[TOTAL S/ IPI]]*MateriaisCampo[[#This Row],[IPI %]])</f>
        <v>0</v>
      </c>
      <c r="U244" s="445">
        <f>IF(AND(MateriaisCampo[[#This Row],[ICMS %]]&lt;&gt;18%,MateriaisCampo[[#This Row],[ORIGEM]]&lt;&gt;"SÃO PAULO"),((18%-MateriaisCampo[[#This Row],[ICMS %]])*MateriaisCampo[[#This Row],[UNIT S/ IPI C/DESC]]),0)</f>
        <v>0</v>
      </c>
      <c r="V244" s="437">
        <f>MateriaisCampo[[#This Row],[UNIT S/ IPI C/DESC]]*MateriaisCampo[[#This Row],[ICMS %]]</f>
        <v>0</v>
      </c>
      <c r="W244" s="437">
        <f>MateriaisCampo[[#This Row],[ICMS $]]*MateriaisCampo[[#This Row],[QUANTIDADE]]</f>
        <v>0</v>
      </c>
      <c r="X244" s="446">
        <f>MateriaisCampo[[#This Row],[UNIT S/ IPI C/DESC]]+MateriaisCampo[[#This Row],[DIFERENCIAL ICMS]]</f>
        <v>0</v>
      </c>
      <c r="Y244" s="446">
        <f>(MateriaisCampo[[#This Row],[PIS]]*MateriaisCampo[[#This Row],[UNIT S/ IPI C/DESC]])/2</f>
        <v>0</v>
      </c>
      <c r="Z244" s="446">
        <f>(MateriaisCampo[[#This Row],[COFINS]]*MateriaisCampo[[#This Row],[UNIT S/ IPI C/DESC]])/2</f>
        <v>0</v>
      </c>
      <c r="AA244" s="445">
        <f>MateriaisCampo[[#This Row],[UNIT S/ IP + DIF ICMS]]+(MateriaisCampo[[#This Row],[UNIT S/ IP + DIF ICMS]]*MateriaisCampo[[#This Row],[IPI %]])</f>
        <v>0</v>
      </c>
      <c r="AB244" s="448">
        <f>_xlfn.XLOOKUP(MateriaisCampo[[#This Row],[FATURAMENTO]],BASE!$U$48:$U$50,BASE!$W$48:$W$50,0,0,1)</f>
        <v>0.79709863947533133</v>
      </c>
      <c r="AC244" s="510" t="str">
        <f>RESUMO!$E$56</f>
        <v>SIM</v>
      </c>
      <c r="AD244" s="449" t="str">
        <f>RESUMO!$E$57</f>
        <v>SIM</v>
      </c>
      <c r="AE24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4" s="450">
        <f>MateriaisCampo[[#This Row],[UNIT CRED]]*MateriaisCampo[[#This Row],[QUANTIDADE]]</f>
        <v>0</v>
      </c>
      <c r="AG244" s="451">
        <f>MateriaisCampo[[#This Row],[TOT CRED]]</f>
        <v>0</v>
      </c>
      <c r="AH244" s="452">
        <f>IF(MateriaisCampo[[#This Row],[QUANTIDADE]]&lt;&gt;0,((MateriaisCampo[[#This Row],[TOT CUSTO]]/MateriaisCampo[[#This Row],[QUANTIDADE]])/MateriaisCampo[[#This Row],[MARK-UP]]),0)</f>
        <v>0</v>
      </c>
      <c r="AI244" s="453">
        <f>MateriaisCampo[[#This Row],[UNIT VENDA]]*MateriaisCampo[[#This Row],[QUANTIDADE]]</f>
        <v>0</v>
      </c>
      <c r="AJ244" s="453">
        <f>IFERROR(MateriaisCampo[[#This Row],[VENDA]]*(RESUMO!$F$55/RESUMO!$F$45),0)</f>
        <v>0</v>
      </c>
      <c r="AK244" s="453">
        <f>IFERROR(MateriaisCampo[[#This Row],[VENDA]]*(RESUMO!$F$58/RESUMO!$F$45),0)</f>
        <v>0</v>
      </c>
      <c r="AL244" s="454">
        <f>IF(MateriaisCampo[[#This Row],[FATURAMENTO]]="NORMAL",MateriaisCampo[[#This Row],[VENDA]],0)</f>
        <v>0</v>
      </c>
    </row>
    <row r="245" spans="1:38" x14ac:dyDescent="0.25">
      <c r="A245" s="113"/>
      <c r="B245" s="113"/>
      <c r="C245" s="113"/>
      <c r="D245" s="113"/>
      <c r="E245" s="434"/>
      <c r="F245" s="434">
        <f t="shared" si="0"/>
        <v>0</v>
      </c>
      <c r="G245" s="113"/>
      <c r="H245" s="435"/>
      <c r="I245" s="436"/>
      <c r="J245" s="437"/>
      <c r="K245" s="438"/>
      <c r="L245" s="438"/>
      <c r="M245" s="458"/>
      <c r="N245" s="445">
        <f>MateriaisCampo[[#This Row],[UNIT S/IPI S/DESC]]-MateriaisCampo[[#This Row],[UNIT S/IPI S/DESC]]*MateriaisCampo[[#This Row],[% DESC]]</f>
        <v>0</v>
      </c>
      <c r="O245" s="441" t="s">
        <v>295</v>
      </c>
      <c r="P245" s="442" t="s">
        <v>155</v>
      </c>
      <c r="Q245" s="438">
        <v>1.6500000000000001E-2</v>
      </c>
      <c r="R245" s="438">
        <v>7.5999999999999998E-2</v>
      </c>
      <c r="S245" s="443">
        <f>MateriaisCampo[[#This Row],[UNIT S/ IP + DIF ICMS]]*MateriaisCampo[[#This Row],[QUANTIDADE]]</f>
        <v>0</v>
      </c>
      <c r="T245" s="444">
        <f>MateriaisCampo[[#This Row],[TOTAL S/ IPI]]+(MateriaisCampo[[#This Row],[TOTAL S/ IPI]]*MateriaisCampo[[#This Row],[IPI %]])</f>
        <v>0</v>
      </c>
      <c r="U245" s="445">
        <f>IF(AND(MateriaisCampo[[#This Row],[ICMS %]]&lt;&gt;18%,MateriaisCampo[[#This Row],[ORIGEM]]&lt;&gt;"SÃO PAULO"),((18%-MateriaisCampo[[#This Row],[ICMS %]])*MateriaisCampo[[#This Row],[UNIT S/ IPI C/DESC]]),0)</f>
        <v>0</v>
      </c>
      <c r="V245" s="437">
        <f>MateriaisCampo[[#This Row],[UNIT S/ IPI C/DESC]]*MateriaisCampo[[#This Row],[ICMS %]]</f>
        <v>0</v>
      </c>
      <c r="W245" s="437">
        <f>MateriaisCampo[[#This Row],[ICMS $]]*MateriaisCampo[[#This Row],[QUANTIDADE]]</f>
        <v>0</v>
      </c>
      <c r="X245" s="446">
        <f>MateriaisCampo[[#This Row],[UNIT S/ IPI C/DESC]]+MateriaisCampo[[#This Row],[DIFERENCIAL ICMS]]</f>
        <v>0</v>
      </c>
      <c r="Y245" s="446">
        <f>(MateriaisCampo[[#This Row],[PIS]]*MateriaisCampo[[#This Row],[UNIT S/ IPI C/DESC]])/2</f>
        <v>0</v>
      </c>
      <c r="Z245" s="446">
        <f>(MateriaisCampo[[#This Row],[COFINS]]*MateriaisCampo[[#This Row],[UNIT S/ IPI C/DESC]])/2</f>
        <v>0</v>
      </c>
      <c r="AA245" s="445">
        <f>MateriaisCampo[[#This Row],[UNIT S/ IP + DIF ICMS]]+(MateriaisCampo[[#This Row],[UNIT S/ IP + DIF ICMS]]*MateriaisCampo[[#This Row],[IPI %]])</f>
        <v>0</v>
      </c>
      <c r="AB245" s="448">
        <f>_xlfn.XLOOKUP(MateriaisCampo[[#This Row],[FATURAMENTO]],BASE!$U$48:$U$50,BASE!$W$48:$W$50,0,0,1)</f>
        <v>0.79709863947533133</v>
      </c>
      <c r="AC245" s="510" t="str">
        <f>RESUMO!$E$56</f>
        <v>SIM</v>
      </c>
      <c r="AD245" s="449" t="str">
        <f>RESUMO!$E$57</f>
        <v>SIM</v>
      </c>
      <c r="AE24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5" s="450">
        <f>MateriaisCampo[[#This Row],[UNIT CRED]]*MateriaisCampo[[#This Row],[QUANTIDADE]]</f>
        <v>0</v>
      </c>
      <c r="AG245" s="451">
        <f>MateriaisCampo[[#This Row],[TOT CRED]]</f>
        <v>0</v>
      </c>
      <c r="AH245" s="452">
        <f>IF(MateriaisCampo[[#This Row],[QUANTIDADE]]&lt;&gt;0,((MateriaisCampo[[#This Row],[TOT CUSTO]]/MateriaisCampo[[#This Row],[QUANTIDADE]])/MateriaisCampo[[#This Row],[MARK-UP]]),0)</f>
        <v>0</v>
      </c>
      <c r="AI245" s="453">
        <f>MateriaisCampo[[#This Row],[UNIT VENDA]]*MateriaisCampo[[#This Row],[QUANTIDADE]]</f>
        <v>0</v>
      </c>
      <c r="AJ245" s="453">
        <f>IFERROR(MateriaisCampo[[#This Row],[VENDA]]*(RESUMO!$F$55/RESUMO!$F$45),0)</f>
        <v>0</v>
      </c>
      <c r="AK245" s="453">
        <f>IFERROR(MateriaisCampo[[#This Row],[VENDA]]*(RESUMO!$F$58/RESUMO!$F$45),0)</f>
        <v>0</v>
      </c>
      <c r="AL245" s="454">
        <f>IF(MateriaisCampo[[#This Row],[FATURAMENTO]]="NORMAL",MateriaisCampo[[#This Row],[VENDA]],0)</f>
        <v>0</v>
      </c>
    </row>
    <row r="246" spans="1:38" x14ac:dyDescent="0.25">
      <c r="A246" s="113"/>
      <c r="B246" s="113"/>
      <c r="C246" s="113"/>
      <c r="D246" s="113"/>
      <c r="E246" s="434"/>
      <c r="F246" s="434">
        <f t="shared" si="0"/>
        <v>0</v>
      </c>
      <c r="G246" s="113"/>
      <c r="H246" s="435"/>
      <c r="I246" s="436"/>
      <c r="J246" s="437"/>
      <c r="K246" s="438"/>
      <c r="L246" s="438"/>
      <c r="M246" s="458"/>
      <c r="N246" s="445">
        <f>MateriaisCampo[[#This Row],[UNIT S/IPI S/DESC]]-MateriaisCampo[[#This Row],[UNIT S/IPI S/DESC]]*MateriaisCampo[[#This Row],[% DESC]]</f>
        <v>0</v>
      </c>
      <c r="O246" s="441" t="s">
        <v>295</v>
      </c>
      <c r="P246" s="442" t="s">
        <v>155</v>
      </c>
      <c r="Q246" s="438">
        <v>1.6500000000000001E-2</v>
      </c>
      <c r="R246" s="438">
        <v>7.5999999999999998E-2</v>
      </c>
      <c r="S246" s="443">
        <f>MateriaisCampo[[#This Row],[UNIT S/ IP + DIF ICMS]]*MateriaisCampo[[#This Row],[QUANTIDADE]]</f>
        <v>0</v>
      </c>
      <c r="T246" s="444">
        <f>MateriaisCampo[[#This Row],[TOTAL S/ IPI]]+(MateriaisCampo[[#This Row],[TOTAL S/ IPI]]*MateriaisCampo[[#This Row],[IPI %]])</f>
        <v>0</v>
      </c>
      <c r="U246" s="445">
        <f>IF(AND(MateriaisCampo[[#This Row],[ICMS %]]&lt;&gt;18%,MateriaisCampo[[#This Row],[ORIGEM]]&lt;&gt;"SÃO PAULO"),((18%-MateriaisCampo[[#This Row],[ICMS %]])*MateriaisCampo[[#This Row],[UNIT S/ IPI C/DESC]]),0)</f>
        <v>0</v>
      </c>
      <c r="V246" s="437">
        <f>MateriaisCampo[[#This Row],[UNIT S/ IPI C/DESC]]*MateriaisCampo[[#This Row],[ICMS %]]</f>
        <v>0</v>
      </c>
      <c r="W246" s="437">
        <f>MateriaisCampo[[#This Row],[ICMS $]]*MateriaisCampo[[#This Row],[QUANTIDADE]]</f>
        <v>0</v>
      </c>
      <c r="X246" s="446">
        <f>MateriaisCampo[[#This Row],[UNIT S/ IPI C/DESC]]+MateriaisCampo[[#This Row],[DIFERENCIAL ICMS]]</f>
        <v>0</v>
      </c>
      <c r="Y246" s="446">
        <f>(MateriaisCampo[[#This Row],[PIS]]*MateriaisCampo[[#This Row],[UNIT S/ IPI C/DESC]])/2</f>
        <v>0</v>
      </c>
      <c r="Z246" s="446">
        <f>(MateriaisCampo[[#This Row],[COFINS]]*MateriaisCampo[[#This Row],[UNIT S/ IPI C/DESC]])/2</f>
        <v>0</v>
      </c>
      <c r="AA246" s="445">
        <f>MateriaisCampo[[#This Row],[UNIT S/ IP + DIF ICMS]]+(MateriaisCampo[[#This Row],[UNIT S/ IP + DIF ICMS]]*MateriaisCampo[[#This Row],[IPI %]])</f>
        <v>0</v>
      </c>
      <c r="AB246" s="448">
        <f>_xlfn.XLOOKUP(MateriaisCampo[[#This Row],[FATURAMENTO]],BASE!$U$48:$U$50,BASE!$W$48:$W$50,0,0,1)</f>
        <v>0.79709863947533133</v>
      </c>
      <c r="AC246" s="510" t="str">
        <f>RESUMO!$E$56</f>
        <v>SIM</v>
      </c>
      <c r="AD246" s="449" t="str">
        <f>RESUMO!$E$57</f>
        <v>SIM</v>
      </c>
      <c r="AE24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6" s="450">
        <f>MateriaisCampo[[#This Row],[UNIT CRED]]*MateriaisCampo[[#This Row],[QUANTIDADE]]</f>
        <v>0</v>
      </c>
      <c r="AG246" s="451">
        <f>MateriaisCampo[[#This Row],[TOT CRED]]</f>
        <v>0</v>
      </c>
      <c r="AH246" s="452">
        <f>IF(MateriaisCampo[[#This Row],[QUANTIDADE]]&lt;&gt;0,((MateriaisCampo[[#This Row],[TOT CUSTO]]/MateriaisCampo[[#This Row],[QUANTIDADE]])/MateriaisCampo[[#This Row],[MARK-UP]]),0)</f>
        <v>0</v>
      </c>
      <c r="AI246" s="453">
        <f>MateriaisCampo[[#This Row],[UNIT VENDA]]*MateriaisCampo[[#This Row],[QUANTIDADE]]</f>
        <v>0</v>
      </c>
      <c r="AJ246" s="453">
        <f>IFERROR(MateriaisCampo[[#This Row],[VENDA]]*(RESUMO!$F$55/RESUMO!$F$45),0)</f>
        <v>0</v>
      </c>
      <c r="AK246" s="453">
        <f>IFERROR(MateriaisCampo[[#This Row],[VENDA]]*(RESUMO!$F$58/RESUMO!$F$45),0)</f>
        <v>0</v>
      </c>
      <c r="AL246" s="454">
        <f>IF(MateriaisCampo[[#This Row],[FATURAMENTO]]="NORMAL",MateriaisCampo[[#This Row],[VENDA]],0)</f>
        <v>0</v>
      </c>
    </row>
    <row r="247" spans="1:38" x14ac:dyDescent="0.25">
      <c r="A247" s="113"/>
      <c r="B247" s="113"/>
      <c r="C247" s="113"/>
      <c r="D247" s="113"/>
      <c r="E247" s="434"/>
      <c r="F247" s="434">
        <f t="shared" si="0"/>
        <v>0</v>
      </c>
      <c r="G247" s="113"/>
      <c r="H247" s="435"/>
      <c r="I247" s="436"/>
      <c r="J247" s="437"/>
      <c r="K247" s="438"/>
      <c r="L247" s="438"/>
      <c r="M247" s="458"/>
      <c r="N247" s="445">
        <f>MateriaisCampo[[#This Row],[UNIT S/IPI S/DESC]]-MateriaisCampo[[#This Row],[UNIT S/IPI S/DESC]]*MateriaisCampo[[#This Row],[% DESC]]</f>
        <v>0</v>
      </c>
      <c r="O247" s="441" t="s">
        <v>295</v>
      </c>
      <c r="P247" s="442" t="s">
        <v>155</v>
      </c>
      <c r="Q247" s="438">
        <v>1.6500000000000001E-2</v>
      </c>
      <c r="R247" s="438">
        <v>7.5999999999999998E-2</v>
      </c>
      <c r="S247" s="443">
        <f>MateriaisCampo[[#This Row],[UNIT S/ IP + DIF ICMS]]*MateriaisCampo[[#This Row],[QUANTIDADE]]</f>
        <v>0</v>
      </c>
      <c r="T247" s="444">
        <f>MateriaisCampo[[#This Row],[TOTAL S/ IPI]]+(MateriaisCampo[[#This Row],[TOTAL S/ IPI]]*MateriaisCampo[[#This Row],[IPI %]])</f>
        <v>0</v>
      </c>
      <c r="U247" s="445">
        <f>IF(AND(MateriaisCampo[[#This Row],[ICMS %]]&lt;&gt;18%,MateriaisCampo[[#This Row],[ORIGEM]]&lt;&gt;"SÃO PAULO"),((18%-MateriaisCampo[[#This Row],[ICMS %]])*MateriaisCampo[[#This Row],[UNIT S/ IPI C/DESC]]),0)</f>
        <v>0</v>
      </c>
      <c r="V247" s="437">
        <f>MateriaisCampo[[#This Row],[UNIT S/ IPI C/DESC]]*MateriaisCampo[[#This Row],[ICMS %]]</f>
        <v>0</v>
      </c>
      <c r="W247" s="437">
        <f>MateriaisCampo[[#This Row],[ICMS $]]*MateriaisCampo[[#This Row],[QUANTIDADE]]</f>
        <v>0</v>
      </c>
      <c r="X247" s="446">
        <f>MateriaisCampo[[#This Row],[UNIT S/ IPI C/DESC]]+MateriaisCampo[[#This Row],[DIFERENCIAL ICMS]]</f>
        <v>0</v>
      </c>
      <c r="Y247" s="446">
        <f>(MateriaisCampo[[#This Row],[PIS]]*MateriaisCampo[[#This Row],[UNIT S/ IPI C/DESC]])/2</f>
        <v>0</v>
      </c>
      <c r="Z247" s="446">
        <f>(MateriaisCampo[[#This Row],[COFINS]]*MateriaisCampo[[#This Row],[UNIT S/ IPI C/DESC]])/2</f>
        <v>0</v>
      </c>
      <c r="AA247" s="445">
        <f>MateriaisCampo[[#This Row],[UNIT S/ IP + DIF ICMS]]+(MateriaisCampo[[#This Row],[UNIT S/ IP + DIF ICMS]]*MateriaisCampo[[#This Row],[IPI %]])</f>
        <v>0</v>
      </c>
      <c r="AB247" s="448">
        <f>_xlfn.XLOOKUP(MateriaisCampo[[#This Row],[FATURAMENTO]],BASE!$U$48:$U$50,BASE!$W$48:$W$50,0,0,1)</f>
        <v>0.79709863947533133</v>
      </c>
      <c r="AC247" s="510" t="str">
        <f>RESUMO!$E$56</f>
        <v>SIM</v>
      </c>
      <c r="AD247" s="449" t="str">
        <f>RESUMO!$E$57</f>
        <v>SIM</v>
      </c>
      <c r="AE24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7" s="450">
        <f>MateriaisCampo[[#This Row],[UNIT CRED]]*MateriaisCampo[[#This Row],[QUANTIDADE]]</f>
        <v>0</v>
      </c>
      <c r="AG247" s="451">
        <f>MateriaisCampo[[#This Row],[TOT CRED]]</f>
        <v>0</v>
      </c>
      <c r="AH247" s="452">
        <f>IF(MateriaisCampo[[#This Row],[QUANTIDADE]]&lt;&gt;0,((MateriaisCampo[[#This Row],[TOT CUSTO]]/MateriaisCampo[[#This Row],[QUANTIDADE]])/MateriaisCampo[[#This Row],[MARK-UP]]),0)</f>
        <v>0</v>
      </c>
      <c r="AI247" s="453">
        <f>MateriaisCampo[[#This Row],[UNIT VENDA]]*MateriaisCampo[[#This Row],[QUANTIDADE]]</f>
        <v>0</v>
      </c>
      <c r="AJ247" s="453">
        <f>IFERROR(MateriaisCampo[[#This Row],[VENDA]]*(RESUMO!$F$55/RESUMO!$F$45),0)</f>
        <v>0</v>
      </c>
      <c r="AK247" s="453">
        <f>IFERROR(MateriaisCampo[[#This Row],[VENDA]]*(RESUMO!$F$58/RESUMO!$F$45),0)</f>
        <v>0</v>
      </c>
      <c r="AL247" s="454">
        <f>IF(MateriaisCampo[[#This Row],[FATURAMENTO]]="NORMAL",MateriaisCampo[[#This Row],[VENDA]],0)</f>
        <v>0</v>
      </c>
    </row>
    <row r="248" spans="1:38" x14ac:dyDescent="0.25">
      <c r="A248" s="113"/>
      <c r="B248" s="113"/>
      <c r="C248" s="113"/>
      <c r="D248" s="113"/>
      <c r="E248" s="434"/>
      <c r="F248" s="434">
        <f t="shared" si="0"/>
        <v>0</v>
      </c>
      <c r="G248" s="113"/>
      <c r="H248" s="435"/>
      <c r="I248" s="436"/>
      <c r="J248" s="437"/>
      <c r="K248" s="438"/>
      <c r="L248" s="438"/>
      <c r="M248" s="458"/>
      <c r="N248" s="445">
        <f>MateriaisCampo[[#This Row],[UNIT S/IPI S/DESC]]-MateriaisCampo[[#This Row],[UNIT S/IPI S/DESC]]*MateriaisCampo[[#This Row],[% DESC]]</f>
        <v>0</v>
      </c>
      <c r="O248" s="441" t="s">
        <v>295</v>
      </c>
      <c r="P248" s="442" t="s">
        <v>155</v>
      </c>
      <c r="Q248" s="438">
        <v>1.6500000000000001E-2</v>
      </c>
      <c r="R248" s="438">
        <v>7.5999999999999998E-2</v>
      </c>
      <c r="S248" s="443">
        <f>MateriaisCampo[[#This Row],[UNIT S/ IP + DIF ICMS]]*MateriaisCampo[[#This Row],[QUANTIDADE]]</f>
        <v>0</v>
      </c>
      <c r="T248" s="444">
        <f>MateriaisCampo[[#This Row],[TOTAL S/ IPI]]+(MateriaisCampo[[#This Row],[TOTAL S/ IPI]]*MateriaisCampo[[#This Row],[IPI %]])</f>
        <v>0</v>
      </c>
      <c r="U248" s="445">
        <f>IF(AND(MateriaisCampo[[#This Row],[ICMS %]]&lt;&gt;18%,MateriaisCampo[[#This Row],[ORIGEM]]&lt;&gt;"SÃO PAULO"),((18%-MateriaisCampo[[#This Row],[ICMS %]])*MateriaisCampo[[#This Row],[UNIT S/ IPI C/DESC]]),0)</f>
        <v>0</v>
      </c>
      <c r="V248" s="437">
        <f>MateriaisCampo[[#This Row],[UNIT S/ IPI C/DESC]]*MateriaisCampo[[#This Row],[ICMS %]]</f>
        <v>0</v>
      </c>
      <c r="W248" s="437">
        <f>MateriaisCampo[[#This Row],[ICMS $]]*MateriaisCampo[[#This Row],[QUANTIDADE]]</f>
        <v>0</v>
      </c>
      <c r="X248" s="446">
        <f>MateriaisCampo[[#This Row],[UNIT S/ IPI C/DESC]]+MateriaisCampo[[#This Row],[DIFERENCIAL ICMS]]</f>
        <v>0</v>
      </c>
      <c r="Y248" s="446">
        <f>(MateriaisCampo[[#This Row],[PIS]]*MateriaisCampo[[#This Row],[UNIT S/ IPI C/DESC]])/2</f>
        <v>0</v>
      </c>
      <c r="Z248" s="446">
        <f>(MateriaisCampo[[#This Row],[COFINS]]*MateriaisCampo[[#This Row],[UNIT S/ IPI C/DESC]])/2</f>
        <v>0</v>
      </c>
      <c r="AA248" s="445">
        <f>MateriaisCampo[[#This Row],[UNIT S/ IP + DIF ICMS]]+(MateriaisCampo[[#This Row],[UNIT S/ IP + DIF ICMS]]*MateriaisCampo[[#This Row],[IPI %]])</f>
        <v>0</v>
      </c>
      <c r="AB248" s="448">
        <f>_xlfn.XLOOKUP(MateriaisCampo[[#This Row],[FATURAMENTO]],BASE!$U$48:$U$50,BASE!$W$48:$W$50,0,0,1)</f>
        <v>0.79709863947533133</v>
      </c>
      <c r="AC248" s="510" t="str">
        <f>RESUMO!$E$56</f>
        <v>SIM</v>
      </c>
      <c r="AD248" s="449" t="str">
        <f>RESUMO!$E$57</f>
        <v>SIM</v>
      </c>
      <c r="AE24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8" s="450">
        <f>MateriaisCampo[[#This Row],[UNIT CRED]]*MateriaisCampo[[#This Row],[QUANTIDADE]]</f>
        <v>0</v>
      </c>
      <c r="AG248" s="451">
        <f>MateriaisCampo[[#This Row],[TOT CRED]]</f>
        <v>0</v>
      </c>
      <c r="AH248" s="452">
        <f>IF(MateriaisCampo[[#This Row],[QUANTIDADE]]&lt;&gt;0,((MateriaisCampo[[#This Row],[TOT CUSTO]]/MateriaisCampo[[#This Row],[QUANTIDADE]])/MateriaisCampo[[#This Row],[MARK-UP]]),0)</f>
        <v>0</v>
      </c>
      <c r="AI248" s="453">
        <f>MateriaisCampo[[#This Row],[UNIT VENDA]]*MateriaisCampo[[#This Row],[QUANTIDADE]]</f>
        <v>0</v>
      </c>
      <c r="AJ248" s="453">
        <f>IFERROR(MateriaisCampo[[#This Row],[VENDA]]*(RESUMO!$F$55/RESUMO!$F$45),0)</f>
        <v>0</v>
      </c>
      <c r="AK248" s="453">
        <f>IFERROR(MateriaisCampo[[#This Row],[VENDA]]*(RESUMO!$F$58/RESUMO!$F$45),0)</f>
        <v>0</v>
      </c>
      <c r="AL248" s="454">
        <f>IF(MateriaisCampo[[#This Row],[FATURAMENTO]]="NORMAL",MateriaisCampo[[#This Row],[VENDA]],0)</f>
        <v>0</v>
      </c>
    </row>
    <row r="249" spans="1:38" x14ac:dyDescent="0.25">
      <c r="A249" s="113"/>
      <c r="B249" s="113"/>
      <c r="C249" s="113"/>
      <c r="D249" s="113"/>
      <c r="E249" s="434"/>
      <c r="F249" s="434">
        <f t="shared" si="0"/>
        <v>0</v>
      </c>
      <c r="G249" s="113"/>
      <c r="H249" s="435"/>
      <c r="I249" s="436"/>
      <c r="J249" s="437"/>
      <c r="K249" s="438"/>
      <c r="L249" s="438"/>
      <c r="M249" s="458"/>
      <c r="N249" s="445">
        <f>MateriaisCampo[[#This Row],[UNIT S/IPI S/DESC]]-MateriaisCampo[[#This Row],[UNIT S/IPI S/DESC]]*MateriaisCampo[[#This Row],[% DESC]]</f>
        <v>0</v>
      </c>
      <c r="O249" s="441" t="s">
        <v>295</v>
      </c>
      <c r="P249" s="442" t="s">
        <v>155</v>
      </c>
      <c r="Q249" s="438">
        <v>1.6500000000000001E-2</v>
      </c>
      <c r="R249" s="438">
        <v>7.5999999999999998E-2</v>
      </c>
      <c r="S249" s="443">
        <f>MateriaisCampo[[#This Row],[UNIT S/ IP + DIF ICMS]]*MateriaisCampo[[#This Row],[QUANTIDADE]]</f>
        <v>0</v>
      </c>
      <c r="T249" s="444">
        <f>MateriaisCampo[[#This Row],[TOTAL S/ IPI]]+(MateriaisCampo[[#This Row],[TOTAL S/ IPI]]*MateriaisCampo[[#This Row],[IPI %]])</f>
        <v>0</v>
      </c>
      <c r="U249" s="445">
        <f>IF(AND(MateriaisCampo[[#This Row],[ICMS %]]&lt;&gt;18%,MateriaisCampo[[#This Row],[ORIGEM]]&lt;&gt;"SÃO PAULO"),((18%-MateriaisCampo[[#This Row],[ICMS %]])*MateriaisCampo[[#This Row],[UNIT S/ IPI C/DESC]]),0)</f>
        <v>0</v>
      </c>
      <c r="V249" s="437">
        <f>MateriaisCampo[[#This Row],[UNIT S/ IPI C/DESC]]*MateriaisCampo[[#This Row],[ICMS %]]</f>
        <v>0</v>
      </c>
      <c r="W249" s="437">
        <f>MateriaisCampo[[#This Row],[ICMS $]]*MateriaisCampo[[#This Row],[QUANTIDADE]]</f>
        <v>0</v>
      </c>
      <c r="X249" s="446">
        <f>MateriaisCampo[[#This Row],[UNIT S/ IPI C/DESC]]+MateriaisCampo[[#This Row],[DIFERENCIAL ICMS]]</f>
        <v>0</v>
      </c>
      <c r="Y249" s="446">
        <f>(MateriaisCampo[[#This Row],[PIS]]*MateriaisCampo[[#This Row],[UNIT S/ IPI C/DESC]])/2</f>
        <v>0</v>
      </c>
      <c r="Z249" s="446">
        <f>(MateriaisCampo[[#This Row],[COFINS]]*MateriaisCampo[[#This Row],[UNIT S/ IPI C/DESC]])/2</f>
        <v>0</v>
      </c>
      <c r="AA249" s="445">
        <f>MateriaisCampo[[#This Row],[UNIT S/ IP + DIF ICMS]]+(MateriaisCampo[[#This Row],[UNIT S/ IP + DIF ICMS]]*MateriaisCampo[[#This Row],[IPI %]])</f>
        <v>0</v>
      </c>
      <c r="AB249" s="448">
        <f>_xlfn.XLOOKUP(MateriaisCampo[[#This Row],[FATURAMENTO]],BASE!$U$48:$U$50,BASE!$W$48:$W$50,0,0,1)</f>
        <v>0.79709863947533133</v>
      </c>
      <c r="AC249" s="510" t="str">
        <f>RESUMO!$E$56</f>
        <v>SIM</v>
      </c>
      <c r="AD249" s="449" t="str">
        <f>RESUMO!$E$57</f>
        <v>SIM</v>
      </c>
      <c r="AE24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49" s="450">
        <f>MateriaisCampo[[#This Row],[UNIT CRED]]*MateriaisCampo[[#This Row],[QUANTIDADE]]</f>
        <v>0</v>
      </c>
      <c r="AG249" s="451">
        <f>MateriaisCampo[[#This Row],[TOT CRED]]</f>
        <v>0</v>
      </c>
      <c r="AH249" s="452">
        <f>IF(MateriaisCampo[[#This Row],[QUANTIDADE]]&lt;&gt;0,((MateriaisCampo[[#This Row],[TOT CUSTO]]/MateriaisCampo[[#This Row],[QUANTIDADE]])/MateriaisCampo[[#This Row],[MARK-UP]]),0)</f>
        <v>0</v>
      </c>
      <c r="AI249" s="453">
        <f>MateriaisCampo[[#This Row],[UNIT VENDA]]*MateriaisCampo[[#This Row],[QUANTIDADE]]</f>
        <v>0</v>
      </c>
      <c r="AJ249" s="453">
        <f>IFERROR(MateriaisCampo[[#This Row],[VENDA]]*(RESUMO!$F$55/RESUMO!$F$45),0)</f>
        <v>0</v>
      </c>
      <c r="AK249" s="453">
        <f>IFERROR(MateriaisCampo[[#This Row],[VENDA]]*(RESUMO!$F$58/RESUMO!$F$45),0)</f>
        <v>0</v>
      </c>
      <c r="AL249" s="454">
        <f>IF(MateriaisCampo[[#This Row],[FATURAMENTO]]="NORMAL",MateriaisCampo[[#This Row],[VENDA]],0)</f>
        <v>0</v>
      </c>
    </row>
    <row r="250" spans="1:38" x14ac:dyDescent="0.25">
      <c r="A250" s="113"/>
      <c r="B250" s="113"/>
      <c r="C250" s="113"/>
      <c r="D250" s="113"/>
      <c r="E250" s="434"/>
      <c r="F250" s="434">
        <f t="shared" si="0"/>
        <v>0</v>
      </c>
      <c r="G250" s="113"/>
      <c r="H250" s="435"/>
      <c r="I250" s="436"/>
      <c r="J250" s="437"/>
      <c r="K250" s="438"/>
      <c r="L250" s="438"/>
      <c r="M250" s="458"/>
      <c r="N250" s="445">
        <f>MateriaisCampo[[#This Row],[UNIT S/IPI S/DESC]]-MateriaisCampo[[#This Row],[UNIT S/IPI S/DESC]]*MateriaisCampo[[#This Row],[% DESC]]</f>
        <v>0</v>
      </c>
      <c r="O250" s="441" t="s">
        <v>295</v>
      </c>
      <c r="P250" s="442" t="s">
        <v>155</v>
      </c>
      <c r="Q250" s="438">
        <v>1.6500000000000001E-2</v>
      </c>
      <c r="R250" s="438">
        <v>7.5999999999999998E-2</v>
      </c>
      <c r="S250" s="443">
        <f>MateriaisCampo[[#This Row],[UNIT S/ IP + DIF ICMS]]*MateriaisCampo[[#This Row],[QUANTIDADE]]</f>
        <v>0</v>
      </c>
      <c r="T250" s="444">
        <f>MateriaisCampo[[#This Row],[TOTAL S/ IPI]]+(MateriaisCampo[[#This Row],[TOTAL S/ IPI]]*MateriaisCampo[[#This Row],[IPI %]])</f>
        <v>0</v>
      </c>
      <c r="U250" s="445">
        <f>IF(AND(MateriaisCampo[[#This Row],[ICMS %]]&lt;&gt;18%,MateriaisCampo[[#This Row],[ORIGEM]]&lt;&gt;"SÃO PAULO"),((18%-MateriaisCampo[[#This Row],[ICMS %]])*MateriaisCampo[[#This Row],[UNIT S/ IPI C/DESC]]),0)</f>
        <v>0</v>
      </c>
      <c r="V250" s="437">
        <f>MateriaisCampo[[#This Row],[UNIT S/ IPI C/DESC]]*MateriaisCampo[[#This Row],[ICMS %]]</f>
        <v>0</v>
      </c>
      <c r="W250" s="437">
        <f>MateriaisCampo[[#This Row],[ICMS $]]*MateriaisCampo[[#This Row],[QUANTIDADE]]</f>
        <v>0</v>
      </c>
      <c r="X250" s="446">
        <f>MateriaisCampo[[#This Row],[UNIT S/ IPI C/DESC]]+MateriaisCampo[[#This Row],[DIFERENCIAL ICMS]]</f>
        <v>0</v>
      </c>
      <c r="Y250" s="446">
        <f>(MateriaisCampo[[#This Row],[PIS]]*MateriaisCampo[[#This Row],[UNIT S/ IPI C/DESC]])/2</f>
        <v>0</v>
      </c>
      <c r="Z250" s="446">
        <f>(MateriaisCampo[[#This Row],[COFINS]]*MateriaisCampo[[#This Row],[UNIT S/ IPI C/DESC]])/2</f>
        <v>0</v>
      </c>
      <c r="AA250" s="445">
        <f>MateriaisCampo[[#This Row],[UNIT S/ IP + DIF ICMS]]+(MateriaisCampo[[#This Row],[UNIT S/ IP + DIF ICMS]]*MateriaisCampo[[#This Row],[IPI %]])</f>
        <v>0</v>
      </c>
      <c r="AB250" s="448">
        <f>_xlfn.XLOOKUP(MateriaisCampo[[#This Row],[FATURAMENTO]],BASE!$U$48:$U$50,BASE!$W$48:$W$50,0,0,1)</f>
        <v>0.79709863947533133</v>
      </c>
      <c r="AC250" s="510" t="str">
        <f>RESUMO!$E$56</f>
        <v>SIM</v>
      </c>
      <c r="AD250" s="449" t="str">
        <f>RESUMO!$E$57</f>
        <v>SIM</v>
      </c>
      <c r="AE25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0" s="450">
        <f>MateriaisCampo[[#This Row],[UNIT CRED]]*MateriaisCampo[[#This Row],[QUANTIDADE]]</f>
        <v>0</v>
      </c>
      <c r="AG250" s="451">
        <f>MateriaisCampo[[#This Row],[TOT CRED]]</f>
        <v>0</v>
      </c>
      <c r="AH250" s="452">
        <f>IF(MateriaisCampo[[#This Row],[QUANTIDADE]]&lt;&gt;0,((MateriaisCampo[[#This Row],[TOT CUSTO]]/MateriaisCampo[[#This Row],[QUANTIDADE]])/MateriaisCampo[[#This Row],[MARK-UP]]),0)</f>
        <v>0</v>
      </c>
      <c r="AI250" s="453">
        <f>MateriaisCampo[[#This Row],[UNIT VENDA]]*MateriaisCampo[[#This Row],[QUANTIDADE]]</f>
        <v>0</v>
      </c>
      <c r="AJ250" s="453">
        <f>IFERROR(MateriaisCampo[[#This Row],[VENDA]]*(RESUMO!$F$55/RESUMO!$F$45),0)</f>
        <v>0</v>
      </c>
      <c r="AK250" s="453">
        <f>IFERROR(MateriaisCampo[[#This Row],[VENDA]]*(RESUMO!$F$58/RESUMO!$F$45),0)</f>
        <v>0</v>
      </c>
      <c r="AL250" s="454">
        <f>IF(MateriaisCampo[[#This Row],[FATURAMENTO]]="NORMAL",MateriaisCampo[[#This Row],[VENDA]],0)</f>
        <v>0</v>
      </c>
    </row>
    <row r="251" spans="1:38" x14ac:dyDescent="0.25">
      <c r="A251" s="113"/>
      <c r="B251" s="113"/>
      <c r="C251" s="113"/>
      <c r="D251" s="113"/>
      <c r="E251" s="434"/>
      <c r="F251" s="434">
        <f t="shared" si="0"/>
        <v>0</v>
      </c>
      <c r="G251" s="113"/>
      <c r="H251" s="435"/>
      <c r="I251" s="436"/>
      <c r="J251" s="437"/>
      <c r="K251" s="438"/>
      <c r="L251" s="438"/>
      <c r="M251" s="458"/>
      <c r="N251" s="445">
        <f>MateriaisCampo[[#This Row],[UNIT S/IPI S/DESC]]-MateriaisCampo[[#This Row],[UNIT S/IPI S/DESC]]*MateriaisCampo[[#This Row],[% DESC]]</f>
        <v>0</v>
      </c>
      <c r="O251" s="441" t="s">
        <v>295</v>
      </c>
      <c r="P251" s="442" t="s">
        <v>155</v>
      </c>
      <c r="Q251" s="438">
        <v>1.6500000000000001E-2</v>
      </c>
      <c r="R251" s="438">
        <v>7.5999999999999998E-2</v>
      </c>
      <c r="S251" s="443">
        <f>MateriaisCampo[[#This Row],[UNIT S/ IP + DIF ICMS]]*MateriaisCampo[[#This Row],[QUANTIDADE]]</f>
        <v>0</v>
      </c>
      <c r="T251" s="444">
        <f>MateriaisCampo[[#This Row],[TOTAL S/ IPI]]+(MateriaisCampo[[#This Row],[TOTAL S/ IPI]]*MateriaisCampo[[#This Row],[IPI %]])</f>
        <v>0</v>
      </c>
      <c r="U251" s="445">
        <f>IF(AND(MateriaisCampo[[#This Row],[ICMS %]]&lt;&gt;18%,MateriaisCampo[[#This Row],[ORIGEM]]&lt;&gt;"SÃO PAULO"),((18%-MateriaisCampo[[#This Row],[ICMS %]])*MateriaisCampo[[#This Row],[UNIT S/ IPI C/DESC]]),0)</f>
        <v>0</v>
      </c>
      <c r="V251" s="437">
        <f>MateriaisCampo[[#This Row],[UNIT S/ IPI C/DESC]]*MateriaisCampo[[#This Row],[ICMS %]]</f>
        <v>0</v>
      </c>
      <c r="W251" s="437">
        <f>MateriaisCampo[[#This Row],[ICMS $]]*MateriaisCampo[[#This Row],[QUANTIDADE]]</f>
        <v>0</v>
      </c>
      <c r="X251" s="446">
        <f>MateriaisCampo[[#This Row],[UNIT S/ IPI C/DESC]]+MateriaisCampo[[#This Row],[DIFERENCIAL ICMS]]</f>
        <v>0</v>
      </c>
      <c r="Y251" s="446">
        <f>(MateriaisCampo[[#This Row],[PIS]]*MateriaisCampo[[#This Row],[UNIT S/ IPI C/DESC]])/2</f>
        <v>0</v>
      </c>
      <c r="Z251" s="446">
        <f>(MateriaisCampo[[#This Row],[COFINS]]*MateriaisCampo[[#This Row],[UNIT S/ IPI C/DESC]])/2</f>
        <v>0</v>
      </c>
      <c r="AA251" s="445">
        <f>MateriaisCampo[[#This Row],[UNIT S/ IP + DIF ICMS]]+(MateriaisCampo[[#This Row],[UNIT S/ IP + DIF ICMS]]*MateriaisCampo[[#This Row],[IPI %]])</f>
        <v>0</v>
      </c>
      <c r="AB251" s="448">
        <f>_xlfn.XLOOKUP(MateriaisCampo[[#This Row],[FATURAMENTO]],BASE!$U$48:$U$50,BASE!$W$48:$W$50,0,0,1)</f>
        <v>0.79709863947533133</v>
      </c>
      <c r="AC251" s="510" t="str">
        <f>RESUMO!$E$56</f>
        <v>SIM</v>
      </c>
      <c r="AD251" s="449" t="str">
        <f>RESUMO!$E$57</f>
        <v>SIM</v>
      </c>
      <c r="AE25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1" s="450">
        <f>MateriaisCampo[[#This Row],[UNIT CRED]]*MateriaisCampo[[#This Row],[QUANTIDADE]]</f>
        <v>0</v>
      </c>
      <c r="AG251" s="451">
        <f>MateriaisCampo[[#This Row],[TOT CRED]]</f>
        <v>0</v>
      </c>
      <c r="AH251" s="452">
        <f>IF(MateriaisCampo[[#This Row],[QUANTIDADE]]&lt;&gt;0,((MateriaisCampo[[#This Row],[TOT CUSTO]]/MateriaisCampo[[#This Row],[QUANTIDADE]])/MateriaisCampo[[#This Row],[MARK-UP]]),0)</f>
        <v>0</v>
      </c>
      <c r="AI251" s="453">
        <f>MateriaisCampo[[#This Row],[UNIT VENDA]]*MateriaisCampo[[#This Row],[QUANTIDADE]]</f>
        <v>0</v>
      </c>
      <c r="AJ251" s="453">
        <f>IFERROR(MateriaisCampo[[#This Row],[VENDA]]*(RESUMO!$F$55/RESUMO!$F$45),0)</f>
        <v>0</v>
      </c>
      <c r="AK251" s="453">
        <f>IFERROR(MateriaisCampo[[#This Row],[VENDA]]*(RESUMO!$F$58/RESUMO!$F$45),0)</f>
        <v>0</v>
      </c>
      <c r="AL251" s="454">
        <f>IF(MateriaisCampo[[#This Row],[FATURAMENTO]]="NORMAL",MateriaisCampo[[#This Row],[VENDA]],0)</f>
        <v>0</v>
      </c>
    </row>
    <row r="252" spans="1:38" x14ac:dyDescent="0.25">
      <c r="A252" s="113"/>
      <c r="B252" s="113"/>
      <c r="C252" s="113"/>
      <c r="D252" s="113"/>
      <c r="E252" s="434"/>
      <c r="F252" s="434">
        <f t="shared" si="0"/>
        <v>0</v>
      </c>
      <c r="G252" s="113"/>
      <c r="H252" s="435"/>
      <c r="I252" s="436"/>
      <c r="J252" s="437"/>
      <c r="K252" s="438"/>
      <c r="L252" s="438"/>
      <c r="M252" s="458"/>
      <c r="N252" s="445">
        <f>MateriaisCampo[[#This Row],[UNIT S/IPI S/DESC]]-MateriaisCampo[[#This Row],[UNIT S/IPI S/DESC]]*MateriaisCampo[[#This Row],[% DESC]]</f>
        <v>0</v>
      </c>
      <c r="O252" s="441" t="s">
        <v>295</v>
      </c>
      <c r="P252" s="442" t="s">
        <v>155</v>
      </c>
      <c r="Q252" s="438">
        <v>1.6500000000000001E-2</v>
      </c>
      <c r="R252" s="438">
        <v>7.5999999999999998E-2</v>
      </c>
      <c r="S252" s="443">
        <f>MateriaisCampo[[#This Row],[UNIT S/ IP + DIF ICMS]]*MateriaisCampo[[#This Row],[QUANTIDADE]]</f>
        <v>0</v>
      </c>
      <c r="T252" s="444">
        <f>MateriaisCampo[[#This Row],[TOTAL S/ IPI]]+(MateriaisCampo[[#This Row],[TOTAL S/ IPI]]*MateriaisCampo[[#This Row],[IPI %]])</f>
        <v>0</v>
      </c>
      <c r="U252" s="445">
        <f>IF(AND(MateriaisCampo[[#This Row],[ICMS %]]&lt;&gt;18%,MateriaisCampo[[#This Row],[ORIGEM]]&lt;&gt;"SÃO PAULO"),((18%-MateriaisCampo[[#This Row],[ICMS %]])*MateriaisCampo[[#This Row],[UNIT S/ IPI C/DESC]]),0)</f>
        <v>0</v>
      </c>
      <c r="V252" s="437">
        <f>MateriaisCampo[[#This Row],[UNIT S/ IPI C/DESC]]*MateriaisCampo[[#This Row],[ICMS %]]</f>
        <v>0</v>
      </c>
      <c r="W252" s="437">
        <f>MateriaisCampo[[#This Row],[ICMS $]]*MateriaisCampo[[#This Row],[QUANTIDADE]]</f>
        <v>0</v>
      </c>
      <c r="X252" s="446">
        <f>MateriaisCampo[[#This Row],[UNIT S/ IPI C/DESC]]+MateriaisCampo[[#This Row],[DIFERENCIAL ICMS]]</f>
        <v>0</v>
      </c>
      <c r="Y252" s="446">
        <f>(MateriaisCampo[[#This Row],[PIS]]*MateriaisCampo[[#This Row],[UNIT S/ IPI C/DESC]])/2</f>
        <v>0</v>
      </c>
      <c r="Z252" s="446">
        <f>(MateriaisCampo[[#This Row],[COFINS]]*MateriaisCampo[[#This Row],[UNIT S/ IPI C/DESC]])/2</f>
        <v>0</v>
      </c>
      <c r="AA252" s="445">
        <f>MateriaisCampo[[#This Row],[UNIT S/ IP + DIF ICMS]]+(MateriaisCampo[[#This Row],[UNIT S/ IP + DIF ICMS]]*MateriaisCampo[[#This Row],[IPI %]])</f>
        <v>0</v>
      </c>
      <c r="AB252" s="448">
        <f>_xlfn.XLOOKUP(MateriaisCampo[[#This Row],[FATURAMENTO]],BASE!$U$48:$U$50,BASE!$W$48:$W$50,0,0,1)</f>
        <v>0.79709863947533133</v>
      </c>
      <c r="AC252" s="510" t="str">
        <f>RESUMO!$E$56</f>
        <v>SIM</v>
      </c>
      <c r="AD252" s="449" t="str">
        <f>RESUMO!$E$57</f>
        <v>SIM</v>
      </c>
      <c r="AE25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2" s="450">
        <f>MateriaisCampo[[#This Row],[UNIT CRED]]*MateriaisCampo[[#This Row],[QUANTIDADE]]</f>
        <v>0</v>
      </c>
      <c r="AG252" s="451">
        <f>MateriaisCampo[[#This Row],[TOT CRED]]</f>
        <v>0</v>
      </c>
      <c r="AH252" s="452">
        <f>IF(MateriaisCampo[[#This Row],[QUANTIDADE]]&lt;&gt;0,((MateriaisCampo[[#This Row],[TOT CUSTO]]/MateriaisCampo[[#This Row],[QUANTIDADE]])/MateriaisCampo[[#This Row],[MARK-UP]]),0)</f>
        <v>0</v>
      </c>
      <c r="AI252" s="453">
        <f>MateriaisCampo[[#This Row],[UNIT VENDA]]*MateriaisCampo[[#This Row],[QUANTIDADE]]</f>
        <v>0</v>
      </c>
      <c r="AJ252" s="453">
        <f>IFERROR(MateriaisCampo[[#This Row],[VENDA]]*(RESUMO!$F$55/RESUMO!$F$45),0)</f>
        <v>0</v>
      </c>
      <c r="AK252" s="453">
        <f>IFERROR(MateriaisCampo[[#This Row],[VENDA]]*(RESUMO!$F$58/RESUMO!$F$45),0)</f>
        <v>0</v>
      </c>
      <c r="AL252" s="454">
        <f>IF(MateriaisCampo[[#This Row],[FATURAMENTO]]="NORMAL",MateriaisCampo[[#This Row],[VENDA]],0)</f>
        <v>0</v>
      </c>
    </row>
    <row r="253" spans="1:38" x14ac:dyDescent="0.25">
      <c r="A253" s="113"/>
      <c r="B253" s="113"/>
      <c r="C253" s="113"/>
      <c r="D253" s="113"/>
      <c r="E253" s="434"/>
      <c r="F253" s="434">
        <f t="shared" si="0"/>
        <v>0</v>
      </c>
      <c r="G253" s="113"/>
      <c r="H253" s="435"/>
      <c r="I253" s="436"/>
      <c r="J253" s="437"/>
      <c r="K253" s="438"/>
      <c r="L253" s="438"/>
      <c r="M253" s="458"/>
      <c r="N253" s="445">
        <f>MateriaisCampo[[#This Row],[UNIT S/IPI S/DESC]]-MateriaisCampo[[#This Row],[UNIT S/IPI S/DESC]]*MateriaisCampo[[#This Row],[% DESC]]</f>
        <v>0</v>
      </c>
      <c r="O253" s="441" t="s">
        <v>295</v>
      </c>
      <c r="P253" s="442" t="s">
        <v>155</v>
      </c>
      <c r="Q253" s="438">
        <v>1.6500000000000001E-2</v>
      </c>
      <c r="R253" s="438">
        <v>7.5999999999999998E-2</v>
      </c>
      <c r="S253" s="443">
        <f>MateriaisCampo[[#This Row],[UNIT S/ IP + DIF ICMS]]*MateriaisCampo[[#This Row],[QUANTIDADE]]</f>
        <v>0</v>
      </c>
      <c r="T253" s="444">
        <f>MateriaisCampo[[#This Row],[TOTAL S/ IPI]]+(MateriaisCampo[[#This Row],[TOTAL S/ IPI]]*MateriaisCampo[[#This Row],[IPI %]])</f>
        <v>0</v>
      </c>
      <c r="U253" s="445">
        <f>IF(AND(MateriaisCampo[[#This Row],[ICMS %]]&lt;&gt;18%,MateriaisCampo[[#This Row],[ORIGEM]]&lt;&gt;"SÃO PAULO"),((18%-MateriaisCampo[[#This Row],[ICMS %]])*MateriaisCampo[[#This Row],[UNIT S/ IPI C/DESC]]),0)</f>
        <v>0</v>
      </c>
      <c r="V253" s="437">
        <f>MateriaisCampo[[#This Row],[UNIT S/ IPI C/DESC]]*MateriaisCampo[[#This Row],[ICMS %]]</f>
        <v>0</v>
      </c>
      <c r="W253" s="437">
        <f>MateriaisCampo[[#This Row],[ICMS $]]*MateriaisCampo[[#This Row],[QUANTIDADE]]</f>
        <v>0</v>
      </c>
      <c r="X253" s="446">
        <f>MateriaisCampo[[#This Row],[UNIT S/ IPI C/DESC]]+MateriaisCampo[[#This Row],[DIFERENCIAL ICMS]]</f>
        <v>0</v>
      </c>
      <c r="Y253" s="446">
        <f>(MateriaisCampo[[#This Row],[PIS]]*MateriaisCampo[[#This Row],[UNIT S/ IPI C/DESC]])/2</f>
        <v>0</v>
      </c>
      <c r="Z253" s="446">
        <f>(MateriaisCampo[[#This Row],[COFINS]]*MateriaisCampo[[#This Row],[UNIT S/ IPI C/DESC]])/2</f>
        <v>0</v>
      </c>
      <c r="AA253" s="445">
        <f>MateriaisCampo[[#This Row],[UNIT S/ IP + DIF ICMS]]+(MateriaisCampo[[#This Row],[UNIT S/ IP + DIF ICMS]]*MateriaisCampo[[#This Row],[IPI %]])</f>
        <v>0</v>
      </c>
      <c r="AB253" s="448">
        <f>_xlfn.XLOOKUP(MateriaisCampo[[#This Row],[FATURAMENTO]],BASE!$U$48:$U$50,BASE!$W$48:$W$50,0,0,1)</f>
        <v>0.79709863947533133</v>
      </c>
      <c r="AC253" s="510" t="str">
        <f>RESUMO!$E$56</f>
        <v>SIM</v>
      </c>
      <c r="AD253" s="449" t="str">
        <f>RESUMO!$E$57</f>
        <v>SIM</v>
      </c>
      <c r="AE25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3" s="450">
        <f>MateriaisCampo[[#This Row],[UNIT CRED]]*MateriaisCampo[[#This Row],[QUANTIDADE]]</f>
        <v>0</v>
      </c>
      <c r="AG253" s="451">
        <f>MateriaisCampo[[#This Row],[TOT CRED]]</f>
        <v>0</v>
      </c>
      <c r="AH253" s="452">
        <f>IF(MateriaisCampo[[#This Row],[QUANTIDADE]]&lt;&gt;0,((MateriaisCampo[[#This Row],[TOT CUSTO]]/MateriaisCampo[[#This Row],[QUANTIDADE]])/MateriaisCampo[[#This Row],[MARK-UP]]),0)</f>
        <v>0</v>
      </c>
      <c r="AI253" s="453">
        <f>MateriaisCampo[[#This Row],[UNIT VENDA]]*MateriaisCampo[[#This Row],[QUANTIDADE]]</f>
        <v>0</v>
      </c>
      <c r="AJ253" s="453">
        <f>IFERROR(MateriaisCampo[[#This Row],[VENDA]]*(RESUMO!$F$55/RESUMO!$F$45),0)</f>
        <v>0</v>
      </c>
      <c r="AK253" s="453">
        <f>IFERROR(MateriaisCampo[[#This Row],[VENDA]]*(RESUMO!$F$58/RESUMO!$F$45),0)</f>
        <v>0</v>
      </c>
      <c r="AL253" s="454">
        <f>IF(MateriaisCampo[[#This Row],[FATURAMENTO]]="NORMAL",MateriaisCampo[[#This Row],[VENDA]],0)</f>
        <v>0</v>
      </c>
    </row>
    <row r="254" spans="1:38" x14ac:dyDescent="0.25">
      <c r="A254" s="113"/>
      <c r="B254" s="113"/>
      <c r="C254" s="113"/>
      <c r="D254" s="113"/>
      <c r="E254" s="434"/>
      <c r="F254" s="434">
        <f t="shared" ref="F254:F294" si="4">F$7</f>
        <v>0</v>
      </c>
      <c r="G254" s="113"/>
      <c r="H254" s="435"/>
      <c r="I254" s="436"/>
      <c r="J254" s="437"/>
      <c r="K254" s="438"/>
      <c r="L254" s="438"/>
      <c r="M254" s="458"/>
      <c r="N254" s="445">
        <f>MateriaisCampo[[#This Row],[UNIT S/IPI S/DESC]]-MateriaisCampo[[#This Row],[UNIT S/IPI S/DESC]]*MateriaisCampo[[#This Row],[% DESC]]</f>
        <v>0</v>
      </c>
      <c r="O254" s="441" t="s">
        <v>295</v>
      </c>
      <c r="P254" s="442" t="s">
        <v>155</v>
      </c>
      <c r="Q254" s="438">
        <v>1.6500000000000001E-2</v>
      </c>
      <c r="R254" s="438">
        <v>7.5999999999999998E-2</v>
      </c>
      <c r="S254" s="443">
        <f>MateriaisCampo[[#This Row],[UNIT S/ IP + DIF ICMS]]*MateriaisCampo[[#This Row],[QUANTIDADE]]</f>
        <v>0</v>
      </c>
      <c r="T254" s="444">
        <f>MateriaisCampo[[#This Row],[TOTAL S/ IPI]]+(MateriaisCampo[[#This Row],[TOTAL S/ IPI]]*MateriaisCampo[[#This Row],[IPI %]])</f>
        <v>0</v>
      </c>
      <c r="U254" s="445">
        <f>IF(AND(MateriaisCampo[[#This Row],[ICMS %]]&lt;&gt;18%,MateriaisCampo[[#This Row],[ORIGEM]]&lt;&gt;"SÃO PAULO"),((18%-MateriaisCampo[[#This Row],[ICMS %]])*MateriaisCampo[[#This Row],[UNIT S/ IPI C/DESC]]),0)</f>
        <v>0</v>
      </c>
      <c r="V254" s="437">
        <f>MateriaisCampo[[#This Row],[UNIT S/ IPI C/DESC]]*MateriaisCampo[[#This Row],[ICMS %]]</f>
        <v>0</v>
      </c>
      <c r="W254" s="437">
        <f>MateriaisCampo[[#This Row],[ICMS $]]*MateriaisCampo[[#This Row],[QUANTIDADE]]</f>
        <v>0</v>
      </c>
      <c r="X254" s="446">
        <f>MateriaisCampo[[#This Row],[UNIT S/ IPI C/DESC]]+MateriaisCampo[[#This Row],[DIFERENCIAL ICMS]]</f>
        <v>0</v>
      </c>
      <c r="Y254" s="446">
        <f>(MateriaisCampo[[#This Row],[PIS]]*MateriaisCampo[[#This Row],[UNIT S/ IPI C/DESC]])/2</f>
        <v>0</v>
      </c>
      <c r="Z254" s="446">
        <f>(MateriaisCampo[[#This Row],[COFINS]]*MateriaisCampo[[#This Row],[UNIT S/ IPI C/DESC]])/2</f>
        <v>0</v>
      </c>
      <c r="AA254" s="445">
        <f>MateriaisCampo[[#This Row],[UNIT S/ IP + DIF ICMS]]+(MateriaisCampo[[#This Row],[UNIT S/ IP + DIF ICMS]]*MateriaisCampo[[#This Row],[IPI %]])</f>
        <v>0</v>
      </c>
      <c r="AB254" s="448">
        <f>_xlfn.XLOOKUP(MateriaisCampo[[#This Row],[FATURAMENTO]],BASE!$U$48:$U$50,BASE!$W$48:$W$50,0,0,1)</f>
        <v>0.79709863947533133</v>
      </c>
      <c r="AC254" s="510" t="str">
        <f>RESUMO!$E$56</f>
        <v>SIM</v>
      </c>
      <c r="AD254" s="449" t="str">
        <f>RESUMO!$E$57</f>
        <v>SIM</v>
      </c>
      <c r="AE25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4" s="450">
        <f>MateriaisCampo[[#This Row],[UNIT CRED]]*MateriaisCampo[[#This Row],[QUANTIDADE]]</f>
        <v>0</v>
      </c>
      <c r="AG254" s="451">
        <f>MateriaisCampo[[#This Row],[TOT CRED]]</f>
        <v>0</v>
      </c>
      <c r="AH254" s="452">
        <f>IF(MateriaisCampo[[#This Row],[QUANTIDADE]]&lt;&gt;0,((MateriaisCampo[[#This Row],[TOT CUSTO]]/MateriaisCampo[[#This Row],[QUANTIDADE]])/MateriaisCampo[[#This Row],[MARK-UP]]),0)</f>
        <v>0</v>
      </c>
      <c r="AI254" s="453">
        <f>MateriaisCampo[[#This Row],[UNIT VENDA]]*MateriaisCampo[[#This Row],[QUANTIDADE]]</f>
        <v>0</v>
      </c>
      <c r="AJ254" s="453">
        <f>IFERROR(MateriaisCampo[[#This Row],[VENDA]]*(RESUMO!$F$55/RESUMO!$F$45),0)</f>
        <v>0</v>
      </c>
      <c r="AK254" s="453">
        <f>IFERROR(MateriaisCampo[[#This Row],[VENDA]]*(RESUMO!$F$58/RESUMO!$F$45),0)</f>
        <v>0</v>
      </c>
      <c r="AL254" s="454">
        <f>IF(MateriaisCampo[[#This Row],[FATURAMENTO]]="NORMAL",MateriaisCampo[[#This Row],[VENDA]],0)</f>
        <v>0</v>
      </c>
    </row>
    <row r="255" spans="1:38" x14ac:dyDescent="0.25">
      <c r="A255" s="113"/>
      <c r="B255" s="113"/>
      <c r="C255" s="113"/>
      <c r="D255" s="113"/>
      <c r="E255" s="434"/>
      <c r="F255" s="434">
        <f t="shared" si="4"/>
        <v>0</v>
      </c>
      <c r="G255" s="113"/>
      <c r="H255" s="435"/>
      <c r="I255" s="436"/>
      <c r="J255" s="437"/>
      <c r="K255" s="438"/>
      <c r="L255" s="438"/>
      <c r="M255" s="458"/>
      <c r="N255" s="445">
        <f>MateriaisCampo[[#This Row],[UNIT S/IPI S/DESC]]-MateriaisCampo[[#This Row],[UNIT S/IPI S/DESC]]*MateriaisCampo[[#This Row],[% DESC]]</f>
        <v>0</v>
      </c>
      <c r="O255" s="441" t="s">
        <v>295</v>
      </c>
      <c r="P255" s="442" t="s">
        <v>155</v>
      </c>
      <c r="Q255" s="438">
        <v>1.6500000000000001E-2</v>
      </c>
      <c r="R255" s="438">
        <v>7.5999999999999998E-2</v>
      </c>
      <c r="S255" s="443">
        <f>MateriaisCampo[[#This Row],[UNIT S/ IP + DIF ICMS]]*MateriaisCampo[[#This Row],[QUANTIDADE]]</f>
        <v>0</v>
      </c>
      <c r="T255" s="444">
        <f>MateriaisCampo[[#This Row],[TOTAL S/ IPI]]+(MateriaisCampo[[#This Row],[TOTAL S/ IPI]]*MateriaisCampo[[#This Row],[IPI %]])</f>
        <v>0</v>
      </c>
      <c r="U255" s="445">
        <f>IF(AND(MateriaisCampo[[#This Row],[ICMS %]]&lt;&gt;18%,MateriaisCampo[[#This Row],[ORIGEM]]&lt;&gt;"SÃO PAULO"),((18%-MateriaisCampo[[#This Row],[ICMS %]])*MateriaisCampo[[#This Row],[UNIT S/ IPI C/DESC]]),0)</f>
        <v>0</v>
      </c>
      <c r="V255" s="437">
        <f>MateriaisCampo[[#This Row],[UNIT S/ IPI C/DESC]]*MateriaisCampo[[#This Row],[ICMS %]]</f>
        <v>0</v>
      </c>
      <c r="W255" s="437">
        <f>MateriaisCampo[[#This Row],[ICMS $]]*MateriaisCampo[[#This Row],[QUANTIDADE]]</f>
        <v>0</v>
      </c>
      <c r="X255" s="446">
        <f>MateriaisCampo[[#This Row],[UNIT S/ IPI C/DESC]]+MateriaisCampo[[#This Row],[DIFERENCIAL ICMS]]</f>
        <v>0</v>
      </c>
      <c r="Y255" s="446">
        <f>(MateriaisCampo[[#This Row],[PIS]]*MateriaisCampo[[#This Row],[UNIT S/ IPI C/DESC]])/2</f>
        <v>0</v>
      </c>
      <c r="Z255" s="446">
        <f>(MateriaisCampo[[#This Row],[COFINS]]*MateriaisCampo[[#This Row],[UNIT S/ IPI C/DESC]])/2</f>
        <v>0</v>
      </c>
      <c r="AA255" s="445">
        <f>MateriaisCampo[[#This Row],[UNIT S/ IP + DIF ICMS]]+(MateriaisCampo[[#This Row],[UNIT S/ IP + DIF ICMS]]*MateriaisCampo[[#This Row],[IPI %]])</f>
        <v>0</v>
      </c>
      <c r="AB255" s="448">
        <f>_xlfn.XLOOKUP(MateriaisCampo[[#This Row],[FATURAMENTO]],BASE!$U$48:$U$50,BASE!$W$48:$W$50,0,0,1)</f>
        <v>0.79709863947533133</v>
      </c>
      <c r="AC255" s="510" t="str">
        <f>RESUMO!$E$56</f>
        <v>SIM</v>
      </c>
      <c r="AD255" s="449" t="str">
        <f>RESUMO!$E$57</f>
        <v>SIM</v>
      </c>
      <c r="AE25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5" s="450">
        <f>MateriaisCampo[[#This Row],[UNIT CRED]]*MateriaisCampo[[#This Row],[QUANTIDADE]]</f>
        <v>0</v>
      </c>
      <c r="AG255" s="451">
        <f>MateriaisCampo[[#This Row],[TOT CRED]]</f>
        <v>0</v>
      </c>
      <c r="AH255" s="452">
        <f>IF(MateriaisCampo[[#This Row],[QUANTIDADE]]&lt;&gt;0,((MateriaisCampo[[#This Row],[TOT CUSTO]]/MateriaisCampo[[#This Row],[QUANTIDADE]])/MateriaisCampo[[#This Row],[MARK-UP]]),0)</f>
        <v>0</v>
      </c>
      <c r="AI255" s="453">
        <f>MateriaisCampo[[#This Row],[UNIT VENDA]]*MateriaisCampo[[#This Row],[QUANTIDADE]]</f>
        <v>0</v>
      </c>
      <c r="AJ255" s="453">
        <f>IFERROR(MateriaisCampo[[#This Row],[VENDA]]*(RESUMO!$F$55/RESUMO!$F$45),0)</f>
        <v>0</v>
      </c>
      <c r="AK255" s="453">
        <f>IFERROR(MateriaisCampo[[#This Row],[VENDA]]*(RESUMO!$F$58/RESUMO!$F$45),0)</f>
        <v>0</v>
      </c>
      <c r="AL255" s="454">
        <f>IF(MateriaisCampo[[#This Row],[FATURAMENTO]]="NORMAL",MateriaisCampo[[#This Row],[VENDA]],0)</f>
        <v>0</v>
      </c>
    </row>
    <row r="256" spans="1:38" x14ac:dyDescent="0.25">
      <c r="A256" s="113"/>
      <c r="B256" s="113"/>
      <c r="C256" s="113"/>
      <c r="D256" s="113"/>
      <c r="E256" s="434"/>
      <c r="F256" s="434">
        <f t="shared" si="4"/>
        <v>0</v>
      </c>
      <c r="G256" s="113"/>
      <c r="H256" s="435"/>
      <c r="I256" s="436"/>
      <c r="J256" s="437"/>
      <c r="K256" s="438"/>
      <c r="L256" s="438"/>
      <c r="M256" s="458"/>
      <c r="N256" s="445">
        <f>MateriaisCampo[[#This Row],[UNIT S/IPI S/DESC]]-MateriaisCampo[[#This Row],[UNIT S/IPI S/DESC]]*MateriaisCampo[[#This Row],[% DESC]]</f>
        <v>0</v>
      </c>
      <c r="O256" s="441" t="s">
        <v>295</v>
      </c>
      <c r="P256" s="442" t="s">
        <v>155</v>
      </c>
      <c r="Q256" s="438">
        <v>1.6500000000000001E-2</v>
      </c>
      <c r="R256" s="438">
        <v>7.5999999999999998E-2</v>
      </c>
      <c r="S256" s="443">
        <f>MateriaisCampo[[#This Row],[UNIT S/ IP + DIF ICMS]]*MateriaisCampo[[#This Row],[QUANTIDADE]]</f>
        <v>0</v>
      </c>
      <c r="T256" s="444">
        <f>MateriaisCampo[[#This Row],[TOTAL S/ IPI]]+(MateriaisCampo[[#This Row],[TOTAL S/ IPI]]*MateriaisCampo[[#This Row],[IPI %]])</f>
        <v>0</v>
      </c>
      <c r="U256" s="445">
        <f>IF(AND(MateriaisCampo[[#This Row],[ICMS %]]&lt;&gt;18%,MateriaisCampo[[#This Row],[ORIGEM]]&lt;&gt;"SÃO PAULO"),((18%-MateriaisCampo[[#This Row],[ICMS %]])*MateriaisCampo[[#This Row],[UNIT S/ IPI C/DESC]]),0)</f>
        <v>0</v>
      </c>
      <c r="V256" s="437">
        <f>MateriaisCampo[[#This Row],[UNIT S/ IPI C/DESC]]*MateriaisCampo[[#This Row],[ICMS %]]</f>
        <v>0</v>
      </c>
      <c r="W256" s="437">
        <f>MateriaisCampo[[#This Row],[ICMS $]]*MateriaisCampo[[#This Row],[QUANTIDADE]]</f>
        <v>0</v>
      </c>
      <c r="X256" s="446">
        <f>MateriaisCampo[[#This Row],[UNIT S/ IPI C/DESC]]+MateriaisCampo[[#This Row],[DIFERENCIAL ICMS]]</f>
        <v>0</v>
      </c>
      <c r="Y256" s="446">
        <f>(MateriaisCampo[[#This Row],[PIS]]*MateriaisCampo[[#This Row],[UNIT S/ IPI C/DESC]])/2</f>
        <v>0</v>
      </c>
      <c r="Z256" s="446">
        <f>(MateriaisCampo[[#This Row],[COFINS]]*MateriaisCampo[[#This Row],[UNIT S/ IPI C/DESC]])/2</f>
        <v>0</v>
      </c>
      <c r="AA256" s="445">
        <f>MateriaisCampo[[#This Row],[UNIT S/ IP + DIF ICMS]]+(MateriaisCampo[[#This Row],[UNIT S/ IP + DIF ICMS]]*MateriaisCampo[[#This Row],[IPI %]])</f>
        <v>0</v>
      </c>
      <c r="AB256" s="448">
        <f>_xlfn.XLOOKUP(MateriaisCampo[[#This Row],[FATURAMENTO]],BASE!$U$48:$U$50,BASE!$W$48:$W$50,0,0,1)</f>
        <v>0.79709863947533133</v>
      </c>
      <c r="AC256" s="510" t="str">
        <f>RESUMO!$E$56</f>
        <v>SIM</v>
      </c>
      <c r="AD256" s="449" t="str">
        <f>RESUMO!$E$57</f>
        <v>SIM</v>
      </c>
      <c r="AE25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6" s="450">
        <f>MateriaisCampo[[#This Row],[UNIT CRED]]*MateriaisCampo[[#This Row],[QUANTIDADE]]</f>
        <v>0</v>
      </c>
      <c r="AG256" s="451">
        <f>MateriaisCampo[[#This Row],[TOT CRED]]</f>
        <v>0</v>
      </c>
      <c r="AH256" s="452">
        <f>IF(MateriaisCampo[[#This Row],[QUANTIDADE]]&lt;&gt;0,((MateriaisCampo[[#This Row],[TOT CUSTO]]/MateriaisCampo[[#This Row],[QUANTIDADE]])/MateriaisCampo[[#This Row],[MARK-UP]]),0)</f>
        <v>0</v>
      </c>
      <c r="AI256" s="453">
        <f>MateriaisCampo[[#This Row],[UNIT VENDA]]*MateriaisCampo[[#This Row],[QUANTIDADE]]</f>
        <v>0</v>
      </c>
      <c r="AJ256" s="453">
        <f>IFERROR(MateriaisCampo[[#This Row],[VENDA]]*(RESUMO!$F$55/RESUMO!$F$45),0)</f>
        <v>0</v>
      </c>
      <c r="AK256" s="453">
        <f>IFERROR(MateriaisCampo[[#This Row],[VENDA]]*(RESUMO!$F$58/RESUMO!$F$45),0)</f>
        <v>0</v>
      </c>
      <c r="AL256" s="454">
        <f>IF(MateriaisCampo[[#This Row],[FATURAMENTO]]="NORMAL",MateriaisCampo[[#This Row],[VENDA]],0)</f>
        <v>0</v>
      </c>
    </row>
    <row r="257" spans="1:38" x14ac:dyDescent="0.25">
      <c r="A257" s="113"/>
      <c r="B257" s="113"/>
      <c r="C257" s="113"/>
      <c r="D257" s="113"/>
      <c r="E257" s="434"/>
      <c r="F257" s="434">
        <f t="shared" si="4"/>
        <v>0</v>
      </c>
      <c r="G257" s="113"/>
      <c r="H257" s="435"/>
      <c r="I257" s="436"/>
      <c r="J257" s="437"/>
      <c r="K257" s="438"/>
      <c r="L257" s="438"/>
      <c r="M257" s="458"/>
      <c r="N257" s="445">
        <f>MateriaisCampo[[#This Row],[UNIT S/IPI S/DESC]]-MateriaisCampo[[#This Row],[UNIT S/IPI S/DESC]]*MateriaisCampo[[#This Row],[% DESC]]</f>
        <v>0</v>
      </c>
      <c r="O257" s="441" t="s">
        <v>295</v>
      </c>
      <c r="P257" s="442" t="s">
        <v>155</v>
      </c>
      <c r="Q257" s="438">
        <v>1.6500000000000001E-2</v>
      </c>
      <c r="R257" s="438">
        <v>7.5999999999999998E-2</v>
      </c>
      <c r="S257" s="443">
        <f>MateriaisCampo[[#This Row],[UNIT S/ IP + DIF ICMS]]*MateriaisCampo[[#This Row],[QUANTIDADE]]</f>
        <v>0</v>
      </c>
      <c r="T257" s="444">
        <f>MateriaisCampo[[#This Row],[TOTAL S/ IPI]]+(MateriaisCampo[[#This Row],[TOTAL S/ IPI]]*MateriaisCampo[[#This Row],[IPI %]])</f>
        <v>0</v>
      </c>
      <c r="U257" s="445">
        <f>IF(AND(MateriaisCampo[[#This Row],[ICMS %]]&lt;&gt;18%,MateriaisCampo[[#This Row],[ORIGEM]]&lt;&gt;"SÃO PAULO"),((18%-MateriaisCampo[[#This Row],[ICMS %]])*MateriaisCampo[[#This Row],[UNIT S/ IPI C/DESC]]),0)</f>
        <v>0</v>
      </c>
      <c r="V257" s="437">
        <f>MateriaisCampo[[#This Row],[UNIT S/ IPI C/DESC]]*MateriaisCampo[[#This Row],[ICMS %]]</f>
        <v>0</v>
      </c>
      <c r="W257" s="437">
        <f>MateriaisCampo[[#This Row],[ICMS $]]*MateriaisCampo[[#This Row],[QUANTIDADE]]</f>
        <v>0</v>
      </c>
      <c r="X257" s="446">
        <f>MateriaisCampo[[#This Row],[UNIT S/ IPI C/DESC]]+MateriaisCampo[[#This Row],[DIFERENCIAL ICMS]]</f>
        <v>0</v>
      </c>
      <c r="Y257" s="446">
        <f>(MateriaisCampo[[#This Row],[PIS]]*MateriaisCampo[[#This Row],[UNIT S/ IPI C/DESC]])/2</f>
        <v>0</v>
      </c>
      <c r="Z257" s="446">
        <f>(MateriaisCampo[[#This Row],[COFINS]]*MateriaisCampo[[#This Row],[UNIT S/ IPI C/DESC]])/2</f>
        <v>0</v>
      </c>
      <c r="AA257" s="445">
        <f>MateriaisCampo[[#This Row],[UNIT S/ IP + DIF ICMS]]+(MateriaisCampo[[#This Row],[UNIT S/ IP + DIF ICMS]]*MateriaisCampo[[#This Row],[IPI %]])</f>
        <v>0</v>
      </c>
      <c r="AB257" s="448">
        <f>_xlfn.XLOOKUP(MateriaisCampo[[#This Row],[FATURAMENTO]],BASE!$U$48:$U$50,BASE!$W$48:$W$50,0,0,1)</f>
        <v>0.79709863947533133</v>
      </c>
      <c r="AC257" s="510" t="str">
        <f>RESUMO!$E$56</f>
        <v>SIM</v>
      </c>
      <c r="AD257" s="449" t="str">
        <f>RESUMO!$E$57</f>
        <v>SIM</v>
      </c>
      <c r="AE25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7" s="450">
        <f>MateriaisCampo[[#This Row],[UNIT CRED]]*MateriaisCampo[[#This Row],[QUANTIDADE]]</f>
        <v>0</v>
      </c>
      <c r="AG257" s="451">
        <f>MateriaisCampo[[#This Row],[TOT CRED]]</f>
        <v>0</v>
      </c>
      <c r="AH257" s="452">
        <f>IF(MateriaisCampo[[#This Row],[QUANTIDADE]]&lt;&gt;0,((MateriaisCampo[[#This Row],[TOT CUSTO]]/MateriaisCampo[[#This Row],[QUANTIDADE]])/MateriaisCampo[[#This Row],[MARK-UP]]),0)</f>
        <v>0</v>
      </c>
      <c r="AI257" s="453">
        <f>MateriaisCampo[[#This Row],[UNIT VENDA]]*MateriaisCampo[[#This Row],[QUANTIDADE]]</f>
        <v>0</v>
      </c>
      <c r="AJ257" s="453">
        <f>IFERROR(MateriaisCampo[[#This Row],[VENDA]]*(RESUMO!$F$55/RESUMO!$F$45),0)</f>
        <v>0</v>
      </c>
      <c r="AK257" s="453">
        <f>IFERROR(MateriaisCampo[[#This Row],[VENDA]]*(RESUMO!$F$58/RESUMO!$F$45),0)</f>
        <v>0</v>
      </c>
      <c r="AL257" s="454">
        <f>IF(MateriaisCampo[[#This Row],[FATURAMENTO]]="NORMAL",MateriaisCampo[[#This Row],[VENDA]],0)</f>
        <v>0</v>
      </c>
    </row>
    <row r="258" spans="1:38" x14ac:dyDescent="0.25">
      <c r="A258" s="113"/>
      <c r="B258" s="113"/>
      <c r="C258" s="113"/>
      <c r="D258" s="113"/>
      <c r="E258" s="434"/>
      <c r="F258" s="434">
        <f t="shared" si="4"/>
        <v>0</v>
      </c>
      <c r="G258" s="113"/>
      <c r="H258" s="435"/>
      <c r="I258" s="436"/>
      <c r="J258" s="437"/>
      <c r="K258" s="438"/>
      <c r="L258" s="438"/>
      <c r="M258" s="458"/>
      <c r="N258" s="445">
        <f>MateriaisCampo[[#This Row],[UNIT S/IPI S/DESC]]-MateriaisCampo[[#This Row],[UNIT S/IPI S/DESC]]*MateriaisCampo[[#This Row],[% DESC]]</f>
        <v>0</v>
      </c>
      <c r="O258" s="441" t="s">
        <v>295</v>
      </c>
      <c r="P258" s="442" t="s">
        <v>155</v>
      </c>
      <c r="Q258" s="438">
        <v>1.6500000000000001E-2</v>
      </c>
      <c r="R258" s="438">
        <v>7.5999999999999998E-2</v>
      </c>
      <c r="S258" s="443">
        <f>MateriaisCampo[[#This Row],[UNIT S/ IP + DIF ICMS]]*MateriaisCampo[[#This Row],[QUANTIDADE]]</f>
        <v>0</v>
      </c>
      <c r="T258" s="444">
        <f>MateriaisCampo[[#This Row],[TOTAL S/ IPI]]+(MateriaisCampo[[#This Row],[TOTAL S/ IPI]]*MateriaisCampo[[#This Row],[IPI %]])</f>
        <v>0</v>
      </c>
      <c r="U258" s="445">
        <f>IF(AND(MateriaisCampo[[#This Row],[ICMS %]]&lt;&gt;18%,MateriaisCampo[[#This Row],[ORIGEM]]&lt;&gt;"SÃO PAULO"),((18%-MateriaisCampo[[#This Row],[ICMS %]])*MateriaisCampo[[#This Row],[UNIT S/ IPI C/DESC]]),0)</f>
        <v>0</v>
      </c>
      <c r="V258" s="437">
        <f>MateriaisCampo[[#This Row],[UNIT S/ IPI C/DESC]]*MateriaisCampo[[#This Row],[ICMS %]]</f>
        <v>0</v>
      </c>
      <c r="W258" s="437">
        <f>MateriaisCampo[[#This Row],[ICMS $]]*MateriaisCampo[[#This Row],[QUANTIDADE]]</f>
        <v>0</v>
      </c>
      <c r="X258" s="446">
        <f>MateriaisCampo[[#This Row],[UNIT S/ IPI C/DESC]]+MateriaisCampo[[#This Row],[DIFERENCIAL ICMS]]</f>
        <v>0</v>
      </c>
      <c r="Y258" s="446">
        <f>(MateriaisCampo[[#This Row],[PIS]]*MateriaisCampo[[#This Row],[UNIT S/ IPI C/DESC]])/2</f>
        <v>0</v>
      </c>
      <c r="Z258" s="446">
        <f>(MateriaisCampo[[#This Row],[COFINS]]*MateriaisCampo[[#This Row],[UNIT S/ IPI C/DESC]])/2</f>
        <v>0</v>
      </c>
      <c r="AA258" s="445">
        <f>MateriaisCampo[[#This Row],[UNIT S/ IP + DIF ICMS]]+(MateriaisCampo[[#This Row],[UNIT S/ IP + DIF ICMS]]*MateriaisCampo[[#This Row],[IPI %]])</f>
        <v>0</v>
      </c>
      <c r="AB258" s="448">
        <f>_xlfn.XLOOKUP(MateriaisCampo[[#This Row],[FATURAMENTO]],BASE!$U$48:$U$50,BASE!$W$48:$W$50,0,0,1)</f>
        <v>0.79709863947533133</v>
      </c>
      <c r="AC258" s="510" t="str">
        <f>RESUMO!$E$56</f>
        <v>SIM</v>
      </c>
      <c r="AD258" s="449" t="str">
        <f>RESUMO!$E$57</f>
        <v>SIM</v>
      </c>
      <c r="AE25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8" s="450">
        <f>MateriaisCampo[[#This Row],[UNIT CRED]]*MateriaisCampo[[#This Row],[QUANTIDADE]]</f>
        <v>0</v>
      </c>
      <c r="AG258" s="451">
        <f>MateriaisCampo[[#This Row],[TOT CRED]]</f>
        <v>0</v>
      </c>
      <c r="AH258" s="452">
        <f>IF(MateriaisCampo[[#This Row],[QUANTIDADE]]&lt;&gt;0,((MateriaisCampo[[#This Row],[TOT CUSTO]]/MateriaisCampo[[#This Row],[QUANTIDADE]])/MateriaisCampo[[#This Row],[MARK-UP]]),0)</f>
        <v>0</v>
      </c>
      <c r="AI258" s="453">
        <f>MateriaisCampo[[#This Row],[UNIT VENDA]]*MateriaisCampo[[#This Row],[QUANTIDADE]]</f>
        <v>0</v>
      </c>
      <c r="AJ258" s="453">
        <f>IFERROR(MateriaisCampo[[#This Row],[VENDA]]*(RESUMO!$F$55/RESUMO!$F$45),0)</f>
        <v>0</v>
      </c>
      <c r="AK258" s="453">
        <f>IFERROR(MateriaisCampo[[#This Row],[VENDA]]*(RESUMO!$F$58/RESUMO!$F$45),0)</f>
        <v>0</v>
      </c>
      <c r="AL258" s="454">
        <f>IF(MateriaisCampo[[#This Row],[FATURAMENTO]]="NORMAL",MateriaisCampo[[#This Row],[VENDA]],0)</f>
        <v>0</v>
      </c>
    </row>
    <row r="259" spans="1:38" x14ac:dyDescent="0.25">
      <c r="A259" s="113"/>
      <c r="B259" s="113"/>
      <c r="C259" s="113"/>
      <c r="D259" s="113"/>
      <c r="E259" s="434"/>
      <c r="F259" s="434">
        <f t="shared" si="4"/>
        <v>0</v>
      </c>
      <c r="G259" s="113"/>
      <c r="H259" s="435"/>
      <c r="I259" s="436"/>
      <c r="J259" s="437"/>
      <c r="K259" s="438"/>
      <c r="L259" s="438"/>
      <c r="M259" s="458"/>
      <c r="N259" s="445">
        <f>MateriaisCampo[[#This Row],[UNIT S/IPI S/DESC]]-MateriaisCampo[[#This Row],[UNIT S/IPI S/DESC]]*MateriaisCampo[[#This Row],[% DESC]]</f>
        <v>0</v>
      </c>
      <c r="O259" s="441" t="s">
        <v>295</v>
      </c>
      <c r="P259" s="442" t="s">
        <v>155</v>
      </c>
      <c r="Q259" s="438">
        <v>1.6500000000000001E-2</v>
      </c>
      <c r="R259" s="438">
        <v>7.5999999999999998E-2</v>
      </c>
      <c r="S259" s="443">
        <f>MateriaisCampo[[#This Row],[UNIT S/ IP + DIF ICMS]]*MateriaisCampo[[#This Row],[QUANTIDADE]]</f>
        <v>0</v>
      </c>
      <c r="T259" s="444">
        <f>MateriaisCampo[[#This Row],[TOTAL S/ IPI]]+(MateriaisCampo[[#This Row],[TOTAL S/ IPI]]*MateriaisCampo[[#This Row],[IPI %]])</f>
        <v>0</v>
      </c>
      <c r="U259" s="445">
        <f>IF(AND(MateriaisCampo[[#This Row],[ICMS %]]&lt;&gt;18%,MateriaisCampo[[#This Row],[ORIGEM]]&lt;&gt;"SÃO PAULO"),((18%-MateriaisCampo[[#This Row],[ICMS %]])*MateriaisCampo[[#This Row],[UNIT S/ IPI C/DESC]]),0)</f>
        <v>0</v>
      </c>
      <c r="V259" s="437">
        <f>MateriaisCampo[[#This Row],[UNIT S/ IPI C/DESC]]*MateriaisCampo[[#This Row],[ICMS %]]</f>
        <v>0</v>
      </c>
      <c r="W259" s="437">
        <f>MateriaisCampo[[#This Row],[ICMS $]]*MateriaisCampo[[#This Row],[QUANTIDADE]]</f>
        <v>0</v>
      </c>
      <c r="X259" s="446">
        <f>MateriaisCampo[[#This Row],[UNIT S/ IPI C/DESC]]+MateriaisCampo[[#This Row],[DIFERENCIAL ICMS]]</f>
        <v>0</v>
      </c>
      <c r="Y259" s="446">
        <f>(MateriaisCampo[[#This Row],[PIS]]*MateriaisCampo[[#This Row],[UNIT S/ IPI C/DESC]])/2</f>
        <v>0</v>
      </c>
      <c r="Z259" s="446">
        <f>(MateriaisCampo[[#This Row],[COFINS]]*MateriaisCampo[[#This Row],[UNIT S/ IPI C/DESC]])/2</f>
        <v>0</v>
      </c>
      <c r="AA259" s="445">
        <f>MateriaisCampo[[#This Row],[UNIT S/ IP + DIF ICMS]]+(MateriaisCampo[[#This Row],[UNIT S/ IP + DIF ICMS]]*MateriaisCampo[[#This Row],[IPI %]])</f>
        <v>0</v>
      </c>
      <c r="AB259" s="448">
        <f>_xlfn.XLOOKUP(MateriaisCampo[[#This Row],[FATURAMENTO]],BASE!$U$48:$U$50,BASE!$W$48:$W$50,0,0,1)</f>
        <v>0.79709863947533133</v>
      </c>
      <c r="AC259" s="510" t="str">
        <f>RESUMO!$E$56</f>
        <v>SIM</v>
      </c>
      <c r="AD259" s="449" t="str">
        <f>RESUMO!$E$57</f>
        <v>SIM</v>
      </c>
      <c r="AE25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59" s="450">
        <f>MateriaisCampo[[#This Row],[UNIT CRED]]*MateriaisCampo[[#This Row],[QUANTIDADE]]</f>
        <v>0</v>
      </c>
      <c r="AG259" s="451">
        <f>MateriaisCampo[[#This Row],[TOT CRED]]</f>
        <v>0</v>
      </c>
      <c r="AH259" s="452">
        <f>IF(MateriaisCampo[[#This Row],[QUANTIDADE]]&lt;&gt;0,((MateriaisCampo[[#This Row],[TOT CUSTO]]/MateriaisCampo[[#This Row],[QUANTIDADE]])/MateriaisCampo[[#This Row],[MARK-UP]]),0)</f>
        <v>0</v>
      </c>
      <c r="AI259" s="453">
        <f>MateriaisCampo[[#This Row],[UNIT VENDA]]*MateriaisCampo[[#This Row],[QUANTIDADE]]</f>
        <v>0</v>
      </c>
      <c r="AJ259" s="453">
        <f>IFERROR(MateriaisCampo[[#This Row],[VENDA]]*(RESUMO!$F$55/RESUMO!$F$45),0)</f>
        <v>0</v>
      </c>
      <c r="AK259" s="453">
        <f>IFERROR(MateriaisCampo[[#This Row],[VENDA]]*(RESUMO!$F$58/RESUMO!$F$45),0)</f>
        <v>0</v>
      </c>
      <c r="AL259" s="454">
        <f>IF(MateriaisCampo[[#This Row],[FATURAMENTO]]="NORMAL",MateriaisCampo[[#This Row],[VENDA]],0)</f>
        <v>0</v>
      </c>
    </row>
    <row r="260" spans="1:38" x14ac:dyDescent="0.25">
      <c r="A260" s="113"/>
      <c r="B260" s="113"/>
      <c r="C260" s="113"/>
      <c r="D260" s="113"/>
      <c r="E260" s="434"/>
      <c r="F260" s="434">
        <f t="shared" si="4"/>
        <v>0</v>
      </c>
      <c r="G260" s="113"/>
      <c r="H260" s="435"/>
      <c r="I260" s="436"/>
      <c r="J260" s="437"/>
      <c r="K260" s="438"/>
      <c r="L260" s="438"/>
      <c r="M260" s="458"/>
      <c r="N260" s="445">
        <f>MateriaisCampo[[#This Row],[UNIT S/IPI S/DESC]]-MateriaisCampo[[#This Row],[UNIT S/IPI S/DESC]]*MateriaisCampo[[#This Row],[% DESC]]</f>
        <v>0</v>
      </c>
      <c r="O260" s="441" t="s">
        <v>295</v>
      </c>
      <c r="P260" s="442" t="s">
        <v>155</v>
      </c>
      <c r="Q260" s="438">
        <v>1.6500000000000001E-2</v>
      </c>
      <c r="R260" s="438">
        <v>7.5999999999999998E-2</v>
      </c>
      <c r="S260" s="443">
        <f>MateriaisCampo[[#This Row],[UNIT S/ IP + DIF ICMS]]*MateriaisCampo[[#This Row],[QUANTIDADE]]</f>
        <v>0</v>
      </c>
      <c r="T260" s="444">
        <f>MateriaisCampo[[#This Row],[TOTAL S/ IPI]]+(MateriaisCampo[[#This Row],[TOTAL S/ IPI]]*MateriaisCampo[[#This Row],[IPI %]])</f>
        <v>0</v>
      </c>
      <c r="U260" s="445">
        <f>IF(AND(MateriaisCampo[[#This Row],[ICMS %]]&lt;&gt;18%,MateriaisCampo[[#This Row],[ORIGEM]]&lt;&gt;"SÃO PAULO"),((18%-MateriaisCampo[[#This Row],[ICMS %]])*MateriaisCampo[[#This Row],[UNIT S/ IPI C/DESC]]),0)</f>
        <v>0</v>
      </c>
      <c r="V260" s="437">
        <f>MateriaisCampo[[#This Row],[UNIT S/ IPI C/DESC]]*MateriaisCampo[[#This Row],[ICMS %]]</f>
        <v>0</v>
      </c>
      <c r="W260" s="437">
        <f>MateriaisCampo[[#This Row],[ICMS $]]*MateriaisCampo[[#This Row],[QUANTIDADE]]</f>
        <v>0</v>
      </c>
      <c r="X260" s="446">
        <f>MateriaisCampo[[#This Row],[UNIT S/ IPI C/DESC]]+MateriaisCampo[[#This Row],[DIFERENCIAL ICMS]]</f>
        <v>0</v>
      </c>
      <c r="Y260" s="446">
        <f>(MateriaisCampo[[#This Row],[PIS]]*MateriaisCampo[[#This Row],[UNIT S/ IPI C/DESC]])/2</f>
        <v>0</v>
      </c>
      <c r="Z260" s="446">
        <f>(MateriaisCampo[[#This Row],[COFINS]]*MateriaisCampo[[#This Row],[UNIT S/ IPI C/DESC]])/2</f>
        <v>0</v>
      </c>
      <c r="AA260" s="445">
        <f>MateriaisCampo[[#This Row],[UNIT S/ IP + DIF ICMS]]+(MateriaisCampo[[#This Row],[UNIT S/ IP + DIF ICMS]]*MateriaisCampo[[#This Row],[IPI %]])</f>
        <v>0</v>
      </c>
      <c r="AB260" s="448">
        <f>_xlfn.XLOOKUP(MateriaisCampo[[#This Row],[FATURAMENTO]],BASE!$U$48:$U$50,BASE!$W$48:$W$50,0,0,1)</f>
        <v>0.79709863947533133</v>
      </c>
      <c r="AC260" s="510" t="str">
        <f>RESUMO!$E$56</f>
        <v>SIM</v>
      </c>
      <c r="AD260" s="449" t="str">
        <f>RESUMO!$E$57</f>
        <v>SIM</v>
      </c>
      <c r="AE26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0" s="450">
        <f>MateriaisCampo[[#This Row],[UNIT CRED]]*MateriaisCampo[[#This Row],[QUANTIDADE]]</f>
        <v>0</v>
      </c>
      <c r="AG260" s="451">
        <f>MateriaisCampo[[#This Row],[TOT CRED]]</f>
        <v>0</v>
      </c>
      <c r="AH260" s="452">
        <f>IF(MateriaisCampo[[#This Row],[QUANTIDADE]]&lt;&gt;0,((MateriaisCampo[[#This Row],[TOT CUSTO]]/MateriaisCampo[[#This Row],[QUANTIDADE]])/MateriaisCampo[[#This Row],[MARK-UP]]),0)</f>
        <v>0</v>
      </c>
      <c r="AI260" s="453">
        <f>MateriaisCampo[[#This Row],[UNIT VENDA]]*MateriaisCampo[[#This Row],[QUANTIDADE]]</f>
        <v>0</v>
      </c>
      <c r="AJ260" s="453">
        <f>IFERROR(MateriaisCampo[[#This Row],[VENDA]]*(RESUMO!$F$55/RESUMO!$F$45),0)</f>
        <v>0</v>
      </c>
      <c r="AK260" s="453">
        <f>IFERROR(MateriaisCampo[[#This Row],[VENDA]]*(RESUMO!$F$58/RESUMO!$F$45),0)</f>
        <v>0</v>
      </c>
      <c r="AL260" s="454">
        <f>IF(MateriaisCampo[[#This Row],[FATURAMENTO]]="NORMAL",MateriaisCampo[[#This Row],[VENDA]],0)</f>
        <v>0</v>
      </c>
    </row>
    <row r="261" spans="1:38" x14ac:dyDescent="0.25">
      <c r="A261" s="113"/>
      <c r="B261" s="113"/>
      <c r="C261" s="113"/>
      <c r="D261" s="113"/>
      <c r="E261" s="434"/>
      <c r="F261" s="434">
        <f t="shared" si="4"/>
        <v>0</v>
      </c>
      <c r="G261" s="113"/>
      <c r="H261" s="435"/>
      <c r="I261" s="436"/>
      <c r="J261" s="437"/>
      <c r="K261" s="438"/>
      <c r="L261" s="438"/>
      <c r="M261" s="458"/>
      <c r="N261" s="445">
        <f>MateriaisCampo[[#This Row],[UNIT S/IPI S/DESC]]-MateriaisCampo[[#This Row],[UNIT S/IPI S/DESC]]*MateriaisCampo[[#This Row],[% DESC]]</f>
        <v>0</v>
      </c>
      <c r="O261" s="441" t="s">
        <v>295</v>
      </c>
      <c r="P261" s="442" t="s">
        <v>155</v>
      </c>
      <c r="Q261" s="438">
        <v>1.6500000000000001E-2</v>
      </c>
      <c r="R261" s="438">
        <v>7.5999999999999998E-2</v>
      </c>
      <c r="S261" s="443">
        <f>MateriaisCampo[[#This Row],[UNIT S/ IP + DIF ICMS]]*MateriaisCampo[[#This Row],[QUANTIDADE]]</f>
        <v>0</v>
      </c>
      <c r="T261" s="444">
        <f>MateriaisCampo[[#This Row],[TOTAL S/ IPI]]+(MateriaisCampo[[#This Row],[TOTAL S/ IPI]]*MateriaisCampo[[#This Row],[IPI %]])</f>
        <v>0</v>
      </c>
      <c r="U261" s="445">
        <f>IF(AND(MateriaisCampo[[#This Row],[ICMS %]]&lt;&gt;18%,MateriaisCampo[[#This Row],[ORIGEM]]&lt;&gt;"SÃO PAULO"),((18%-MateriaisCampo[[#This Row],[ICMS %]])*MateriaisCampo[[#This Row],[UNIT S/ IPI C/DESC]]),0)</f>
        <v>0</v>
      </c>
      <c r="V261" s="437">
        <f>MateriaisCampo[[#This Row],[UNIT S/ IPI C/DESC]]*MateriaisCampo[[#This Row],[ICMS %]]</f>
        <v>0</v>
      </c>
      <c r="W261" s="437">
        <f>MateriaisCampo[[#This Row],[ICMS $]]*MateriaisCampo[[#This Row],[QUANTIDADE]]</f>
        <v>0</v>
      </c>
      <c r="X261" s="446">
        <f>MateriaisCampo[[#This Row],[UNIT S/ IPI C/DESC]]+MateriaisCampo[[#This Row],[DIFERENCIAL ICMS]]</f>
        <v>0</v>
      </c>
      <c r="Y261" s="446">
        <f>(MateriaisCampo[[#This Row],[PIS]]*MateriaisCampo[[#This Row],[UNIT S/ IPI C/DESC]])/2</f>
        <v>0</v>
      </c>
      <c r="Z261" s="446">
        <f>(MateriaisCampo[[#This Row],[COFINS]]*MateriaisCampo[[#This Row],[UNIT S/ IPI C/DESC]])/2</f>
        <v>0</v>
      </c>
      <c r="AA261" s="445">
        <f>MateriaisCampo[[#This Row],[UNIT S/ IP + DIF ICMS]]+(MateriaisCampo[[#This Row],[UNIT S/ IP + DIF ICMS]]*MateriaisCampo[[#This Row],[IPI %]])</f>
        <v>0</v>
      </c>
      <c r="AB261" s="448">
        <f>_xlfn.XLOOKUP(MateriaisCampo[[#This Row],[FATURAMENTO]],BASE!$U$48:$U$50,BASE!$W$48:$W$50,0,0,1)</f>
        <v>0.79709863947533133</v>
      </c>
      <c r="AC261" s="510" t="str">
        <f>RESUMO!$E$56</f>
        <v>SIM</v>
      </c>
      <c r="AD261" s="449" t="str">
        <f>RESUMO!$E$57</f>
        <v>SIM</v>
      </c>
      <c r="AE26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1" s="450">
        <f>MateriaisCampo[[#This Row],[UNIT CRED]]*MateriaisCampo[[#This Row],[QUANTIDADE]]</f>
        <v>0</v>
      </c>
      <c r="AG261" s="451">
        <f>MateriaisCampo[[#This Row],[TOT CRED]]</f>
        <v>0</v>
      </c>
      <c r="AH261" s="452">
        <f>IF(MateriaisCampo[[#This Row],[QUANTIDADE]]&lt;&gt;0,((MateriaisCampo[[#This Row],[TOT CUSTO]]/MateriaisCampo[[#This Row],[QUANTIDADE]])/MateriaisCampo[[#This Row],[MARK-UP]]),0)</f>
        <v>0</v>
      </c>
      <c r="AI261" s="453">
        <f>MateriaisCampo[[#This Row],[UNIT VENDA]]*MateriaisCampo[[#This Row],[QUANTIDADE]]</f>
        <v>0</v>
      </c>
      <c r="AJ261" s="453">
        <f>IFERROR(MateriaisCampo[[#This Row],[VENDA]]*(RESUMO!$F$55/RESUMO!$F$45),0)</f>
        <v>0</v>
      </c>
      <c r="AK261" s="453">
        <f>IFERROR(MateriaisCampo[[#This Row],[VENDA]]*(RESUMO!$F$58/RESUMO!$F$45),0)</f>
        <v>0</v>
      </c>
      <c r="AL261" s="454">
        <f>IF(MateriaisCampo[[#This Row],[FATURAMENTO]]="NORMAL",MateriaisCampo[[#This Row],[VENDA]],0)</f>
        <v>0</v>
      </c>
    </row>
    <row r="262" spans="1:38" x14ac:dyDescent="0.25">
      <c r="A262" s="113"/>
      <c r="B262" s="113"/>
      <c r="C262" s="113"/>
      <c r="D262" s="113"/>
      <c r="E262" s="434"/>
      <c r="F262" s="434">
        <f t="shared" si="4"/>
        <v>0</v>
      </c>
      <c r="G262" s="113"/>
      <c r="H262" s="435"/>
      <c r="I262" s="436"/>
      <c r="J262" s="437"/>
      <c r="K262" s="438"/>
      <c r="L262" s="438"/>
      <c r="M262" s="458"/>
      <c r="N262" s="445">
        <f>MateriaisCampo[[#This Row],[UNIT S/IPI S/DESC]]-MateriaisCampo[[#This Row],[UNIT S/IPI S/DESC]]*MateriaisCampo[[#This Row],[% DESC]]</f>
        <v>0</v>
      </c>
      <c r="O262" s="441" t="s">
        <v>295</v>
      </c>
      <c r="P262" s="442" t="s">
        <v>155</v>
      </c>
      <c r="Q262" s="438">
        <v>1.6500000000000001E-2</v>
      </c>
      <c r="R262" s="438">
        <v>7.5999999999999998E-2</v>
      </c>
      <c r="S262" s="443">
        <f>MateriaisCampo[[#This Row],[UNIT S/ IP + DIF ICMS]]*MateriaisCampo[[#This Row],[QUANTIDADE]]</f>
        <v>0</v>
      </c>
      <c r="T262" s="444">
        <f>MateriaisCampo[[#This Row],[TOTAL S/ IPI]]+(MateriaisCampo[[#This Row],[TOTAL S/ IPI]]*MateriaisCampo[[#This Row],[IPI %]])</f>
        <v>0</v>
      </c>
      <c r="U262" s="445">
        <f>IF(AND(MateriaisCampo[[#This Row],[ICMS %]]&lt;&gt;18%,MateriaisCampo[[#This Row],[ORIGEM]]&lt;&gt;"SÃO PAULO"),((18%-MateriaisCampo[[#This Row],[ICMS %]])*MateriaisCampo[[#This Row],[UNIT S/ IPI C/DESC]]),0)</f>
        <v>0</v>
      </c>
      <c r="V262" s="437">
        <f>MateriaisCampo[[#This Row],[UNIT S/ IPI C/DESC]]*MateriaisCampo[[#This Row],[ICMS %]]</f>
        <v>0</v>
      </c>
      <c r="W262" s="437">
        <f>MateriaisCampo[[#This Row],[ICMS $]]*MateriaisCampo[[#This Row],[QUANTIDADE]]</f>
        <v>0</v>
      </c>
      <c r="X262" s="446">
        <f>MateriaisCampo[[#This Row],[UNIT S/ IPI C/DESC]]+MateriaisCampo[[#This Row],[DIFERENCIAL ICMS]]</f>
        <v>0</v>
      </c>
      <c r="Y262" s="446">
        <f>(MateriaisCampo[[#This Row],[PIS]]*MateriaisCampo[[#This Row],[UNIT S/ IPI C/DESC]])/2</f>
        <v>0</v>
      </c>
      <c r="Z262" s="446">
        <f>(MateriaisCampo[[#This Row],[COFINS]]*MateriaisCampo[[#This Row],[UNIT S/ IPI C/DESC]])/2</f>
        <v>0</v>
      </c>
      <c r="AA262" s="445">
        <f>MateriaisCampo[[#This Row],[UNIT S/ IP + DIF ICMS]]+(MateriaisCampo[[#This Row],[UNIT S/ IP + DIF ICMS]]*MateriaisCampo[[#This Row],[IPI %]])</f>
        <v>0</v>
      </c>
      <c r="AB262" s="448">
        <f>_xlfn.XLOOKUP(MateriaisCampo[[#This Row],[FATURAMENTO]],BASE!$U$48:$U$50,BASE!$W$48:$W$50,0,0,1)</f>
        <v>0.79709863947533133</v>
      </c>
      <c r="AC262" s="510" t="str">
        <f>RESUMO!$E$56</f>
        <v>SIM</v>
      </c>
      <c r="AD262" s="449" t="str">
        <f>RESUMO!$E$57</f>
        <v>SIM</v>
      </c>
      <c r="AE26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2" s="450">
        <f>MateriaisCampo[[#This Row],[UNIT CRED]]*MateriaisCampo[[#This Row],[QUANTIDADE]]</f>
        <v>0</v>
      </c>
      <c r="AG262" s="451">
        <f>MateriaisCampo[[#This Row],[TOT CRED]]</f>
        <v>0</v>
      </c>
      <c r="AH262" s="452">
        <f>IF(MateriaisCampo[[#This Row],[QUANTIDADE]]&lt;&gt;0,((MateriaisCampo[[#This Row],[TOT CUSTO]]/MateriaisCampo[[#This Row],[QUANTIDADE]])/MateriaisCampo[[#This Row],[MARK-UP]]),0)</f>
        <v>0</v>
      </c>
      <c r="AI262" s="453">
        <f>MateriaisCampo[[#This Row],[UNIT VENDA]]*MateriaisCampo[[#This Row],[QUANTIDADE]]</f>
        <v>0</v>
      </c>
      <c r="AJ262" s="453">
        <f>IFERROR(MateriaisCampo[[#This Row],[VENDA]]*(RESUMO!$F$55/RESUMO!$F$45),0)</f>
        <v>0</v>
      </c>
      <c r="AK262" s="453">
        <f>IFERROR(MateriaisCampo[[#This Row],[VENDA]]*(RESUMO!$F$58/RESUMO!$F$45),0)</f>
        <v>0</v>
      </c>
      <c r="AL262" s="454">
        <f>IF(MateriaisCampo[[#This Row],[FATURAMENTO]]="NORMAL",MateriaisCampo[[#This Row],[VENDA]],0)</f>
        <v>0</v>
      </c>
    </row>
    <row r="263" spans="1:38" x14ac:dyDescent="0.25">
      <c r="A263" s="113"/>
      <c r="B263" s="113"/>
      <c r="C263" s="113"/>
      <c r="D263" s="113"/>
      <c r="E263" s="434"/>
      <c r="F263" s="434">
        <f t="shared" si="4"/>
        <v>0</v>
      </c>
      <c r="G263" s="113"/>
      <c r="H263" s="435"/>
      <c r="I263" s="436"/>
      <c r="J263" s="437"/>
      <c r="K263" s="438"/>
      <c r="L263" s="438"/>
      <c r="M263" s="458"/>
      <c r="N263" s="445">
        <f>MateriaisCampo[[#This Row],[UNIT S/IPI S/DESC]]-MateriaisCampo[[#This Row],[UNIT S/IPI S/DESC]]*MateriaisCampo[[#This Row],[% DESC]]</f>
        <v>0</v>
      </c>
      <c r="O263" s="441" t="s">
        <v>295</v>
      </c>
      <c r="P263" s="442" t="s">
        <v>155</v>
      </c>
      <c r="Q263" s="438">
        <v>1.6500000000000001E-2</v>
      </c>
      <c r="R263" s="438">
        <v>7.5999999999999998E-2</v>
      </c>
      <c r="S263" s="443">
        <f>MateriaisCampo[[#This Row],[UNIT S/ IP + DIF ICMS]]*MateriaisCampo[[#This Row],[QUANTIDADE]]</f>
        <v>0</v>
      </c>
      <c r="T263" s="444">
        <f>MateriaisCampo[[#This Row],[TOTAL S/ IPI]]+(MateriaisCampo[[#This Row],[TOTAL S/ IPI]]*MateriaisCampo[[#This Row],[IPI %]])</f>
        <v>0</v>
      </c>
      <c r="U263" s="445">
        <f>IF(AND(MateriaisCampo[[#This Row],[ICMS %]]&lt;&gt;18%,MateriaisCampo[[#This Row],[ORIGEM]]&lt;&gt;"SÃO PAULO"),((18%-MateriaisCampo[[#This Row],[ICMS %]])*MateriaisCampo[[#This Row],[UNIT S/ IPI C/DESC]]),0)</f>
        <v>0</v>
      </c>
      <c r="V263" s="437">
        <f>MateriaisCampo[[#This Row],[UNIT S/ IPI C/DESC]]*MateriaisCampo[[#This Row],[ICMS %]]</f>
        <v>0</v>
      </c>
      <c r="W263" s="437">
        <f>MateriaisCampo[[#This Row],[ICMS $]]*MateriaisCampo[[#This Row],[QUANTIDADE]]</f>
        <v>0</v>
      </c>
      <c r="X263" s="446">
        <f>MateriaisCampo[[#This Row],[UNIT S/ IPI C/DESC]]+MateriaisCampo[[#This Row],[DIFERENCIAL ICMS]]</f>
        <v>0</v>
      </c>
      <c r="Y263" s="446">
        <f>(MateriaisCampo[[#This Row],[PIS]]*MateriaisCampo[[#This Row],[UNIT S/ IPI C/DESC]])/2</f>
        <v>0</v>
      </c>
      <c r="Z263" s="446">
        <f>(MateriaisCampo[[#This Row],[COFINS]]*MateriaisCampo[[#This Row],[UNIT S/ IPI C/DESC]])/2</f>
        <v>0</v>
      </c>
      <c r="AA263" s="445">
        <f>MateriaisCampo[[#This Row],[UNIT S/ IP + DIF ICMS]]+(MateriaisCampo[[#This Row],[UNIT S/ IP + DIF ICMS]]*MateriaisCampo[[#This Row],[IPI %]])</f>
        <v>0</v>
      </c>
      <c r="AB263" s="448">
        <f>_xlfn.XLOOKUP(MateriaisCampo[[#This Row],[FATURAMENTO]],BASE!$U$48:$U$50,BASE!$W$48:$W$50,0,0,1)</f>
        <v>0.79709863947533133</v>
      </c>
      <c r="AC263" s="510" t="str">
        <f>RESUMO!$E$56</f>
        <v>SIM</v>
      </c>
      <c r="AD263" s="449" t="str">
        <f>RESUMO!$E$57</f>
        <v>SIM</v>
      </c>
      <c r="AE26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3" s="450">
        <f>MateriaisCampo[[#This Row],[UNIT CRED]]*MateriaisCampo[[#This Row],[QUANTIDADE]]</f>
        <v>0</v>
      </c>
      <c r="AG263" s="451">
        <f>MateriaisCampo[[#This Row],[TOT CRED]]</f>
        <v>0</v>
      </c>
      <c r="AH263" s="452">
        <f>IF(MateriaisCampo[[#This Row],[QUANTIDADE]]&lt;&gt;0,((MateriaisCampo[[#This Row],[TOT CUSTO]]/MateriaisCampo[[#This Row],[QUANTIDADE]])/MateriaisCampo[[#This Row],[MARK-UP]]),0)</f>
        <v>0</v>
      </c>
      <c r="AI263" s="453">
        <f>MateriaisCampo[[#This Row],[UNIT VENDA]]*MateriaisCampo[[#This Row],[QUANTIDADE]]</f>
        <v>0</v>
      </c>
      <c r="AJ263" s="453">
        <f>IFERROR(MateriaisCampo[[#This Row],[VENDA]]*(RESUMO!$F$55/RESUMO!$F$45),0)</f>
        <v>0</v>
      </c>
      <c r="AK263" s="453">
        <f>IFERROR(MateriaisCampo[[#This Row],[VENDA]]*(RESUMO!$F$58/RESUMO!$F$45),0)</f>
        <v>0</v>
      </c>
      <c r="AL263" s="454">
        <f>IF(MateriaisCampo[[#This Row],[FATURAMENTO]]="NORMAL",MateriaisCampo[[#This Row],[VENDA]],0)</f>
        <v>0</v>
      </c>
    </row>
    <row r="264" spans="1:38" x14ac:dyDescent="0.25">
      <c r="A264" s="113"/>
      <c r="B264" s="113"/>
      <c r="C264" s="113"/>
      <c r="D264" s="113"/>
      <c r="E264" s="434"/>
      <c r="F264" s="434">
        <f t="shared" si="4"/>
        <v>0</v>
      </c>
      <c r="G264" s="113"/>
      <c r="H264" s="435"/>
      <c r="I264" s="436"/>
      <c r="J264" s="437"/>
      <c r="K264" s="438"/>
      <c r="L264" s="438"/>
      <c r="M264" s="458"/>
      <c r="N264" s="445">
        <f>MateriaisCampo[[#This Row],[UNIT S/IPI S/DESC]]-MateriaisCampo[[#This Row],[UNIT S/IPI S/DESC]]*MateriaisCampo[[#This Row],[% DESC]]</f>
        <v>0</v>
      </c>
      <c r="O264" s="441" t="s">
        <v>295</v>
      </c>
      <c r="P264" s="442" t="s">
        <v>155</v>
      </c>
      <c r="Q264" s="438">
        <v>1.6500000000000001E-2</v>
      </c>
      <c r="R264" s="438">
        <v>7.5999999999999998E-2</v>
      </c>
      <c r="S264" s="443">
        <f>MateriaisCampo[[#This Row],[UNIT S/ IP + DIF ICMS]]*MateriaisCampo[[#This Row],[QUANTIDADE]]</f>
        <v>0</v>
      </c>
      <c r="T264" s="444">
        <f>MateriaisCampo[[#This Row],[TOTAL S/ IPI]]+(MateriaisCampo[[#This Row],[TOTAL S/ IPI]]*MateriaisCampo[[#This Row],[IPI %]])</f>
        <v>0</v>
      </c>
      <c r="U264" s="445">
        <f>IF(AND(MateriaisCampo[[#This Row],[ICMS %]]&lt;&gt;18%,MateriaisCampo[[#This Row],[ORIGEM]]&lt;&gt;"SÃO PAULO"),((18%-MateriaisCampo[[#This Row],[ICMS %]])*MateriaisCampo[[#This Row],[UNIT S/ IPI C/DESC]]),0)</f>
        <v>0</v>
      </c>
      <c r="V264" s="437">
        <f>MateriaisCampo[[#This Row],[UNIT S/ IPI C/DESC]]*MateriaisCampo[[#This Row],[ICMS %]]</f>
        <v>0</v>
      </c>
      <c r="W264" s="437">
        <f>MateriaisCampo[[#This Row],[ICMS $]]*MateriaisCampo[[#This Row],[QUANTIDADE]]</f>
        <v>0</v>
      </c>
      <c r="X264" s="446">
        <f>MateriaisCampo[[#This Row],[UNIT S/ IPI C/DESC]]+MateriaisCampo[[#This Row],[DIFERENCIAL ICMS]]</f>
        <v>0</v>
      </c>
      <c r="Y264" s="446">
        <f>(MateriaisCampo[[#This Row],[PIS]]*MateriaisCampo[[#This Row],[UNIT S/ IPI C/DESC]])/2</f>
        <v>0</v>
      </c>
      <c r="Z264" s="446">
        <f>(MateriaisCampo[[#This Row],[COFINS]]*MateriaisCampo[[#This Row],[UNIT S/ IPI C/DESC]])/2</f>
        <v>0</v>
      </c>
      <c r="AA264" s="445">
        <f>MateriaisCampo[[#This Row],[UNIT S/ IP + DIF ICMS]]+(MateriaisCampo[[#This Row],[UNIT S/ IP + DIF ICMS]]*MateriaisCampo[[#This Row],[IPI %]])</f>
        <v>0</v>
      </c>
      <c r="AB264" s="448">
        <f>_xlfn.XLOOKUP(MateriaisCampo[[#This Row],[FATURAMENTO]],BASE!$U$48:$U$50,BASE!$W$48:$W$50,0,0,1)</f>
        <v>0.79709863947533133</v>
      </c>
      <c r="AC264" s="510" t="str">
        <f>RESUMO!$E$56</f>
        <v>SIM</v>
      </c>
      <c r="AD264" s="449" t="str">
        <f>RESUMO!$E$57</f>
        <v>SIM</v>
      </c>
      <c r="AE26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4" s="450">
        <f>MateriaisCampo[[#This Row],[UNIT CRED]]*MateriaisCampo[[#This Row],[QUANTIDADE]]</f>
        <v>0</v>
      </c>
      <c r="AG264" s="451">
        <f>MateriaisCampo[[#This Row],[TOT CRED]]</f>
        <v>0</v>
      </c>
      <c r="AH264" s="452">
        <f>IF(MateriaisCampo[[#This Row],[QUANTIDADE]]&lt;&gt;0,((MateriaisCampo[[#This Row],[TOT CUSTO]]/MateriaisCampo[[#This Row],[QUANTIDADE]])/MateriaisCampo[[#This Row],[MARK-UP]]),0)</f>
        <v>0</v>
      </c>
      <c r="AI264" s="453">
        <f>MateriaisCampo[[#This Row],[UNIT VENDA]]*MateriaisCampo[[#This Row],[QUANTIDADE]]</f>
        <v>0</v>
      </c>
      <c r="AJ264" s="453">
        <f>IFERROR(MateriaisCampo[[#This Row],[VENDA]]*(RESUMO!$F$55/RESUMO!$F$45),0)</f>
        <v>0</v>
      </c>
      <c r="AK264" s="453">
        <f>IFERROR(MateriaisCampo[[#This Row],[VENDA]]*(RESUMO!$F$58/RESUMO!$F$45),0)</f>
        <v>0</v>
      </c>
      <c r="AL264" s="454">
        <f>IF(MateriaisCampo[[#This Row],[FATURAMENTO]]="NORMAL",MateriaisCampo[[#This Row],[VENDA]],0)</f>
        <v>0</v>
      </c>
    </row>
    <row r="265" spans="1:38" x14ac:dyDescent="0.25">
      <c r="A265" s="113"/>
      <c r="B265" s="113"/>
      <c r="C265" s="113"/>
      <c r="D265" s="113"/>
      <c r="E265" s="434"/>
      <c r="F265" s="434">
        <f t="shared" si="4"/>
        <v>0</v>
      </c>
      <c r="G265" s="113"/>
      <c r="H265" s="435"/>
      <c r="I265" s="436"/>
      <c r="J265" s="437"/>
      <c r="K265" s="438"/>
      <c r="L265" s="438"/>
      <c r="M265" s="458"/>
      <c r="N265" s="445">
        <f>MateriaisCampo[[#This Row],[UNIT S/IPI S/DESC]]-MateriaisCampo[[#This Row],[UNIT S/IPI S/DESC]]*MateriaisCampo[[#This Row],[% DESC]]</f>
        <v>0</v>
      </c>
      <c r="O265" s="441" t="s">
        <v>295</v>
      </c>
      <c r="P265" s="442" t="s">
        <v>155</v>
      </c>
      <c r="Q265" s="438">
        <v>1.6500000000000001E-2</v>
      </c>
      <c r="R265" s="438">
        <v>7.5999999999999998E-2</v>
      </c>
      <c r="S265" s="443">
        <f>MateriaisCampo[[#This Row],[UNIT S/ IP + DIF ICMS]]*MateriaisCampo[[#This Row],[QUANTIDADE]]</f>
        <v>0</v>
      </c>
      <c r="T265" s="444">
        <f>MateriaisCampo[[#This Row],[TOTAL S/ IPI]]+(MateriaisCampo[[#This Row],[TOTAL S/ IPI]]*MateriaisCampo[[#This Row],[IPI %]])</f>
        <v>0</v>
      </c>
      <c r="U265" s="445">
        <f>IF(AND(MateriaisCampo[[#This Row],[ICMS %]]&lt;&gt;18%,MateriaisCampo[[#This Row],[ORIGEM]]&lt;&gt;"SÃO PAULO"),((18%-MateriaisCampo[[#This Row],[ICMS %]])*MateriaisCampo[[#This Row],[UNIT S/ IPI C/DESC]]),0)</f>
        <v>0</v>
      </c>
      <c r="V265" s="437">
        <f>MateriaisCampo[[#This Row],[UNIT S/ IPI C/DESC]]*MateriaisCampo[[#This Row],[ICMS %]]</f>
        <v>0</v>
      </c>
      <c r="W265" s="437">
        <f>MateriaisCampo[[#This Row],[ICMS $]]*MateriaisCampo[[#This Row],[QUANTIDADE]]</f>
        <v>0</v>
      </c>
      <c r="X265" s="446">
        <f>MateriaisCampo[[#This Row],[UNIT S/ IPI C/DESC]]+MateriaisCampo[[#This Row],[DIFERENCIAL ICMS]]</f>
        <v>0</v>
      </c>
      <c r="Y265" s="446">
        <f>(MateriaisCampo[[#This Row],[PIS]]*MateriaisCampo[[#This Row],[UNIT S/ IPI C/DESC]])/2</f>
        <v>0</v>
      </c>
      <c r="Z265" s="446">
        <f>(MateriaisCampo[[#This Row],[COFINS]]*MateriaisCampo[[#This Row],[UNIT S/ IPI C/DESC]])/2</f>
        <v>0</v>
      </c>
      <c r="AA265" s="445">
        <f>MateriaisCampo[[#This Row],[UNIT S/ IP + DIF ICMS]]+(MateriaisCampo[[#This Row],[UNIT S/ IP + DIF ICMS]]*MateriaisCampo[[#This Row],[IPI %]])</f>
        <v>0</v>
      </c>
      <c r="AB265" s="448">
        <f>_xlfn.XLOOKUP(MateriaisCampo[[#This Row],[FATURAMENTO]],BASE!$U$48:$U$50,BASE!$W$48:$W$50,0,0,1)</f>
        <v>0.79709863947533133</v>
      </c>
      <c r="AC265" s="510" t="str">
        <f>RESUMO!$E$56</f>
        <v>SIM</v>
      </c>
      <c r="AD265" s="449" t="str">
        <f>RESUMO!$E$57</f>
        <v>SIM</v>
      </c>
      <c r="AE26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5" s="450">
        <f>MateriaisCampo[[#This Row],[UNIT CRED]]*MateriaisCampo[[#This Row],[QUANTIDADE]]</f>
        <v>0</v>
      </c>
      <c r="AG265" s="451">
        <f>MateriaisCampo[[#This Row],[TOT CRED]]</f>
        <v>0</v>
      </c>
      <c r="AH265" s="452">
        <f>IF(MateriaisCampo[[#This Row],[QUANTIDADE]]&lt;&gt;0,((MateriaisCampo[[#This Row],[TOT CUSTO]]/MateriaisCampo[[#This Row],[QUANTIDADE]])/MateriaisCampo[[#This Row],[MARK-UP]]),0)</f>
        <v>0</v>
      </c>
      <c r="AI265" s="453">
        <f>MateriaisCampo[[#This Row],[UNIT VENDA]]*MateriaisCampo[[#This Row],[QUANTIDADE]]</f>
        <v>0</v>
      </c>
      <c r="AJ265" s="453">
        <f>IFERROR(MateriaisCampo[[#This Row],[VENDA]]*(RESUMO!$F$55/RESUMO!$F$45),0)</f>
        <v>0</v>
      </c>
      <c r="AK265" s="453">
        <f>IFERROR(MateriaisCampo[[#This Row],[VENDA]]*(RESUMO!$F$58/RESUMO!$F$45),0)</f>
        <v>0</v>
      </c>
      <c r="AL265" s="454">
        <f>IF(MateriaisCampo[[#This Row],[FATURAMENTO]]="NORMAL",MateriaisCampo[[#This Row],[VENDA]],0)</f>
        <v>0</v>
      </c>
    </row>
    <row r="266" spans="1:38" x14ac:dyDescent="0.25">
      <c r="A266" s="113"/>
      <c r="B266" s="113"/>
      <c r="C266" s="113"/>
      <c r="D266" s="113"/>
      <c r="E266" s="434"/>
      <c r="F266" s="434">
        <f t="shared" si="4"/>
        <v>0</v>
      </c>
      <c r="G266" s="113"/>
      <c r="H266" s="435"/>
      <c r="I266" s="436"/>
      <c r="J266" s="437"/>
      <c r="K266" s="438"/>
      <c r="L266" s="438"/>
      <c r="M266" s="458"/>
      <c r="N266" s="445">
        <f>MateriaisCampo[[#This Row],[UNIT S/IPI S/DESC]]-MateriaisCampo[[#This Row],[UNIT S/IPI S/DESC]]*MateriaisCampo[[#This Row],[% DESC]]</f>
        <v>0</v>
      </c>
      <c r="O266" s="441" t="s">
        <v>295</v>
      </c>
      <c r="P266" s="442" t="s">
        <v>155</v>
      </c>
      <c r="Q266" s="438">
        <v>1.6500000000000001E-2</v>
      </c>
      <c r="R266" s="438">
        <v>7.5999999999999998E-2</v>
      </c>
      <c r="S266" s="443">
        <f>MateriaisCampo[[#This Row],[UNIT S/ IP + DIF ICMS]]*MateriaisCampo[[#This Row],[QUANTIDADE]]</f>
        <v>0</v>
      </c>
      <c r="T266" s="444">
        <f>MateriaisCampo[[#This Row],[TOTAL S/ IPI]]+(MateriaisCampo[[#This Row],[TOTAL S/ IPI]]*MateriaisCampo[[#This Row],[IPI %]])</f>
        <v>0</v>
      </c>
      <c r="U266" s="445">
        <f>IF(AND(MateriaisCampo[[#This Row],[ICMS %]]&lt;&gt;18%,MateriaisCampo[[#This Row],[ORIGEM]]&lt;&gt;"SÃO PAULO"),((18%-MateriaisCampo[[#This Row],[ICMS %]])*MateriaisCampo[[#This Row],[UNIT S/ IPI C/DESC]]),0)</f>
        <v>0</v>
      </c>
      <c r="V266" s="437">
        <f>MateriaisCampo[[#This Row],[UNIT S/ IPI C/DESC]]*MateriaisCampo[[#This Row],[ICMS %]]</f>
        <v>0</v>
      </c>
      <c r="W266" s="437">
        <f>MateriaisCampo[[#This Row],[ICMS $]]*MateriaisCampo[[#This Row],[QUANTIDADE]]</f>
        <v>0</v>
      </c>
      <c r="X266" s="446">
        <f>MateriaisCampo[[#This Row],[UNIT S/ IPI C/DESC]]+MateriaisCampo[[#This Row],[DIFERENCIAL ICMS]]</f>
        <v>0</v>
      </c>
      <c r="Y266" s="446">
        <f>(MateriaisCampo[[#This Row],[PIS]]*MateriaisCampo[[#This Row],[UNIT S/ IPI C/DESC]])/2</f>
        <v>0</v>
      </c>
      <c r="Z266" s="446">
        <f>(MateriaisCampo[[#This Row],[COFINS]]*MateriaisCampo[[#This Row],[UNIT S/ IPI C/DESC]])/2</f>
        <v>0</v>
      </c>
      <c r="AA266" s="445">
        <f>MateriaisCampo[[#This Row],[UNIT S/ IP + DIF ICMS]]+(MateriaisCampo[[#This Row],[UNIT S/ IP + DIF ICMS]]*MateriaisCampo[[#This Row],[IPI %]])</f>
        <v>0</v>
      </c>
      <c r="AB266" s="448">
        <f>_xlfn.XLOOKUP(MateriaisCampo[[#This Row],[FATURAMENTO]],BASE!$U$48:$U$50,BASE!$W$48:$W$50,0,0,1)</f>
        <v>0.79709863947533133</v>
      </c>
      <c r="AC266" s="510" t="str">
        <f>RESUMO!$E$56</f>
        <v>SIM</v>
      </c>
      <c r="AD266" s="449" t="str">
        <f>RESUMO!$E$57</f>
        <v>SIM</v>
      </c>
      <c r="AE26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6" s="450">
        <f>MateriaisCampo[[#This Row],[UNIT CRED]]*MateriaisCampo[[#This Row],[QUANTIDADE]]</f>
        <v>0</v>
      </c>
      <c r="AG266" s="451">
        <f>MateriaisCampo[[#This Row],[TOT CRED]]</f>
        <v>0</v>
      </c>
      <c r="AH266" s="452">
        <f>IF(MateriaisCampo[[#This Row],[QUANTIDADE]]&lt;&gt;0,((MateriaisCampo[[#This Row],[TOT CUSTO]]/MateriaisCampo[[#This Row],[QUANTIDADE]])/MateriaisCampo[[#This Row],[MARK-UP]]),0)</f>
        <v>0</v>
      </c>
      <c r="AI266" s="453">
        <f>MateriaisCampo[[#This Row],[UNIT VENDA]]*MateriaisCampo[[#This Row],[QUANTIDADE]]</f>
        <v>0</v>
      </c>
      <c r="AJ266" s="453">
        <f>IFERROR(MateriaisCampo[[#This Row],[VENDA]]*(RESUMO!$F$55/RESUMO!$F$45),0)</f>
        <v>0</v>
      </c>
      <c r="AK266" s="453">
        <f>IFERROR(MateriaisCampo[[#This Row],[VENDA]]*(RESUMO!$F$58/RESUMO!$F$45),0)</f>
        <v>0</v>
      </c>
      <c r="AL266" s="454">
        <f>IF(MateriaisCampo[[#This Row],[FATURAMENTO]]="NORMAL",MateriaisCampo[[#This Row],[VENDA]],0)</f>
        <v>0</v>
      </c>
    </row>
    <row r="267" spans="1:38" x14ac:dyDescent="0.25">
      <c r="A267" s="113"/>
      <c r="B267" s="113"/>
      <c r="C267" s="113"/>
      <c r="D267" s="113"/>
      <c r="E267" s="434"/>
      <c r="F267" s="434">
        <f t="shared" si="4"/>
        <v>0</v>
      </c>
      <c r="G267" s="113"/>
      <c r="H267" s="435"/>
      <c r="I267" s="436"/>
      <c r="J267" s="437"/>
      <c r="K267" s="438"/>
      <c r="L267" s="438"/>
      <c r="M267" s="458"/>
      <c r="N267" s="445">
        <f>MateriaisCampo[[#This Row],[UNIT S/IPI S/DESC]]-MateriaisCampo[[#This Row],[UNIT S/IPI S/DESC]]*MateriaisCampo[[#This Row],[% DESC]]</f>
        <v>0</v>
      </c>
      <c r="O267" s="441" t="s">
        <v>295</v>
      </c>
      <c r="P267" s="442" t="s">
        <v>155</v>
      </c>
      <c r="Q267" s="438">
        <v>1.6500000000000001E-2</v>
      </c>
      <c r="R267" s="438">
        <v>7.5999999999999998E-2</v>
      </c>
      <c r="S267" s="443">
        <f>MateriaisCampo[[#This Row],[UNIT S/ IP + DIF ICMS]]*MateriaisCampo[[#This Row],[QUANTIDADE]]</f>
        <v>0</v>
      </c>
      <c r="T267" s="444">
        <f>MateriaisCampo[[#This Row],[TOTAL S/ IPI]]+(MateriaisCampo[[#This Row],[TOTAL S/ IPI]]*MateriaisCampo[[#This Row],[IPI %]])</f>
        <v>0</v>
      </c>
      <c r="U267" s="445">
        <f>IF(AND(MateriaisCampo[[#This Row],[ICMS %]]&lt;&gt;18%,MateriaisCampo[[#This Row],[ORIGEM]]&lt;&gt;"SÃO PAULO"),((18%-MateriaisCampo[[#This Row],[ICMS %]])*MateriaisCampo[[#This Row],[UNIT S/ IPI C/DESC]]),0)</f>
        <v>0</v>
      </c>
      <c r="V267" s="437">
        <f>MateriaisCampo[[#This Row],[UNIT S/ IPI C/DESC]]*MateriaisCampo[[#This Row],[ICMS %]]</f>
        <v>0</v>
      </c>
      <c r="W267" s="437">
        <f>MateriaisCampo[[#This Row],[ICMS $]]*MateriaisCampo[[#This Row],[QUANTIDADE]]</f>
        <v>0</v>
      </c>
      <c r="X267" s="446">
        <f>MateriaisCampo[[#This Row],[UNIT S/ IPI C/DESC]]+MateriaisCampo[[#This Row],[DIFERENCIAL ICMS]]</f>
        <v>0</v>
      </c>
      <c r="Y267" s="446">
        <f>(MateriaisCampo[[#This Row],[PIS]]*MateriaisCampo[[#This Row],[UNIT S/ IPI C/DESC]])/2</f>
        <v>0</v>
      </c>
      <c r="Z267" s="446">
        <f>(MateriaisCampo[[#This Row],[COFINS]]*MateriaisCampo[[#This Row],[UNIT S/ IPI C/DESC]])/2</f>
        <v>0</v>
      </c>
      <c r="AA267" s="445">
        <f>MateriaisCampo[[#This Row],[UNIT S/ IP + DIF ICMS]]+(MateriaisCampo[[#This Row],[UNIT S/ IP + DIF ICMS]]*MateriaisCampo[[#This Row],[IPI %]])</f>
        <v>0</v>
      </c>
      <c r="AB267" s="448">
        <f>_xlfn.XLOOKUP(MateriaisCampo[[#This Row],[FATURAMENTO]],BASE!$U$48:$U$50,BASE!$W$48:$W$50,0,0,1)</f>
        <v>0.79709863947533133</v>
      </c>
      <c r="AC267" s="510" t="str">
        <f>RESUMO!$E$56</f>
        <v>SIM</v>
      </c>
      <c r="AD267" s="449" t="str">
        <f>RESUMO!$E$57</f>
        <v>SIM</v>
      </c>
      <c r="AE26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7" s="450">
        <f>MateriaisCampo[[#This Row],[UNIT CRED]]*MateriaisCampo[[#This Row],[QUANTIDADE]]</f>
        <v>0</v>
      </c>
      <c r="AG267" s="451">
        <f>MateriaisCampo[[#This Row],[TOT CRED]]</f>
        <v>0</v>
      </c>
      <c r="AH267" s="452">
        <f>IF(MateriaisCampo[[#This Row],[QUANTIDADE]]&lt;&gt;0,((MateriaisCampo[[#This Row],[TOT CUSTO]]/MateriaisCampo[[#This Row],[QUANTIDADE]])/MateriaisCampo[[#This Row],[MARK-UP]]),0)</f>
        <v>0</v>
      </c>
      <c r="AI267" s="453">
        <f>MateriaisCampo[[#This Row],[UNIT VENDA]]*MateriaisCampo[[#This Row],[QUANTIDADE]]</f>
        <v>0</v>
      </c>
      <c r="AJ267" s="453">
        <f>IFERROR(MateriaisCampo[[#This Row],[VENDA]]*(RESUMO!$F$55/RESUMO!$F$45),0)</f>
        <v>0</v>
      </c>
      <c r="AK267" s="453">
        <f>IFERROR(MateriaisCampo[[#This Row],[VENDA]]*(RESUMO!$F$58/RESUMO!$F$45),0)</f>
        <v>0</v>
      </c>
      <c r="AL267" s="454">
        <f>IF(MateriaisCampo[[#This Row],[FATURAMENTO]]="NORMAL",MateriaisCampo[[#This Row],[VENDA]],0)</f>
        <v>0</v>
      </c>
    </row>
    <row r="268" spans="1:38" x14ac:dyDescent="0.25">
      <c r="A268" s="113"/>
      <c r="B268" s="113"/>
      <c r="C268" s="113"/>
      <c r="D268" s="113"/>
      <c r="E268" s="434"/>
      <c r="F268" s="434">
        <f t="shared" si="4"/>
        <v>0</v>
      </c>
      <c r="G268" s="113"/>
      <c r="H268" s="435"/>
      <c r="I268" s="436"/>
      <c r="J268" s="437"/>
      <c r="K268" s="438"/>
      <c r="L268" s="438"/>
      <c r="M268" s="458"/>
      <c r="N268" s="445">
        <f>MateriaisCampo[[#This Row],[UNIT S/IPI S/DESC]]-MateriaisCampo[[#This Row],[UNIT S/IPI S/DESC]]*MateriaisCampo[[#This Row],[% DESC]]</f>
        <v>0</v>
      </c>
      <c r="O268" s="441" t="s">
        <v>295</v>
      </c>
      <c r="P268" s="442" t="s">
        <v>155</v>
      </c>
      <c r="Q268" s="438">
        <v>1.6500000000000001E-2</v>
      </c>
      <c r="R268" s="438">
        <v>7.5999999999999998E-2</v>
      </c>
      <c r="S268" s="443">
        <f>MateriaisCampo[[#This Row],[UNIT S/ IP + DIF ICMS]]*MateriaisCampo[[#This Row],[QUANTIDADE]]</f>
        <v>0</v>
      </c>
      <c r="T268" s="444">
        <f>MateriaisCampo[[#This Row],[TOTAL S/ IPI]]+(MateriaisCampo[[#This Row],[TOTAL S/ IPI]]*MateriaisCampo[[#This Row],[IPI %]])</f>
        <v>0</v>
      </c>
      <c r="U268" s="445">
        <f>IF(AND(MateriaisCampo[[#This Row],[ICMS %]]&lt;&gt;18%,MateriaisCampo[[#This Row],[ORIGEM]]&lt;&gt;"SÃO PAULO"),((18%-MateriaisCampo[[#This Row],[ICMS %]])*MateriaisCampo[[#This Row],[UNIT S/ IPI C/DESC]]),0)</f>
        <v>0</v>
      </c>
      <c r="V268" s="437">
        <f>MateriaisCampo[[#This Row],[UNIT S/ IPI C/DESC]]*MateriaisCampo[[#This Row],[ICMS %]]</f>
        <v>0</v>
      </c>
      <c r="W268" s="437">
        <f>MateriaisCampo[[#This Row],[ICMS $]]*MateriaisCampo[[#This Row],[QUANTIDADE]]</f>
        <v>0</v>
      </c>
      <c r="X268" s="446">
        <f>MateriaisCampo[[#This Row],[UNIT S/ IPI C/DESC]]+MateriaisCampo[[#This Row],[DIFERENCIAL ICMS]]</f>
        <v>0</v>
      </c>
      <c r="Y268" s="446">
        <f>(MateriaisCampo[[#This Row],[PIS]]*MateriaisCampo[[#This Row],[UNIT S/ IPI C/DESC]])/2</f>
        <v>0</v>
      </c>
      <c r="Z268" s="446">
        <f>(MateriaisCampo[[#This Row],[COFINS]]*MateriaisCampo[[#This Row],[UNIT S/ IPI C/DESC]])/2</f>
        <v>0</v>
      </c>
      <c r="AA268" s="445">
        <f>MateriaisCampo[[#This Row],[UNIT S/ IP + DIF ICMS]]+(MateriaisCampo[[#This Row],[UNIT S/ IP + DIF ICMS]]*MateriaisCampo[[#This Row],[IPI %]])</f>
        <v>0</v>
      </c>
      <c r="AB268" s="448">
        <f>_xlfn.XLOOKUP(MateriaisCampo[[#This Row],[FATURAMENTO]],BASE!$U$48:$U$50,BASE!$W$48:$W$50,0,0,1)</f>
        <v>0.79709863947533133</v>
      </c>
      <c r="AC268" s="510" t="str">
        <f>RESUMO!$E$56</f>
        <v>SIM</v>
      </c>
      <c r="AD268" s="449" t="str">
        <f>RESUMO!$E$57</f>
        <v>SIM</v>
      </c>
      <c r="AE26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8" s="450">
        <f>MateriaisCampo[[#This Row],[UNIT CRED]]*MateriaisCampo[[#This Row],[QUANTIDADE]]</f>
        <v>0</v>
      </c>
      <c r="AG268" s="451">
        <f>MateriaisCampo[[#This Row],[TOT CRED]]</f>
        <v>0</v>
      </c>
      <c r="AH268" s="452">
        <f>IF(MateriaisCampo[[#This Row],[QUANTIDADE]]&lt;&gt;0,((MateriaisCampo[[#This Row],[TOT CUSTO]]/MateriaisCampo[[#This Row],[QUANTIDADE]])/MateriaisCampo[[#This Row],[MARK-UP]]),0)</f>
        <v>0</v>
      </c>
      <c r="AI268" s="453">
        <f>MateriaisCampo[[#This Row],[UNIT VENDA]]*MateriaisCampo[[#This Row],[QUANTIDADE]]</f>
        <v>0</v>
      </c>
      <c r="AJ268" s="453">
        <f>IFERROR(MateriaisCampo[[#This Row],[VENDA]]*(RESUMO!$F$55/RESUMO!$F$45),0)</f>
        <v>0</v>
      </c>
      <c r="AK268" s="453">
        <f>IFERROR(MateriaisCampo[[#This Row],[VENDA]]*(RESUMO!$F$58/RESUMO!$F$45),0)</f>
        <v>0</v>
      </c>
      <c r="AL268" s="454">
        <f>IF(MateriaisCampo[[#This Row],[FATURAMENTO]]="NORMAL",MateriaisCampo[[#This Row],[VENDA]],0)</f>
        <v>0</v>
      </c>
    </row>
    <row r="269" spans="1:38" x14ac:dyDescent="0.25">
      <c r="A269" s="113"/>
      <c r="B269" s="113"/>
      <c r="C269" s="113"/>
      <c r="D269" s="113"/>
      <c r="E269" s="434"/>
      <c r="F269" s="434">
        <f t="shared" si="4"/>
        <v>0</v>
      </c>
      <c r="G269" s="113"/>
      <c r="H269" s="435"/>
      <c r="I269" s="436"/>
      <c r="J269" s="437"/>
      <c r="K269" s="438"/>
      <c r="L269" s="438"/>
      <c r="M269" s="458"/>
      <c r="N269" s="445">
        <f>MateriaisCampo[[#This Row],[UNIT S/IPI S/DESC]]-MateriaisCampo[[#This Row],[UNIT S/IPI S/DESC]]*MateriaisCampo[[#This Row],[% DESC]]</f>
        <v>0</v>
      </c>
      <c r="O269" s="441" t="s">
        <v>295</v>
      </c>
      <c r="P269" s="442" t="s">
        <v>155</v>
      </c>
      <c r="Q269" s="438">
        <v>1.6500000000000001E-2</v>
      </c>
      <c r="R269" s="438">
        <v>7.5999999999999998E-2</v>
      </c>
      <c r="S269" s="443">
        <f>MateriaisCampo[[#This Row],[UNIT S/ IP + DIF ICMS]]*MateriaisCampo[[#This Row],[QUANTIDADE]]</f>
        <v>0</v>
      </c>
      <c r="T269" s="444">
        <f>MateriaisCampo[[#This Row],[TOTAL S/ IPI]]+(MateriaisCampo[[#This Row],[TOTAL S/ IPI]]*MateriaisCampo[[#This Row],[IPI %]])</f>
        <v>0</v>
      </c>
      <c r="U269" s="445">
        <f>IF(AND(MateriaisCampo[[#This Row],[ICMS %]]&lt;&gt;18%,MateriaisCampo[[#This Row],[ORIGEM]]&lt;&gt;"SÃO PAULO"),((18%-MateriaisCampo[[#This Row],[ICMS %]])*MateriaisCampo[[#This Row],[UNIT S/ IPI C/DESC]]),0)</f>
        <v>0</v>
      </c>
      <c r="V269" s="437">
        <f>MateriaisCampo[[#This Row],[UNIT S/ IPI C/DESC]]*MateriaisCampo[[#This Row],[ICMS %]]</f>
        <v>0</v>
      </c>
      <c r="W269" s="437">
        <f>MateriaisCampo[[#This Row],[ICMS $]]*MateriaisCampo[[#This Row],[QUANTIDADE]]</f>
        <v>0</v>
      </c>
      <c r="X269" s="446">
        <f>MateriaisCampo[[#This Row],[UNIT S/ IPI C/DESC]]+MateriaisCampo[[#This Row],[DIFERENCIAL ICMS]]</f>
        <v>0</v>
      </c>
      <c r="Y269" s="446">
        <f>(MateriaisCampo[[#This Row],[PIS]]*MateriaisCampo[[#This Row],[UNIT S/ IPI C/DESC]])/2</f>
        <v>0</v>
      </c>
      <c r="Z269" s="446">
        <f>(MateriaisCampo[[#This Row],[COFINS]]*MateriaisCampo[[#This Row],[UNIT S/ IPI C/DESC]])/2</f>
        <v>0</v>
      </c>
      <c r="AA269" s="445">
        <f>MateriaisCampo[[#This Row],[UNIT S/ IP + DIF ICMS]]+(MateriaisCampo[[#This Row],[UNIT S/ IP + DIF ICMS]]*MateriaisCampo[[#This Row],[IPI %]])</f>
        <v>0</v>
      </c>
      <c r="AB269" s="448">
        <f>_xlfn.XLOOKUP(MateriaisCampo[[#This Row],[FATURAMENTO]],BASE!$U$48:$U$50,BASE!$W$48:$W$50,0,0,1)</f>
        <v>0.79709863947533133</v>
      </c>
      <c r="AC269" s="510" t="str">
        <f>RESUMO!$E$56</f>
        <v>SIM</v>
      </c>
      <c r="AD269" s="449" t="str">
        <f>RESUMO!$E$57</f>
        <v>SIM</v>
      </c>
      <c r="AE26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69" s="450">
        <f>MateriaisCampo[[#This Row],[UNIT CRED]]*MateriaisCampo[[#This Row],[QUANTIDADE]]</f>
        <v>0</v>
      </c>
      <c r="AG269" s="451">
        <f>MateriaisCampo[[#This Row],[TOT CRED]]</f>
        <v>0</v>
      </c>
      <c r="AH269" s="452">
        <f>IF(MateriaisCampo[[#This Row],[QUANTIDADE]]&lt;&gt;0,((MateriaisCampo[[#This Row],[TOT CUSTO]]/MateriaisCampo[[#This Row],[QUANTIDADE]])/MateriaisCampo[[#This Row],[MARK-UP]]),0)</f>
        <v>0</v>
      </c>
      <c r="AI269" s="453">
        <f>MateriaisCampo[[#This Row],[UNIT VENDA]]*MateriaisCampo[[#This Row],[QUANTIDADE]]</f>
        <v>0</v>
      </c>
      <c r="AJ269" s="453">
        <f>IFERROR(MateriaisCampo[[#This Row],[VENDA]]*(RESUMO!$F$55/RESUMO!$F$45),0)</f>
        <v>0</v>
      </c>
      <c r="AK269" s="453">
        <f>IFERROR(MateriaisCampo[[#This Row],[VENDA]]*(RESUMO!$F$58/RESUMO!$F$45),0)</f>
        <v>0</v>
      </c>
      <c r="AL269" s="454">
        <f>IF(MateriaisCampo[[#This Row],[FATURAMENTO]]="NORMAL",MateriaisCampo[[#This Row],[VENDA]],0)</f>
        <v>0</v>
      </c>
    </row>
    <row r="270" spans="1:38" x14ac:dyDescent="0.25">
      <c r="A270" s="113"/>
      <c r="B270" s="113"/>
      <c r="C270" s="113"/>
      <c r="D270" s="113"/>
      <c r="E270" s="434"/>
      <c r="F270" s="434">
        <f t="shared" si="4"/>
        <v>0</v>
      </c>
      <c r="G270" s="113"/>
      <c r="H270" s="435"/>
      <c r="I270" s="436"/>
      <c r="J270" s="437"/>
      <c r="K270" s="438"/>
      <c r="L270" s="438"/>
      <c r="M270" s="458"/>
      <c r="N270" s="445">
        <f>MateriaisCampo[[#This Row],[UNIT S/IPI S/DESC]]-MateriaisCampo[[#This Row],[UNIT S/IPI S/DESC]]*MateriaisCampo[[#This Row],[% DESC]]</f>
        <v>0</v>
      </c>
      <c r="O270" s="441" t="s">
        <v>295</v>
      </c>
      <c r="P270" s="442" t="s">
        <v>155</v>
      </c>
      <c r="Q270" s="438">
        <v>1.6500000000000001E-2</v>
      </c>
      <c r="R270" s="438">
        <v>7.5999999999999998E-2</v>
      </c>
      <c r="S270" s="443">
        <f>MateriaisCampo[[#This Row],[UNIT S/ IP + DIF ICMS]]*MateriaisCampo[[#This Row],[QUANTIDADE]]</f>
        <v>0</v>
      </c>
      <c r="T270" s="444">
        <f>MateriaisCampo[[#This Row],[TOTAL S/ IPI]]+(MateriaisCampo[[#This Row],[TOTAL S/ IPI]]*MateriaisCampo[[#This Row],[IPI %]])</f>
        <v>0</v>
      </c>
      <c r="U270" s="445">
        <f>IF(AND(MateriaisCampo[[#This Row],[ICMS %]]&lt;&gt;18%,MateriaisCampo[[#This Row],[ORIGEM]]&lt;&gt;"SÃO PAULO"),((18%-MateriaisCampo[[#This Row],[ICMS %]])*MateriaisCampo[[#This Row],[UNIT S/ IPI C/DESC]]),0)</f>
        <v>0</v>
      </c>
      <c r="V270" s="437">
        <f>MateriaisCampo[[#This Row],[UNIT S/ IPI C/DESC]]*MateriaisCampo[[#This Row],[ICMS %]]</f>
        <v>0</v>
      </c>
      <c r="W270" s="437">
        <f>MateriaisCampo[[#This Row],[ICMS $]]*MateriaisCampo[[#This Row],[QUANTIDADE]]</f>
        <v>0</v>
      </c>
      <c r="X270" s="446">
        <f>MateriaisCampo[[#This Row],[UNIT S/ IPI C/DESC]]+MateriaisCampo[[#This Row],[DIFERENCIAL ICMS]]</f>
        <v>0</v>
      </c>
      <c r="Y270" s="446">
        <f>(MateriaisCampo[[#This Row],[PIS]]*MateriaisCampo[[#This Row],[UNIT S/ IPI C/DESC]])/2</f>
        <v>0</v>
      </c>
      <c r="Z270" s="446">
        <f>(MateriaisCampo[[#This Row],[COFINS]]*MateriaisCampo[[#This Row],[UNIT S/ IPI C/DESC]])/2</f>
        <v>0</v>
      </c>
      <c r="AA270" s="445">
        <f>MateriaisCampo[[#This Row],[UNIT S/ IP + DIF ICMS]]+(MateriaisCampo[[#This Row],[UNIT S/ IP + DIF ICMS]]*MateriaisCampo[[#This Row],[IPI %]])</f>
        <v>0</v>
      </c>
      <c r="AB270" s="448">
        <f>_xlfn.XLOOKUP(MateriaisCampo[[#This Row],[FATURAMENTO]],BASE!$U$48:$U$50,BASE!$W$48:$W$50,0,0,1)</f>
        <v>0.79709863947533133</v>
      </c>
      <c r="AC270" s="510" t="str">
        <f>RESUMO!$E$56</f>
        <v>SIM</v>
      </c>
      <c r="AD270" s="449" t="str">
        <f>RESUMO!$E$57</f>
        <v>SIM</v>
      </c>
      <c r="AE27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0" s="450">
        <f>MateriaisCampo[[#This Row],[UNIT CRED]]*MateriaisCampo[[#This Row],[QUANTIDADE]]</f>
        <v>0</v>
      </c>
      <c r="AG270" s="451">
        <f>MateriaisCampo[[#This Row],[TOT CRED]]</f>
        <v>0</v>
      </c>
      <c r="AH270" s="452">
        <f>IF(MateriaisCampo[[#This Row],[QUANTIDADE]]&lt;&gt;0,((MateriaisCampo[[#This Row],[TOT CUSTO]]/MateriaisCampo[[#This Row],[QUANTIDADE]])/MateriaisCampo[[#This Row],[MARK-UP]]),0)</f>
        <v>0</v>
      </c>
      <c r="AI270" s="453">
        <f>MateriaisCampo[[#This Row],[UNIT VENDA]]*MateriaisCampo[[#This Row],[QUANTIDADE]]</f>
        <v>0</v>
      </c>
      <c r="AJ270" s="453">
        <f>IFERROR(MateriaisCampo[[#This Row],[VENDA]]*(RESUMO!$F$55/RESUMO!$F$45),0)</f>
        <v>0</v>
      </c>
      <c r="AK270" s="453">
        <f>IFERROR(MateriaisCampo[[#This Row],[VENDA]]*(RESUMO!$F$58/RESUMO!$F$45),0)</f>
        <v>0</v>
      </c>
      <c r="AL270" s="454">
        <f>IF(MateriaisCampo[[#This Row],[FATURAMENTO]]="NORMAL",MateriaisCampo[[#This Row],[VENDA]],0)</f>
        <v>0</v>
      </c>
    </row>
    <row r="271" spans="1:38" x14ac:dyDescent="0.25">
      <c r="A271" s="113"/>
      <c r="B271" s="113"/>
      <c r="C271" s="113"/>
      <c r="D271" s="113"/>
      <c r="E271" s="434"/>
      <c r="F271" s="434">
        <f t="shared" si="4"/>
        <v>0</v>
      </c>
      <c r="G271" s="113"/>
      <c r="H271" s="435"/>
      <c r="I271" s="436"/>
      <c r="J271" s="437"/>
      <c r="K271" s="438"/>
      <c r="L271" s="438"/>
      <c r="M271" s="458"/>
      <c r="N271" s="445">
        <f>MateriaisCampo[[#This Row],[UNIT S/IPI S/DESC]]-MateriaisCampo[[#This Row],[UNIT S/IPI S/DESC]]*MateriaisCampo[[#This Row],[% DESC]]</f>
        <v>0</v>
      </c>
      <c r="O271" s="441" t="s">
        <v>295</v>
      </c>
      <c r="P271" s="442" t="s">
        <v>155</v>
      </c>
      <c r="Q271" s="438">
        <v>1.6500000000000001E-2</v>
      </c>
      <c r="R271" s="438">
        <v>7.5999999999999998E-2</v>
      </c>
      <c r="S271" s="443">
        <f>MateriaisCampo[[#This Row],[UNIT S/ IP + DIF ICMS]]*MateriaisCampo[[#This Row],[QUANTIDADE]]</f>
        <v>0</v>
      </c>
      <c r="T271" s="444">
        <f>MateriaisCampo[[#This Row],[TOTAL S/ IPI]]+(MateriaisCampo[[#This Row],[TOTAL S/ IPI]]*MateriaisCampo[[#This Row],[IPI %]])</f>
        <v>0</v>
      </c>
      <c r="U271" s="445">
        <f>IF(AND(MateriaisCampo[[#This Row],[ICMS %]]&lt;&gt;18%,MateriaisCampo[[#This Row],[ORIGEM]]&lt;&gt;"SÃO PAULO"),((18%-MateriaisCampo[[#This Row],[ICMS %]])*MateriaisCampo[[#This Row],[UNIT S/ IPI C/DESC]]),0)</f>
        <v>0</v>
      </c>
      <c r="V271" s="437">
        <f>MateriaisCampo[[#This Row],[UNIT S/ IPI C/DESC]]*MateriaisCampo[[#This Row],[ICMS %]]</f>
        <v>0</v>
      </c>
      <c r="W271" s="437">
        <f>MateriaisCampo[[#This Row],[ICMS $]]*MateriaisCampo[[#This Row],[QUANTIDADE]]</f>
        <v>0</v>
      </c>
      <c r="X271" s="446">
        <f>MateriaisCampo[[#This Row],[UNIT S/ IPI C/DESC]]+MateriaisCampo[[#This Row],[DIFERENCIAL ICMS]]</f>
        <v>0</v>
      </c>
      <c r="Y271" s="446">
        <f>(MateriaisCampo[[#This Row],[PIS]]*MateriaisCampo[[#This Row],[UNIT S/ IPI C/DESC]])/2</f>
        <v>0</v>
      </c>
      <c r="Z271" s="446">
        <f>(MateriaisCampo[[#This Row],[COFINS]]*MateriaisCampo[[#This Row],[UNIT S/ IPI C/DESC]])/2</f>
        <v>0</v>
      </c>
      <c r="AA271" s="445">
        <f>MateriaisCampo[[#This Row],[UNIT S/ IP + DIF ICMS]]+(MateriaisCampo[[#This Row],[UNIT S/ IP + DIF ICMS]]*MateriaisCampo[[#This Row],[IPI %]])</f>
        <v>0</v>
      </c>
      <c r="AB271" s="448">
        <f>_xlfn.XLOOKUP(MateriaisCampo[[#This Row],[FATURAMENTO]],BASE!$U$48:$U$50,BASE!$W$48:$W$50,0,0,1)</f>
        <v>0.79709863947533133</v>
      </c>
      <c r="AC271" s="510" t="str">
        <f>RESUMO!$E$56</f>
        <v>SIM</v>
      </c>
      <c r="AD271" s="449" t="str">
        <f>RESUMO!$E$57</f>
        <v>SIM</v>
      </c>
      <c r="AE27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1" s="450">
        <f>MateriaisCampo[[#This Row],[UNIT CRED]]*MateriaisCampo[[#This Row],[QUANTIDADE]]</f>
        <v>0</v>
      </c>
      <c r="AG271" s="451">
        <f>MateriaisCampo[[#This Row],[TOT CRED]]</f>
        <v>0</v>
      </c>
      <c r="AH271" s="452">
        <f>IF(MateriaisCampo[[#This Row],[QUANTIDADE]]&lt;&gt;0,((MateriaisCampo[[#This Row],[TOT CUSTO]]/MateriaisCampo[[#This Row],[QUANTIDADE]])/MateriaisCampo[[#This Row],[MARK-UP]]),0)</f>
        <v>0</v>
      </c>
      <c r="AI271" s="453">
        <f>MateriaisCampo[[#This Row],[UNIT VENDA]]*MateriaisCampo[[#This Row],[QUANTIDADE]]</f>
        <v>0</v>
      </c>
      <c r="AJ271" s="453">
        <f>IFERROR(MateriaisCampo[[#This Row],[VENDA]]*(RESUMO!$F$55/RESUMO!$F$45),0)</f>
        <v>0</v>
      </c>
      <c r="AK271" s="453">
        <f>IFERROR(MateriaisCampo[[#This Row],[VENDA]]*(RESUMO!$F$58/RESUMO!$F$45),0)</f>
        <v>0</v>
      </c>
      <c r="AL271" s="454">
        <f>IF(MateriaisCampo[[#This Row],[FATURAMENTO]]="NORMAL",MateriaisCampo[[#This Row],[VENDA]],0)</f>
        <v>0</v>
      </c>
    </row>
    <row r="272" spans="1:38" x14ac:dyDescent="0.25">
      <c r="A272" s="113"/>
      <c r="B272" s="113"/>
      <c r="C272" s="113"/>
      <c r="D272" s="113"/>
      <c r="E272" s="434"/>
      <c r="F272" s="434">
        <f t="shared" si="4"/>
        <v>0</v>
      </c>
      <c r="G272" s="113"/>
      <c r="H272" s="435"/>
      <c r="I272" s="436"/>
      <c r="J272" s="437"/>
      <c r="K272" s="438"/>
      <c r="L272" s="438"/>
      <c r="M272" s="458"/>
      <c r="N272" s="445">
        <f>MateriaisCampo[[#This Row],[UNIT S/IPI S/DESC]]-MateriaisCampo[[#This Row],[UNIT S/IPI S/DESC]]*MateriaisCampo[[#This Row],[% DESC]]</f>
        <v>0</v>
      </c>
      <c r="O272" s="441" t="s">
        <v>295</v>
      </c>
      <c r="P272" s="442" t="s">
        <v>155</v>
      </c>
      <c r="Q272" s="438">
        <v>1.6500000000000001E-2</v>
      </c>
      <c r="R272" s="438">
        <v>7.5999999999999998E-2</v>
      </c>
      <c r="S272" s="443">
        <f>MateriaisCampo[[#This Row],[UNIT S/ IP + DIF ICMS]]*MateriaisCampo[[#This Row],[QUANTIDADE]]</f>
        <v>0</v>
      </c>
      <c r="T272" s="444">
        <f>MateriaisCampo[[#This Row],[TOTAL S/ IPI]]+(MateriaisCampo[[#This Row],[TOTAL S/ IPI]]*MateriaisCampo[[#This Row],[IPI %]])</f>
        <v>0</v>
      </c>
      <c r="U272" s="445">
        <f>IF(AND(MateriaisCampo[[#This Row],[ICMS %]]&lt;&gt;18%,MateriaisCampo[[#This Row],[ORIGEM]]&lt;&gt;"SÃO PAULO"),((18%-MateriaisCampo[[#This Row],[ICMS %]])*MateriaisCampo[[#This Row],[UNIT S/ IPI C/DESC]]),0)</f>
        <v>0</v>
      </c>
      <c r="V272" s="437">
        <f>MateriaisCampo[[#This Row],[UNIT S/ IPI C/DESC]]*MateriaisCampo[[#This Row],[ICMS %]]</f>
        <v>0</v>
      </c>
      <c r="W272" s="437">
        <f>MateriaisCampo[[#This Row],[ICMS $]]*MateriaisCampo[[#This Row],[QUANTIDADE]]</f>
        <v>0</v>
      </c>
      <c r="X272" s="446">
        <f>MateriaisCampo[[#This Row],[UNIT S/ IPI C/DESC]]+MateriaisCampo[[#This Row],[DIFERENCIAL ICMS]]</f>
        <v>0</v>
      </c>
      <c r="Y272" s="446">
        <f>(MateriaisCampo[[#This Row],[PIS]]*MateriaisCampo[[#This Row],[UNIT S/ IPI C/DESC]])/2</f>
        <v>0</v>
      </c>
      <c r="Z272" s="446">
        <f>(MateriaisCampo[[#This Row],[COFINS]]*MateriaisCampo[[#This Row],[UNIT S/ IPI C/DESC]])/2</f>
        <v>0</v>
      </c>
      <c r="AA272" s="445">
        <f>MateriaisCampo[[#This Row],[UNIT S/ IP + DIF ICMS]]+(MateriaisCampo[[#This Row],[UNIT S/ IP + DIF ICMS]]*MateriaisCampo[[#This Row],[IPI %]])</f>
        <v>0</v>
      </c>
      <c r="AB272" s="448">
        <f>_xlfn.XLOOKUP(MateriaisCampo[[#This Row],[FATURAMENTO]],BASE!$U$48:$U$50,BASE!$W$48:$W$50,0,0,1)</f>
        <v>0.79709863947533133</v>
      </c>
      <c r="AC272" s="510" t="str">
        <f>RESUMO!$E$56</f>
        <v>SIM</v>
      </c>
      <c r="AD272" s="449" t="str">
        <f>RESUMO!$E$57</f>
        <v>SIM</v>
      </c>
      <c r="AE27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2" s="450">
        <f>MateriaisCampo[[#This Row],[UNIT CRED]]*MateriaisCampo[[#This Row],[QUANTIDADE]]</f>
        <v>0</v>
      </c>
      <c r="AG272" s="451">
        <f>MateriaisCampo[[#This Row],[TOT CRED]]</f>
        <v>0</v>
      </c>
      <c r="AH272" s="452">
        <f>IF(MateriaisCampo[[#This Row],[QUANTIDADE]]&lt;&gt;0,((MateriaisCampo[[#This Row],[TOT CUSTO]]/MateriaisCampo[[#This Row],[QUANTIDADE]])/MateriaisCampo[[#This Row],[MARK-UP]]),0)</f>
        <v>0</v>
      </c>
      <c r="AI272" s="453">
        <f>MateriaisCampo[[#This Row],[UNIT VENDA]]*MateriaisCampo[[#This Row],[QUANTIDADE]]</f>
        <v>0</v>
      </c>
      <c r="AJ272" s="453">
        <f>IFERROR(MateriaisCampo[[#This Row],[VENDA]]*(RESUMO!$F$55/RESUMO!$F$45),0)</f>
        <v>0</v>
      </c>
      <c r="AK272" s="453">
        <f>IFERROR(MateriaisCampo[[#This Row],[VENDA]]*(RESUMO!$F$58/RESUMO!$F$45),0)</f>
        <v>0</v>
      </c>
      <c r="AL272" s="454">
        <f>IF(MateriaisCampo[[#This Row],[FATURAMENTO]]="NORMAL",MateriaisCampo[[#This Row],[VENDA]],0)</f>
        <v>0</v>
      </c>
    </row>
    <row r="273" spans="1:38" x14ac:dyDescent="0.25">
      <c r="A273" s="113"/>
      <c r="B273" s="113"/>
      <c r="C273" s="113"/>
      <c r="D273" s="113"/>
      <c r="E273" s="434"/>
      <c r="F273" s="434">
        <f t="shared" si="4"/>
        <v>0</v>
      </c>
      <c r="G273" s="113"/>
      <c r="H273" s="435"/>
      <c r="I273" s="436"/>
      <c r="J273" s="437"/>
      <c r="K273" s="438"/>
      <c r="L273" s="438"/>
      <c r="M273" s="458"/>
      <c r="N273" s="445">
        <f>MateriaisCampo[[#This Row],[UNIT S/IPI S/DESC]]-MateriaisCampo[[#This Row],[UNIT S/IPI S/DESC]]*MateriaisCampo[[#This Row],[% DESC]]</f>
        <v>0</v>
      </c>
      <c r="O273" s="441" t="s">
        <v>295</v>
      </c>
      <c r="P273" s="442" t="s">
        <v>155</v>
      </c>
      <c r="Q273" s="438">
        <v>1.6500000000000001E-2</v>
      </c>
      <c r="R273" s="438">
        <v>7.5999999999999998E-2</v>
      </c>
      <c r="S273" s="443">
        <f>MateriaisCampo[[#This Row],[UNIT S/ IP + DIF ICMS]]*MateriaisCampo[[#This Row],[QUANTIDADE]]</f>
        <v>0</v>
      </c>
      <c r="T273" s="444">
        <f>MateriaisCampo[[#This Row],[TOTAL S/ IPI]]+(MateriaisCampo[[#This Row],[TOTAL S/ IPI]]*MateriaisCampo[[#This Row],[IPI %]])</f>
        <v>0</v>
      </c>
      <c r="U273" s="445">
        <f>IF(AND(MateriaisCampo[[#This Row],[ICMS %]]&lt;&gt;18%,MateriaisCampo[[#This Row],[ORIGEM]]&lt;&gt;"SÃO PAULO"),((18%-MateriaisCampo[[#This Row],[ICMS %]])*MateriaisCampo[[#This Row],[UNIT S/ IPI C/DESC]]),0)</f>
        <v>0</v>
      </c>
      <c r="V273" s="437">
        <f>MateriaisCampo[[#This Row],[UNIT S/ IPI C/DESC]]*MateriaisCampo[[#This Row],[ICMS %]]</f>
        <v>0</v>
      </c>
      <c r="W273" s="437">
        <f>MateriaisCampo[[#This Row],[ICMS $]]*MateriaisCampo[[#This Row],[QUANTIDADE]]</f>
        <v>0</v>
      </c>
      <c r="X273" s="446">
        <f>MateriaisCampo[[#This Row],[UNIT S/ IPI C/DESC]]+MateriaisCampo[[#This Row],[DIFERENCIAL ICMS]]</f>
        <v>0</v>
      </c>
      <c r="Y273" s="446">
        <f>(MateriaisCampo[[#This Row],[PIS]]*MateriaisCampo[[#This Row],[UNIT S/ IPI C/DESC]])/2</f>
        <v>0</v>
      </c>
      <c r="Z273" s="446">
        <f>(MateriaisCampo[[#This Row],[COFINS]]*MateriaisCampo[[#This Row],[UNIT S/ IPI C/DESC]])/2</f>
        <v>0</v>
      </c>
      <c r="AA273" s="445">
        <f>MateriaisCampo[[#This Row],[UNIT S/ IP + DIF ICMS]]+(MateriaisCampo[[#This Row],[UNIT S/ IP + DIF ICMS]]*MateriaisCampo[[#This Row],[IPI %]])</f>
        <v>0</v>
      </c>
      <c r="AB273" s="448">
        <f>_xlfn.XLOOKUP(MateriaisCampo[[#This Row],[FATURAMENTO]],BASE!$U$48:$U$50,BASE!$W$48:$W$50,0,0,1)</f>
        <v>0.79709863947533133</v>
      </c>
      <c r="AC273" s="510" t="str">
        <f>RESUMO!$E$56</f>
        <v>SIM</v>
      </c>
      <c r="AD273" s="449" t="str">
        <f>RESUMO!$E$57</f>
        <v>SIM</v>
      </c>
      <c r="AE27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3" s="450">
        <f>MateriaisCampo[[#This Row],[UNIT CRED]]*MateriaisCampo[[#This Row],[QUANTIDADE]]</f>
        <v>0</v>
      </c>
      <c r="AG273" s="451">
        <f>MateriaisCampo[[#This Row],[TOT CRED]]</f>
        <v>0</v>
      </c>
      <c r="AH273" s="452">
        <f>IF(MateriaisCampo[[#This Row],[QUANTIDADE]]&lt;&gt;0,((MateriaisCampo[[#This Row],[TOT CUSTO]]/MateriaisCampo[[#This Row],[QUANTIDADE]])/MateriaisCampo[[#This Row],[MARK-UP]]),0)</f>
        <v>0</v>
      </c>
      <c r="AI273" s="453">
        <f>MateriaisCampo[[#This Row],[UNIT VENDA]]*MateriaisCampo[[#This Row],[QUANTIDADE]]</f>
        <v>0</v>
      </c>
      <c r="AJ273" s="453">
        <f>IFERROR(MateriaisCampo[[#This Row],[VENDA]]*(RESUMO!$F$55/RESUMO!$F$45),0)</f>
        <v>0</v>
      </c>
      <c r="AK273" s="453">
        <f>IFERROR(MateriaisCampo[[#This Row],[VENDA]]*(RESUMO!$F$58/RESUMO!$F$45),0)</f>
        <v>0</v>
      </c>
      <c r="AL273" s="454">
        <f>IF(MateriaisCampo[[#This Row],[FATURAMENTO]]="NORMAL",MateriaisCampo[[#This Row],[VENDA]],0)</f>
        <v>0</v>
      </c>
    </row>
    <row r="274" spans="1:38" x14ac:dyDescent="0.25">
      <c r="A274" s="113"/>
      <c r="B274" s="113"/>
      <c r="C274" s="113"/>
      <c r="D274" s="113"/>
      <c r="E274" s="434"/>
      <c r="F274" s="434">
        <f t="shared" si="4"/>
        <v>0</v>
      </c>
      <c r="G274" s="113"/>
      <c r="H274" s="435"/>
      <c r="I274" s="436"/>
      <c r="J274" s="437"/>
      <c r="K274" s="438"/>
      <c r="L274" s="438"/>
      <c r="M274" s="458"/>
      <c r="N274" s="445">
        <f>MateriaisCampo[[#This Row],[UNIT S/IPI S/DESC]]-MateriaisCampo[[#This Row],[UNIT S/IPI S/DESC]]*MateriaisCampo[[#This Row],[% DESC]]</f>
        <v>0</v>
      </c>
      <c r="O274" s="441" t="s">
        <v>295</v>
      </c>
      <c r="P274" s="442" t="s">
        <v>155</v>
      </c>
      <c r="Q274" s="438">
        <v>1.6500000000000001E-2</v>
      </c>
      <c r="R274" s="438">
        <v>7.5999999999999998E-2</v>
      </c>
      <c r="S274" s="443">
        <f>MateriaisCampo[[#This Row],[UNIT S/ IP + DIF ICMS]]*MateriaisCampo[[#This Row],[QUANTIDADE]]</f>
        <v>0</v>
      </c>
      <c r="T274" s="444">
        <f>MateriaisCampo[[#This Row],[TOTAL S/ IPI]]+(MateriaisCampo[[#This Row],[TOTAL S/ IPI]]*MateriaisCampo[[#This Row],[IPI %]])</f>
        <v>0</v>
      </c>
      <c r="U274" s="445">
        <f>IF(AND(MateriaisCampo[[#This Row],[ICMS %]]&lt;&gt;18%,MateriaisCampo[[#This Row],[ORIGEM]]&lt;&gt;"SÃO PAULO"),((18%-MateriaisCampo[[#This Row],[ICMS %]])*MateriaisCampo[[#This Row],[UNIT S/ IPI C/DESC]]),0)</f>
        <v>0</v>
      </c>
      <c r="V274" s="437">
        <f>MateriaisCampo[[#This Row],[UNIT S/ IPI C/DESC]]*MateriaisCampo[[#This Row],[ICMS %]]</f>
        <v>0</v>
      </c>
      <c r="W274" s="437">
        <f>MateriaisCampo[[#This Row],[ICMS $]]*MateriaisCampo[[#This Row],[QUANTIDADE]]</f>
        <v>0</v>
      </c>
      <c r="X274" s="446">
        <f>MateriaisCampo[[#This Row],[UNIT S/ IPI C/DESC]]+MateriaisCampo[[#This Row],[DIFERENCIAL ICMS]]</f>
        <v>0</v>
      </c>
      <c r="Y274" s="446">
        <f>(MateriaisCampo[[#This Row],[PIS]]*MateriaisCampo[[#This Row],[UNIT S/ IPI C/DESC]])/2</f>
        <v>0</v>
      </c>
      <c r="Z274" s="446">
        <f>(MateriaisCampo[[#This Row],[COFINS]]*MateriaisCampo[[#This Row],[UNIT S/ IPI C/DESC]])/2</f>
        <v>0</v>
      </c>
      <c r="AA274" s="445">
        <f>MateriaisCampo[[#This Row],[UNIT S/ IP + DIF ICMS]]+(MateriaisCampo[[#This Row],[UNIT S/ IP + DIF ICMS]]*MateriaisCampo[[#This Row],[IPI %]])</f>
        <v>0</v>
      </c>
      <c r="AB274" s="448">
        <f>_xlfn.XLOOKUP(MateriaisCampo[[#This Row],[FATURAMENTO]],BASE!$U$48:$U$50,BASE!$W$48:$W$50,0,0,1)</f>
        <v>0.79709863947533133</v>
      </c>
      <c r="AC274" s="510" t="str">
        <f>RESUMO!$E$56</f>
        <v>SIM</v>
      </c>
      <c r="AD274" s="449" t="str">
        <f>RESUMO!$E$57</f>
        <v>SIM</v>
      </c>
      <c r="AE27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4" s="450">
        <f>MateriaisCampo[[#This Row],[UNIT CRED]]*MateriaisCampo[[#This Row],[QUANTIDADE]]</f>
        <v>0</v>
      </c>
      <c r="AG274" s="451">
        <f>MateriaisCampo[[#This Row],[TOT CRED]]</f>
        <v>0</v>
      </c>
      <c r="AH274" s="452">
        <f>IF(MateriaisCampo[[#This Row],[QUANTIDADE]]&lt;&gt;0,((MateriaisCampo[[#This Row],[TOT CUSTO]]/MateriaisCampo[[#This Row],[QUANTIDADE]])/MateriaisCampo[[#This Row],[MARK-UP]]),0)</f>
        <v>0</v>
      </c>
      <c r="AI274" s="453">
        <f>MateriaisCampo[[#This Row],[UNIT VENDA]]*MateriaisCampo[[#This Row],[QUANTIDADE]]</f>
        <v>0</v>
      </c>
      <c r="AJ274" s="453">
        <f>IFERROR(MateriaisCampo[[#This Row],[VENDA]]*(RESUMO!$F$55/RESUMO!$F$45),0)</f>
        <v>0</v>
      </c>
      <c r="AK274" s="453">
        <f>IFERROR(MateriaisCampo[[#This Row],[VENDA]]*(RESUMO!$F$58/RESUMO!$F$45),0)</f>
        <v>0</v>
      </c>
      <c r="AL274" s="454">
        <f>IF(MateriaisCampo[[#This Row],[FATURAMENTO]]="NORMAL",MateriaisCampo[[#This Row],[VENDA]],0)</f>
        <v>0</v>
      </c>
    </row>
    <row r="275" spans="1:38" x14ac:dyDescent="0.25">
      <c r="A275" s="113"/>
      <c r="B275" s="113"/>
      <c r="C275" s="113"/>
      <c r="D275" s="113"/>
      <c r="E275" s="434"/>
      <c r="F275" s="434">
        <f t="shared" si="4"/>
        <v>0</v>
      </c>
      <c r="G275" s="113"/>
      <c r="H275" s="435"/>
      <c r="I275" s="436"/>
      <c r="J275" s="437"/>
      <c r="K275" s="438"/>
      <c r="L275" s="438"/>
      <c r="M275" s="458"/>
      <c r="N275" s="445">
        <f>MateriaisCampo[[#This Row],[UNIT S/IPI S/DESC]]-MateriaisCampo[[#This Row],[UNIT S/IPI S/DESC]]*MateriaisCampo[[#This Row],[% DESC]]</f>
        <v>0</v>
      </c>
      <c r="O275" s="441" t="s">
        <v>295</v>
      </c>
      <c r="P275" s="442" t="s">
        <v>155</v>
      </c>
      <c r="Q275" s="438">
        <v>1.6500000000000001E-2</v>
      </c>
      <c r="R275" s="438">
        <v>7.5999999999999998E-2</v>
      </c>
      <c r="S275" s="443">
        <f>MateriaisCampo[[#This Row],[UNIT S/ IP + DIF ICMS]]*MateriaisCampo[[#This Row],[QUANTIDADE]]</f>
        <v>0</v>
      </c>
      <c r="T275" s="444">
        <f>MateriaisCampo[[#This Row],[TOTAL S/ IPI]]+(MateriaisCampo[[#This Row],[TOTAL S/ IPI]]*MateriaisCampo[[#This Row],[IPI %]])</f>
        <v>0</v>
      </c>
      <c r="U275" s="445">
        <f>IF(AND(MateriaisCampo[[#This Row],[ICMS %]]&lt;&gt;18%,MateriaisCampo[[#This Row],[ORIGEM]]&lt;&gt;"SÃO PAULO"),((18%-MateriaisCampo[[#This Row],[ICMS %]])*MateriaisCampo[[#This Row],[UNIT S/ IPI C/DESC]]),0)</f>
        <v>0</v>
      </c>
      <c r="V275" s="437">
        <f>MateriaisCampo[[#This Row],[UNIT S/ IPI C/DESC]]*MateriaisCampo[[#This Row],[ICMS %]]</f>
        <v>0</v>
      </c>
      <c r="W275" s="437">
        <f>MateriaisCampo[[#This Row],[ICMS $]]*MateriaisCampo[[#This Row],[QUANTIDADE]]</f>
        <v>0</v>
      </c>
      <c r="X275" s="446">
        <f>MateriaisCampo[[#This Row],[UNIT S/ IPI C/DESC]]+MateriaisCampo[[#This Row],[DIFERENCIAL ICMS]]</f>
        <v>0</v>
      </c>
      <c r="Y275" s="446">
        <f>(MateriaisCampo[[#This Row],[PIS]]*MateriaisCampo[[#This Row],[UNIT S/ IPI C/DESC]])/2</f>
        <v>0</v>
      </c>
      <c r="Z275" s="446">
        <f>(MateriaisCampo[[#This Row],[COFINS]]*MateriaisCampo[[#This Row],[UNIT S/ IPI C/DESC]])/2</f>
        <v>0</v>
      </c>
      <c r="AA275" s="445">
        <f>MateriaisCampo[[#This Row],[UNIT S/ IP + DIF ICMS]]+(MateriaisCampo[[#This Row],[UNIT S/ IP + DIF ICMS]]*MateriaisCampo[[#This Row],[IPI %]])</f>
        <v>0</v>
      </c>
      <c r="AB275" s="448">
        <f>_xlfn.XLOOKUP(MateriaisCampo[[#This Row],[FATURAMENTO]],BASE!$U$48:$U$50,BASE!$W$48:$W$50,0,0,1)</f>
        <v>0.79709863947533133</v>
      </c>
      <c r="AC275" s="510" t="str">
        <f>RESUMO!$E$56</f>
        <v>SIM</v>
      </c>
      <c r="AD275" s="449" t="str">
        <f>RESUMO!$E$57</f>
        <v>SIM</v>
      </c>
      <c r="AE27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5" s="450">
        <f>MateriaisCampo[[#This Row],[UNIT CRED]]*MateriaisCampo[[#This Row],[QUANTIDADE]]</f>
        <v>0</v>
      </c>
      <c r="AG275" s="451">
        <f>MateriaisCampo[[#This Row],[TOT CRED]]</f>
        <v>0</v>
      </c>
      <c r="AH275" s="452">
        <f>IF(MateriaisCampo[[#This Row],[QUANTIDADE]]&lt;&gt;0,((MateriaisCampo[[#This Row],[TOT CUSTO]]/MateriaisCampo[[#This Row],[QUANTIDADE]])/MateriaisCampo[[#This Row],[MARK-UP]]),0)</f>
        <v>0</v>
      </c>
      <c r="AI275" s="453">
        <f>MateriaisCampo[[#This Row],[UNIT VENDA]]*MateriaisCampo[[#This Row],[QUANTIDADE]]</f>
        <v>0</v>
      </c>
      <c r="AJ275" s="453">
        <f>IFERROR(MateriaisCampo[[#This Row],[VENDA]]*(RESUMO!$F$55/RESUMO!$F$45),0)</f>
        <v>0</v>
      </c>
      <c r="AK275" s="453">
        <f>IFERROR(MateriaisCampo[[#This Row],[VENDA]]*(RESUMO!$F$58/RESUMO!$F$45),0)</f>
        <v>0</v>
      </c>
      <c r="AL275" s="454">
        <f>IF(MateriaisCampo[[#This Row],[FATURAMENTO]]="NORMAL",MateriaisCampo[[#This Row],[VENDA]],0)</f>
        <v>0</v>
      </c>
    </row>
    <row r="276" spans="1:38" x14ac:dyDescent="0.25">
      <c r="A276" s="113"/>
      <c r="B276" s="113"/>
      <c r="C276" s="113"/>
      <c r="D276" s="113"/>
      <c r="E276" s="434"/>
      <c r="F276" s="434">
        <f t="shared" si="4"/>
        <v>0</v>
      </c>
      <c r="G276" s="113"/>
      <c r="H276" s="435"/>
      <c r="I276" s="436"/>
      <c r="J276" s="437"/>
      <c r="K276" s="438"/>
      <c r="L276" s="438"/>
      <c r="M276" s="458"/>
      <c r="N276" s="445">
        <f>MateriaisCampo[[#This Row],[UNIT S/IPI S/DESC]]-MateriaisCampo[[#This Row],[UNIT S/IPI S/DESC]]*MateriaisCampo[[#This Row],[% DESC]]</f>
        <v>0</v>
      </c>
      <c r="O276" s="441" t="s">
        <v>295</v>
      </c>
      <c r="P276" s="442" t="s">
        <v>155</v>
      </c>
      <c r="Q276" s="438">
        <v>1.6500000000000001E-2</v>
      </c>
      <c r="R276" s="438">
        <v>7.5999999999999998E-2</v>
      </c>
      <c r="S276" s="443">
        <f>MateriaisCampo[[#This Row],[UNIT S/ IP + DIF ICMS]]*MateriaisCampo[[#This Row],[QUANTIDADE]]</f>
        <v>0</v>
      </c>
      <c r="T276" s="444">
        <f>MateriaisCampo[[#This Row],[TOTAL S/ IPI]]+(MateriaisCampo[[#This Row],[TOTAL S/ IPI]]*MateriaisCampo[[#This Row],[IPI %]])</f>
        <v>0</v>
      </c>
      <c r="U276" s="445">
        <f>IF(AND(MateriaisCampo[[#This Row],[ICMS %]]&lt;&gt;18%,MateriaisCampo[[#This Row],[ORIGEM]]&lt;&gt;"SÃO PAULO"),((18%-MateriaisCampo[[#This Row],[ICMS %]])*MateriaisCampo[[#This Row],[UNIT S/ IPI C/DESC]]),0)</f>
        <v>0</v>
      </c>
      <c r="V276" s="437">
        <f>MateriaisCampo[[#This Row],[UNIT S/ IPI C/DESC]]*MateriaisCampo[[#This Row],[ICMS %]]</f>
        <v>0</v>
      </c>
      <c r="W276" s="437">
        <f>MateriaisCampo[[#This Row],[ICMS $]]*MateriaisCampo[[#This Row],[QUANTIDADE]]</f>
        <v>0</v>
      </c>
      <c r="X276" s="446">
        <f>MateriaisCampo[[#This Row],[UNIT S/ IPI C/DESC]]+MateriaisCampo[[#This Row],[DIFERENCIAL ICMS]]</f>
        <v>0</v>
      </c>
      <c r="Y276" s="446">
        <f>(MateriaisCampo[[#This Row],[PIS]]*MateriaisCampo[[#This Row],[UNIT S/ IPI C/DESC]])/2</f>
        <v>0</v>
      </c>
      <c r="Z276" s="446">
        <f>(MateriaisCampo[[#This Row],[COFINS]]*MateriaisCampo[[#This Row],[UNIT S/ IPI C/DESC]])/2</f>
        <v>0</v>
      </c>
      <c r="AA276" s="445">
        <f>MateriaisCampo[[#This Row],[UNIT S/ IP + DIF ICMS]]+(MateriaisCampo[[#This Row],[UNIT S/ IP + DIF ICMS]]*MateriaisCampo[[#This Row],[IPI %]])</f>
        <v>0</v>
      </c>
      <c r="AB276" s="448">
        <f>_xlfn.XLOOKUP(MateriaisCampo[[#This Row],[FATURAMENTO]],BASE!$U$48:$U$50,BASE!$W$48:$W$50,0,0,1)</f>
        <v>0.79709863947533133</v>
      </c>
      <c r="AC276" s="510" t="str">
        <f>RESUMO!$E$56</f>
        <v>SIM</v>
      </c>
      <c r="AD276" s="449" t="str">
        <f>RESUMO!$E$57</f>
        <v>SIM</v>
      </c>
      <c r="AE27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6" s="450">
        <f>MateriaisCampo[[#This Row],[UNIT CRED]]*MateriaisCampo[[#This Row],[QUANTIDADE]]</f>
        <v>0</v>
      </c>
      <c r="AG276" s="451">
        <f>MateriaisCampo[[#This Row],[TOT CRED]]</f>
        <v>0</v>
      </c>
      <c r="AH276" s="452">
        <f>IF(MateriaisCampo[[#This Row],[QUANTIDADE]]&lt;&gt;0,((MateriaisCampo[[#This Row],[TOT CUSTO]]/MateriaisCampo[[#This Row],[QUANTIDADE]])/MateriaisCampo[[#This Row],[MARK-UP]]),0)</f>
        <v>0</v>
      </c>
      <c r="AI276" s="453">
        <f>MateriaisCampo[[#This Row],[UNIT VENDA]]*MateriaisCampo[[#This Row],[QUANTIDADE]]</f>
        <v>0</v>
      </c>
      <c r="AJ276" s="453">
        <f>IFERROR(MateriaisCampo[[#This Row],[VENDA]]*(RESUMO!$F$55/RESUMO!$F$45),0)</f>
        <v>0</v>
      </c>
      <c r="AK276" s="453">
        <f>IFERROR(MateriaisCampo[[#This Row],[VENDA]]*(RESUMO!$F$58/RESUMO!$F$45),0)</f>
        <v>0</v>
      </c>
      <c r="AL276" s="454">
        <f>IF(MateriaisCampo[[#This Row],[FATURAMENTO]]="NORMAL",MateriaisCampo[[#This Row],[VENDA]],0)</f>
        <v>0</v>
      </c>
    </row>
    <row r="277" spans="1:38" x14ac:dyDescent="0.25">
      <c r="A277" s="113"/>
      <c r="B277" s="113"/>
      <c r="C277" s="113"/>
      <c r="D277" s="113"/>
      <c r="E277" s="434"/>
      <c r="F277" s="434">
        <f t="shared" si="4"/>
        <v>0</v>
      </c>
      <c r="G277" s="113"/>
      <c r="H277" s="435"/>
      <c r="I277" s="436"/>
      <c r="J277" s="437"/>
      <c r="K277" s="438"/>
      <c r="L277" s="438"/>
      <c r="M277" s="458"/>
      <c r="N277" s="445">
        <f>MateriaisCampo[[#This Row],[UNIT S/IPI S/DESC]]-MateriaisCampo[[#This Row],[UNIT S/IPI S/DESC]]*MateriaisCampo[[#This Row],[% DESC]]</f>
        <v>0</v>
      </c>
      <c r="O277" s="441" t="s">
        <v>295</v>
      </c>
      <c r="P277" s="442" t="s">
        <v>155</v>
      </c>
      <c r="Q277" s="438">
        <v>1.6500000000000001E-2</v>
      </c>
      <c r="R277" s="438">
        <v>7.5999999999999998E-2</v>
      </c>
      <c r="S277" s="443">
        <f>MateriaisCampo[[#This Row],[UNIT S/ IP + DIF ICMS]]*MateriaisCampo[[#This Row],[QUANTIDADE]]</f>
        <v>0</v>
      </c>
      <c r="T277" s="444">
        <f>MateriaisCampo[[#This Row],[TOTAL S/ IPI]]+(MateriaisCampo[[#This Row],[TOTAL S/ IPI]]*MateriaisCampo[[#This Row],[IPI %]])</f>
        <v>0</v>
      </c>
      <c r="U277" s="445">
        <f>IF(AND(MateriaisCampo[[#This Row],[ICMS %]]&lt;&gt;18%,MateriaisCampo[[#This Row],[ORIGEM]]&lt;&gt;"SÃO PAULO"),((18%-MateriaisCampo[[#This Row],[ICMS %]])*MateriaisCampo[[#This Row],[UNIT S/ IPI C/DESC]]),0)</f>
        <v>0</v>
      </c>
      <c r="V277" s="437">
        <f>MateriaisCampo[[#This Row],[UNIT S/ IPI C/DESC]]*MateriaisCampo[[#This Row],[ICMS %]]</f>
        <v>0</v>
      </c>
      <c r="W277" s="437">
        <f>MateriaisCampo[[#This Row],[ICMS $]]*MateriaisCampo[[#This Row],[QUANTIDADE]]</f>
        <v>0</v>
      </c>
      <c r="X277" s="446">
        <f>MateriaisCampo[[#This Row],[UNIT S/ IPI C/DESC]]+MateriaisCampo[[#This Row],[DIFERENCIAL ICMS]]</f>
        <v>0</v>
      </c>
      <c r="Y277" s="446">
        <f>(MateriaisCampo[[#This Row],[PIS]]*MateriaisCampo[[#This Row],[UNIT S/ IPI C/DESC]])/2</f>
        <v>0</v>
      </c>
      <c r="Z277" s="446">
        <f>(MateriaisCampo[[#This Row],[COFINS]]*MateriaisCampo[[#This Row],[UNIT S/ IPI C/DESC]])/2</f>
        <v>0</v>
      </c>
      <c r="AA277" s="445">
        <f>MateriaisCampo[[#This Row],[UNIT S/ IP + DIF ICMS]]+(MateriaisCampo[[#This Row],[UNIT S/ IP + DIF ICMS]]*MateriaisCampo[[#This Row],[IPI %]])</f>
        <v>0</v>
      </c>
      <c r="AB277" s="448">
        <f>_xlfn.XLOOKUP(MateriaisCampo[[#This Row],[FATURAMENTO]],BASE!$U$48:$U$50,BASE!$W$48:$W$50,0,0,1)</f>
        <v>0.79709863947533133</v>
      </c>
      <c r="AC277" s="510" t="str">
        <f>RESUMO!$E$56</f>
        <v>SIM</v>
      </c>
      <c r="AD277" s="449" t="str">
        <f>RESUMO!$E$57</f>
        <v>SIM</v>
      </c>
      <c r="AE27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7" s="450">
        <f>MateriaisCampo[[#This Row],[UNIT CRED]]*MateriaisCampo[[#This Row],[QUANTIDADE]]</f>
        <v>0</v>
      </c>
      <c r="AG277" s="451">
        <f>MateriaisCampo[[#This Row],[TOT CRED]]</f>
        <v>0</v>
      </c>
      <c r="AH277" s="452">
        <f>IF(MateriaisCampo[[#This Row],[QUANTIDADE]]&lt;&gt;0,((MateriaisCampo[[#This Row],[TOT CUSTO]]/MateriaisCampo[[#This Row],[QUANTIDADE]])/MateriaisCampo[[#This Row],[MARK-UP]]),0)</f>
        <v>0</v>
      </c>
      <c r="AI277" s="453">
        <f>MateriaisCampo[[#This Row],[UNIT VENDA]]*MateriaisCampo[[#This Row],[QUANTIDADE]]</f>
        <v>0</v>
      </c>
      <c r="AJ277" s="453">
        <f>IFERROR(MateriaisCampo[[#This Row],[VENDA]]*(RESUMO!$F$55/RESUMO!$F$45),0)</f>
        <v>0</v>
      </c>
      <c r="AK277" s="453">
        <f>IFERROR(MateriaisCampo[[#This Row],[VENDA]]*(RESUMO!$F$58/RESUMO!$F$45),0)</f>
        <v>0</v>
      </c>
      <c r="AL277" s="454">
        <f>IF(MateriaisCampo[[#This Row],[FATURAMENTO]]="NORMAL",MateriaisCampo[[#This Row],[VENDA]],0)</f>
        <v>0</v>
      </c>
    </row>
    <row r="278" spans="1:38" x14ac:dyDescent="0.25">
      <c r="A278" s="113"/>
      <c r="B278" s="113"/>
      <c r="C278" s="113"/>
      <c r="D278" s="113"/>
      <c r="E278" s="434"/>
      <c r="F278" s="434">
        <f t="shared" si="4"/>
        <v>0</v>
      </c>
      <c r="G278" s="113"/>
      <c r="H278" s="435"/>
      <c r="I278" s="436"/>
      <c r="J278" s="437"/>
      <c r="K278" s="438"/>
      <c r="L278" s="438"/>
      <c r="M278" s="458"/>
      <c r="N278" s="445">
        <f>MateriaisCampo[[#This Row],[UNIT S/IPI S/DESC]]-MateriaisCampo[[#This Row],[UNIT S/IPI S/DESC]]*MateriaisCampo[[#This Row],[% DESC]]</f>
        <v>0</v>
      </c>
      <c r="O278" s="441" t="s">
        <v>295</v>
      </c>
      <c r="P278" s="442" t="s">
        <v>155</v>
      </c>
      <c r="Q278" s="438">
        <v>1.6500000000000001E-2</v>
      </c>
      <c r="R278" s="438">
        <v>7.5999999999999998E-2</v>
      </c>
      <c r="S278" s="443">
        <f>MateriaisCampo[[#This Row],[UNIT S/ IP + DIF ICMS]]*MateriaisCampo[[#This Row],[QUANTIDADE]]</f>
        <v>0</v>
      </c>
      <c r="T278" s="444">
        <f>MateriaisCampo[[#This Row],[TOTAL S/ IPI]]+(MateriaisCampo[[#This Row],[TOTAL S/ IPI]]*MateriaisCampo[[#This Row],[IPI %]])</f>
        <v>0</v>
      </c>
      <c r="U278" s="445">
        <f>IF(AND(MateriaisCampo[[#This Row],[ICMS %]]&lt;&gt;18%,MateriaisCampo[[#This Row],[ORIGEM]]&lt;&gt;"SÃO PAULO"),((18%-MateriaisCampo[[#This Row],[ICMS %]])*MateriaisCampo[[#This Row],[UNIT S/ IPI C/DESC]]),0)</f>
        <v>0</v>
      </c>
      <c r="V278" s="437">
        <f>MateriaisCampo[[#This Row],[UNIT S/ IPI C/DESC]]*MateriaisCampo[[#This Row],[ICMS %]]</f>
        <v>0</v>
      </c>
      <c r="W278" s="437">
        <f>MateriaisCampo[[#This Row],[ICMS $]]*MateriaisCampo[[#This Row],[QUANTIDADE]]</f>
        <v>0</v>
      </c>
      <c r="X278" s="446">
        <f>MateriaisCampo[[#This Row],[UNIT S/ IPI C/DESC]]+MateriaisCampo[[#This Row],[DIFERENCIAL ICMS]]</f>
        <v>0</v>
      </c>
      <c r="Y278" s="446">
        <f>(MateriaisCampo[[#This Row],[PIS]]*MateriaisCampo[[#This Row],[UNIT S/ IPI C/DESC]])/2</f>
        <v>0</v>
      </c>
      <c r="Z278" s="446">
        <f>(MateriaisCampo[[#This Row],[COFINS]]*MateriaisCampo[[#This Row],[UNIT S/ IPI C/DESC]])/2</f>
        <v>0</v>
      </c>
      <c r="AA278" s="445">
        <f>MateriaisCampo[[#This Row],[UNIT S/ IP + DIF ICMS]]+(MateriaisCampo[[#This Row],[UNIT S/ IP + DIF ICMS]]*MateriaisCampo[[#This Row],[IPI %]])</f>
        <v>0</v>
      </c>
      <c r="AB278" s="448">
        <f>_xlfn.XLOOKUP(MateriaisCampo[[#This Row],[FATURAMENTO]],BASE!$U$48:$U$50,BASE!$W$48:$W$50,0,0,1)</f>
        <v>0.79709863947533133</v>
      </c>
      <c r="AC278" s="510" t="str">
        <f>RESUMO!$E$56</f>
        <v>SIM</v>
      </c>
      <c r="AD278" s="449" t="str">
        <f>RESUMO!$E$57</f>
        <v>SIM</v>
      </c>
      <c r="AE27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8" s="450">
        <f>MateriaisCampo[[#This Row],[UNIT CRED]]*MateriaisCampo[[#This Row],[QUANTIDADE]]</f>
        <v>0</v>
      </c>
      <c r="AG278" s="451">
        <f>MateriaisCampo[[#This Row],[TOT CRED]]</f>
        <v>0</v>
      </c>
      <c r="AH278" s="452">
        <f>IF(MateriaisCampo[[#This Row],[QUANTIDADE]]&lt;&gt;0,((MateriaisCampo[[#This Row],[TOT CUSTO]]/MateriaisCampo[[#This Row],[QUANTIDADE]])/MateriaisCampo[[#This Row],[MARK-UP]]),0)</f>
        <v>0</v>
      </c>
      <c r="AI278" s="453">
        <f>MateriaisCampo[[#This Row],[UNIT VENDA]]*MateriaisCampo[[#This Row],[QUANTIDADE]]</f>
        <v>0</v>
      </c>
      <c r="AJ278" s="453">
        <f>IFERROR(MateriaisCampo[[#This Row],[VENDA]]*(RESUMO!$F$55/RESUMO!$F$45),0)</f>
        <v>0</v>
      </c>
      <c r="AK278" s="453">
        <f>IFERROR(MateriaisCampo[[#This Row],[VENDA]]*(RESUMO!$F$58/RESUMO!$F$45),0)</f>
        <v>0</v>
      </c>
      <c r="AL278" s="454">
        <f>IF(MateriaisCampo[[#This Row],[FATURAMENTO]]="NORMAL",MateriaisCampo[[#This Row],[VENDA]],0)</f>
        <v>0</v>
      </c>
    </row>
    <row r="279" spans="1:38" x14ac:dyDescent="0.25">
      <c r="A279" s="113"/>
      <c r="B279" s="113"/>
      <c r="C279" s="113"/>
      <c r="D279" s="113"/>
      <c r="E279" s="434"/>
      <c r="F279" s="434">
        <f t="shared" si="4"/>
        <v>0</v>
      </c>
      <c r="G279" s="113"/>
      <c r="H279" s="435"/>
      <c r="I279" s="436"/>
      <c r="J279" s="437"/>
      <c r="K279" s="438"/>
      <c r="L279" s="438"/>
      <c r="M279" s="458"/>
      <c r="N279" s="445">
        <f>MateriaisCampo[[#This Row],[UNIT S/IPI S/DESC]]-MateriaisCampo[[#This Row],[UNIT S/IPI S/DESC]]*MateriaisCampo[[#This Row],[% DESC]]</f>
        <v>0</v>
      </c>
      <c r="O279" s="441" t="s">
        <v>295</v>
      </c>
      <c r="P279" s="442" t="s">
        <v>155</v>
      </c>
      <c r="Q279" s="438">
        <v>1.6500000000000001E-2</v>
      </c>
      <c r="R279" s="438">
        <v>7.5999999999999998E-2</v>
      </c>
      <c r="S279" s="443">
        <f>MateriaisCampo[[#This Row],[UNIT S/ IP + DIF ICMS]]*MateriaisCampo[[#This Row],[QUANTIDADE]]</f>
        <v>0</v>
      </c>
      <c r="T279" s="444">
        <f>MateriaisCampo[[#This Row],[TOTAL S/ IPI]]+(MateriaisCampo[[#This Row],[TOTAL S/ IPI]]*MateriaisCampo[[#This Row],[IPI %]])</f>
        <v>0</v>
      </c>
      <c r="U279" s="445">
        <f>IF(AND(MateriaisCampo[[#This Row],[ICMS %]]&lt;&gt;18%,MateriaisCampo[[#This Row],[ORIGEM]]&lt;&gt;"SÃO PAULO"),((18%-MateriaisCampo[[#This Row],[ICMS %]])*MateriaisCampo[[#This Row],[UNIT S/ IPI C/DESC]]),0)</f>
        <v>0</v>
      </c>
      <c r="V279" s="437">
        <f>MateriaisCampo[[#This Row],[UNIT S/ IPI C/DESC]]*MateriaisCampo[[#This Row],[ICMS %]]</f>
        <v>0</v>
      </c>
      <c r="W279" s="437">
        <f>MateriaisCampo[[#This Row],[ICMS $]]*MateriaisCampo[[#This Row],[QUANTIDADE]]</f>
        <v>0</v>
      </c>
      <c r="X279" s="446">
        <f>MateriaisCampo[[#This Row],[UNIT S/ IPI C/DESC]]+MateriaisCampo[[#This Row],[DIFERENCIAL ICMS]]</f>
        <v>0</v>
      </c>
      <c r="Y279" s="446">
        <f>(MateriaisCampo[[#This Row],[PIS]]*MateriaisCampo[[#This Row],[UNIT S/ IPI C/DESC]])/2</f>
        <v>0</v>
      </c>
      <c r="Z279" s="446">
        <f>(MateriaisCampo[[#This Row],[COFINS]]*MateriaisCampo[[#This Row],[UNIT S/ IPI C/DESC]])/2</f>
        <v>0</v>
      </c>
      <c r="AA279" s="445">
        <f>MateriaisCampo[[#This Row],[UNIT S/ IP + DIF ICMS]]+(MateriaisCampo[[#This Row],[UNIT S/ IP + DIF ICMS]]*MateriaisCampo[[#This Row],[IPI %]])</f>
        <v>0</v>
      </c>
      <c r="AB279" s="448">
        <f>_xlfn.XLOOKUP(MateriaisCampo[[#This Row],[FATURAMENTO]],BASE!$U$48:$U$50,BASE!$W$48:$W$50,0,0,1)</f>
        <v>0.79709863947533133</v>
      </c>
      <c r="AC279" s="510" t="str">
        <f>RESUMO!$E$56</f>
        <v>SIM</v>
      </c>
      <c r="AD279" s="449" t="str">
        <f>RESUMO!$E$57</f>
        <v>SIM</v>
      </c>
      <c r="AE27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79" s="450">
        <f>MateriaisCampo[[#This Row],[UNIT CRED]]*MateriaisCampo[[#This Row],[QUANTIDADE]]</f>
        <v>0</v>
      </c>
      <c r="AG279" s="451">
        <f>MateriaisCampo[[#This Row],[TOT CRED]]</f>
        <v>0</v>
      </c>
      <c r="AH279" s="452">
        <f>IF(MateriaisCampo[[#This Row],[QUANTIDADE]]&lt;&gt;0,((MateriaisCampo[[#This Row],[TOT CUSTO]]/MateriaisCampo[[#This Row],[QUANTIDADE]])/MateriaisCampo[[#This Row],[MARK-UP]]),0)</f>
        <v>0</v>
      </c>
      <c r="AI279" s="453">
        <f>MateriaisCampo[[#This Row],[UNIT VENDA]]*MateriaisCampo[[#This Row],[QUANTIDADE]]</f>
        <v>0</v>
      </c>
      <c r="AJ279" s="453">
        <f>IFERROR(MateriaisCampo[[#This Row],[VENDA]]*(RESUMO!$F$55/RESUMO!$F$45),0)</f>
        <v>0</v>
      </c>
      <c r="AK279" s="453">
        <f>IFERROR(MateriaisCampo[[#This Row],[VENDA]]*(RESUMO!$F$58/RESUMO!$F$45),0)</f>
        <v>0</v>
      </c>
      <c r="AL279" s="454">
        <f>IF(MateriaisCampo[[#This Row],[FATURAMENTO]]="NORMAL",MateriaisCampo[[#This Row],[VENDA]],0)</f>
        <v>0</v>
      </c>
    </row>
    <row r="280" spans="1:38" x14ac:dyDescent="0.25">
      <c r="A280" s="113"/>
      <c r="B280" s="113"/>
      <c r="C280" s="113"/>
      <c r="D280" s="113"/>
      <c r="E280" s="434"/>
      <c r="F280" s="434">
        <f t="shared" si="4"/>
        <v>0</v>
      </c>
      <c r="G280" s="113"/>
      <c r="H280" s="435"/>
      <c r="I280" s="436"/>
      <c r="J280" s="437"/>
      <c r="K280" s="438"/>
      <c r="L280" s="438"/>
      <c r="M280" s="458"/>
      <c r="N280" s="445">
        <f>MateriaisCampo[[#This Row],[UNIT S/IPI S/DESC]]-MateriaisCampo[[#This Row],[UNIT S/IPI S/DESC]]*MateriaisCampo[[#This Row],[% DESC]]</f>
        <v>0</v>
      </c>
      <c r="O280" s="441" t="s">
        <v>295</v>
      </c>
      <c r="P280" s="442" t="s">
        <v>155</v>
      </c>
      <c r="Q280" s="438">
        <v>1.6500000000000001E-2</v>
      </c>
      <c r="R280" s="438">
        <v>7.5999999999999998E-2</v>
      </c>
      <c r="S280" s="443">
        <f>MateriaisCampo[[#This Row],[UNIT S/ IP + DIF ICMS]]*MateriaisCampo[[#This Row],[QUANTIDADE]]</f>
        <v>0</v>
      </c>
      <c r="T280" s="444">
        <f>MateriaisCampo[[#This Row],[TOTAL S/ IPI]]+(MateriaisCampo[[#This Row],[TOTAL S/ IPI]]*MateriaisCampo[[#This Row],[IPI %]])</f>
        <v>0</v>
      </c>
      <c r="U280" s="445">
        <f>IF(AND(MateriaisCampo[[#This Row],[ICMS %]]&lt;&gt;18%,MateriaisCampo[[#This Row],[ORIGEM]]&lt;&gt;"SÃO PAULO"),((18%-MateriaisCampo[[#This Row],[ICMS %]])*MateriaisCampo[[#This Row],[UNIT S/ IPI C/DESC]]),0)</f>
        <v>0</v>
      </c>
      <c r="V280" s="437">
        <f>MateriaisCampo[[#This Row],[UNIT S/ IPI C/DESC]]*MateriaisCampo[[#This Row],[ICMS %]]</f>
        <v>0</v>
      </c>
      <c r="W280" s="437">
        <f>MateriaisCampo[[#This Row],[ICMS $]]*MateriaisCampo[[#This Row],[QUANTIDADE]]</f>
        <v>0</v>
      </c>
      <c r="X280" s="446">
        <f>MateriaisCampo[[#This Row],[UNIT S/ IPI C/DESC]]+MateriaisCampo[[#This Row],[DIFERENCIAL ICMS]]</f>
        <v>0</v>
      </c>
      <c r="Y280" s="446">
        <f>(MateriaisCampo[[#This Row],[PIS]]*MateriaisCampo[[#This Row],[UNIT S/ IPI C/DESC]])/2</f>
        <v>0</v>
      </c>
      <c r="Z280" s="446">
        <f>(MateriaisCampo[[#This Row],[COFINS]]*MateriaisCampo[[#This Row],[UNIT S/ IPI C/DESC]])/2</f>
        <v>0</v>
      </c>
      <c r="AA280" s="445">
        <f>MateriaisCampo[[#This Row],[UNIT S/ IP + DIF ICMS]]+(MateriaisCampo[[#This Row],[UNIT S/ IP + DIF ICMS]]*MateriaisCampo[[#This Row],[IPI %]])</f>
        <v>0</v>
      </c>
      <c r="AB280" s="448">
        <f>_xlfn.XLOOKUP(MateriaisCampo[[#This Row],[FATURAMENTO]],BASE!$U$48:$U$50,BASE!$W$48:$W$50,0,0,1)</f>
        <v>0.79709863947533133</v>
      </c>
      <c r="AC280" s="510" t="str">
        <f>RESUMO!$E$56</f>
        <v>SIM</v>
      </c>
      <c r="AD280" s="449" t="str">
        <f>RESUMO!$E$57</f>
        <v>SIM</v>
      </c>
      <c r="AE28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0" s="450">
        <f>MateriaisCampo[[#This Row],[UNIT CRED]]*MateriaisCampo[[#This Row],[QUANTIDADE]]</f>
        <v>0</v>
      </c>
      <c r="AG280" s="451">
        <f>MateriaisCampo[[#This Row],[TOT CRED]]</f>
        <v>0</v>
      </c>
      <c r="AH280" s="452">
        <f>IF(MateriaisCampo[[#This Row],[QUANTIDADE]]&lt;&gt;0,((MateriaisCampo[[#This Row],[TOT CUSTO]]/MateriaisCampo[[#This Row],[QUANTIDADE]])/MateriaisCampo[[#This Row],[MARK-UP]]),0)</f>
        <v>0</v>
      </c>
      <c r="AI280" s="453">
        <f>MateriaisCampo[[#This Row],[UNIT VENDA]]*MateriaisCampo[[#This Row],[QUANTIDADE]]</f>
        <v>0</v>
      </c>
      <c r="AJ280" s="453">
        <f>IFERROR(MateriaisCampo[[#This Row],[VENDA]]*(RESUMO!$F$55/RESUMO!$F$45),0)</f>
        <v>0</v>
      </c>
      <c r="AK280" s="453">
        <f>IFERROR(MateriaisCampo[[#This Row],[VENDA]]*(RESUMO!$F$58/RESUMO!$F$45),0)</f>
        <v>0</v>
      </c>
      <c r="AL280" s="454">
        <f>IF(MateriaisCampo[[#This Row],[FATURAMENTO]]="NORMAL",MateriaisCampo[[#This Row],[VENDA]],0)</f>
        <v>0</v>
      </c>
    </row>
    <row r="281" spans="1:38" x14ac:dyDescent="0.25">
      <c r="A281" s="113"/>
      <c r="B281" s="113"/>
      <c r="C281" s="113"/>
      <c r="D281" s="113"/>
      <c r="E281" s="434"/>
      <c r="F281" s="434">
        <f t="shared" si="4"/>
        <v>0</v>
      </c>
      <c r="G281" s="113"/>
      <c r="H281" s="435"/>
      <c r="I281" s="436"/>
      <c r="J281" s="437"/>
      <c r="K281" s="438"/>
      <c r="L281" s="438"/>
      <c r="M281" s="458"/>
      <c r="N281" s="445">
        <f>MateriaisCampo[[#This Row],[UNIT S/IPI S/DESC]]-MateriaisCampo[[#This Row],[UNIT S/IPI S/DESC]]*MateriaisCampo[[#This Row],[% DESC]]</f>
        <v>0</v>
      </c>
      <c r="O281" s="441" t="s">
        <v>295</v>
      </c>
      <c r="P281" s="442" t="s">
        <v>155</v>
      </c>
      <c r="Q281" s="438">
        <v>1.6500000000000001E-2</v>
      </c>
      <c r="R281" s="438">
        <v>7.5999999999999998E-2</v>
      </c>
      <c r="S281" s="443">
        <f>MateriaisCampo[[#This Row],[UNIT S/ IP + DIF ICMS]]*MateriaisCampo[[#This Row],[QUANTIDADE]]</f>
        <v>0</v>
      </c>
      <c r="T281" s="444">
        <f>MateriaisCampo[[#This Row],[TOTAL S/ IPI]]+(MateriaisCampo[[#This Row],[TOTAL S/ IPI]]*MateriaisCampo[[#This Row],[IPI %]])</f>
        <v>0</v>
      </c>
      <c r="U281" s="445">
        <f>IF(AND(MateriaisCampo[[#This Row],[ICMS %]]&lt;&gt;18%,MateriaisCampo[[#This Row],[ORIGEM]]&lt;&gt;"SÃO PAULO"),((18%-MateriaisCampo[[#This Row],[ICMS %]])*MateriaisCampo[[#This Row],[UNIT S/ IPI C/DESC]]),0)</f>
        <v>0</v>
      </c>
      <c r="V281" s="437">
        <f>MateriaisCampo[[#This Row],[UNIT S/ IPI C/DESC]]*MateriaisCampo[[#This Row],[ICMS %]]</f>
        <v>0</v>
      </c>
      <c r="W281" s="437">
        <f>MateriaisCampo[[#This Row],[ICMS $]]*MateriaisCampo[[#This Row],[QUANTIDADE]]</f>
        <v>0</v>
      </c>
      <c r="X281" s="446">
        <f>MateriaisCampo[[#This Row],[UNIT S/ IPI C/DESC]]+MateriaisCampo[[#This Row],[DIFERENCIAL ICMS]]</f>
        <v>0</v>
      </c>
      <c r="Y281" s="446">
        <f>(MateriaisCampo[[#This Row],[PIS]]*MateriaisCampo[[#This Row],[UNIT S/ IPI C/DESC]])/2</f>
        <v>0</v>
      </c>
      <c r="Z281" s="446">
        <f>(MateriaisCampo[[#This Row],[COFINS]]*MateriaisCampo[[#This Row],[UNIT S/ IPI C/DESC]])/2</f>
        <v>0</v>
      </c>
      <c r="AA281" s="445">
        <f>MateriaisCampo[[#This Row],[UNIT S/ IP + DIF ICMS]]+(MateriaisCampo[[#This Row],[UNIT S/ IP + DIF ICMS]]*MateriaisCampo[[#This Row],[IPI %]])</f>
        <v>0</v>
      </c>
      <c r="AB281" s="448">
        <f>_xlfn.XLOOKUP(MateriaisCampo[[#This Row],[FATURAMENTO]],BASE!$U$48:$U$50,BASE!$W$48:$W$50,0,0,1)</f>
        <v>0.79709863947533133</v>
      </c>
      <c r="AC281" s="510" t="str">
        <f>RESUMO!$E$56</f>
        <v>SIM</v>
      </c>
      <c r="AD281" s="449" t="str">
        <f>RESUMO!$E$57</f>
        <v>SIM</v>
      </c>
      <c r="AE28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1" s="450">
        <f>MateriaisCampo[[#This Row],[UNIT CRED]]*MateriaisCampo[[#This Row],[QUANTIDADE]]</f>
        <v>0</v>
      </c>
      <c r="AG281" s="451">
        <f>MateriaisCampo[[#This Row],[TOT CRED]]</f>
        <v>0</v>
      </c>
      <c r="AH281" s="452">
        <f>IF(MateriaisCampo[[#This Row],[QUANTIDADE]]&lt;&gt;0,((MateriaisCampo[[#This Row],[TOT CUSTO]]/MateriaisCampo[[#This Row],[QUANTIDADE]])/MateriaisCampo[[#This Row],[MARK-UP]]),0)</f>
        <v>0</v>
      </c>
      <c r="AI281" s="453">
        <f>MateriaisCampo[[#This Row],[UNIT VENDA]]*MateriaisCampo[[#This Row],[QUANTIDADE]]</f>
        <v>0</v>
      </c>
      <c r="AJ281" s="453">
        <f>IFERROR(MateriaisCampo[[#This Row],[VENDA]]*(RESUMO!$F$55/RESUMO!$F$45),0)</f>
        <v>0</v>
      </c>
      <c r="AK281" s="453">
        <f>IFERROR(MateriaisCampo[[#This Row],[VENDA]]*(RESUMO!$F$58/RESUMO!$F$45),0)</f>
        <v>0</v>
      </c>
      <c r="AL281" s="454">
        <f>IF(MateriaisCampo[[#This Row],[FATURAMENTO]]="NORMAL",MateriaisCampo[[#This Row],[VENDA]],0)</f>
        <v>0</v>
      </c>
    </row>
    <row r="282" spans="1:38" x14ac:dyDescent="0.25">
      <c r="A282" s="113"/>
      <c r="B282" s="113"/>
      <c r="C282" s="113"/>
      <c r="D282" s="113"/>
      <c r="E282" s="434"/>
      <c r="F282" s="434">
        <f t="shared" si="4"/>
        <v>0</v>
      </c>
      <c r="G282" s="113"/>
      <c r="H282" s="435"/>
      <c r="I282" s="436"/>
      <c r="J282" s="437"/>
      <c r="K282" s="438"/>
      <c r="L282" s="438"/>
      <c r="M282" s="458"/>
      <c r="N282" s="445">
        <f>MateriaisCampo[[#This Row],[UNIT S/IPI S/DESC]]-MateriaisCampo[[#This Row],[UNIT S/IPI S/DESC]]*MateriaisCampo[[#This Row],[% DESC]]</f>
        <v>0</v>
      </c>
      <c r="O282" s="441" t="s">
        <v>295</v>
      </c>
      <c r="P282" s="442" t="s">
        <v>155</v>
      </c>
      <c r="Q282" s="438">
        <v>1.6500000000000001E-2</v>
      </c>
      <c r="R282" s="438">
        <v>7.5999999999999998E-2</v>
      </c>
      <c r="S282" s="443">
        <f>MateriaisCampo[[#This Row],[UNIT S/ IP + DIF ICMS]]*MateriaisCampo[[#This Row],[QUANTIDADE]]</f>
        <v>0</v>
      </c>
      <c r="T282" s="444">
        <f>MateriaisCampo[[#This Row],[TOTAL S/ IPI]]+(MateriaisCampo[[#This Row],[TOTAL S/ IPI]]*MateriaisCampo[[#This Row],[IPI %]])</f>
        <v>0</v>
      </c>
      <c r="U282" s="445">
        <f>IF(AND(MateriaisCampo[[#This Row],[ICMS %]]&lt;&gt;18%,MateriaisCampo[[#This Row],[ORIGEM]]&lt;&gt;"SÃO PAULO"),((18%-MateriaisCampo[[#This Row],[ICMS %]])*MateriaisCampo[[#This Row],[UNIT S/ IPI C/DESC]]),0)</f>
        <v>0</v>
      </c>
      <c r="V282" s="437">
        <f>MateriaisCampo[[#This Row],[UNIT S/ IPI C/DESC]]*MateriaisCampo[[#This Row],[ICMS %]]</f>
        <v>0</v>
      </c>
      <c r="W282" s="437">
        <f>MateriaisCampo[[#This Row],[ICMS $]]*MateriaisCampo[[#This Row],[QUANTIDADE]]</f>
        <v>0</v>
      </c>
      <c r="X282" s="446">
        <f>MateriaisCampo[[#This Row],[UNIT S/ IPI C/DESC]]+MateriaisCampo[[#This Row],[DIFERENCIAL ICMS]]</f>
        <v>0</v>
      </c>
      <c r="Y282" s="446">
        <f>(MateriaisCampo[[#This Row],[PIS]]*MateriaisCampo[[#This Row],[UNIT S/ IPI C/DESC]])/2</f>
        <v>0</v>
      </c>
      <c r="Z282" s="446">
        <f>(MateriaisCampo[[#This Row],[COFINS]]*MateriaisCampo[[#This Row],[UNIT S/ IPI C/DESC]])/2</f>
        <v>0</v>
      </c>
      <c r="AA282" s="445">
        <f>MateriaisCampo[[#This Row],[UNIT S/ IP + DIF ICMS]]+(MateriaisCampo[[#This Row],[UNIT S/ IP + DIF ICMS]]*MateriaisCampo[[#This Row],[IPI %]])</f>
        <v>0</v>
      </c>
      <c r="AB282" s="448">
        <f>_xlfn.XLOOKUP(MateriaisCampo[[#This Row],[FATURAMENTO]],BASE!$U$48:$U$50,BASE!$W$48:$W$50,0,0,1)</f>
        <v>0.79709863947533133</v>
      </c>
      <c r="AC282" s="510" t="str">
        <f>RESUMO!$E$56</f>
        <v>SIM</v>
      </c>
      <c r="AD282" s="449" t="str">
        <f>RESUMO!$E$57</f>
        <v>SIM</v>
      </c>
      <c r="AE28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2" s="450">
        <f>MateriaisCampo[[#This Row],[UNIT CRED]]*MateriaisCampo[[#This Row],[QUANTIDADE]]</f>
        <v>0</v>
      </c>
      <c r="AG282" s="451">
        <f>MateriaisCampo[[#This Row],[TOT CRED]]</f>
        <v>0</v>
      </c>
      <c r="AH282" s="452">
        <f>IF(MateriaisCampo[[#This Row],[QUANTIDADE]]&lt;&gt;0,((MateriaisCampo[[#This Row],[TOT CUSTO]]/MateriaisCampo[[#This Row],[QUANTIDADE]])/MateriaisCampo[[#This Row],[MARK-UP]]),0)</f>
        <v>0</v>
      </c>
      <c r="AI282" s="453">
        <f>MateriaisCampo[[#This Row],[UNIT VENDA]]*MateriaisCampo[[#This Row],[QUANTIDADE]]</f>
        <v>0</v>
      </c>
      <c r="AJ282" s="453">
        <f>IFERROR(MateriaisCampo[[#This Row],[VENDA]]*(RESUMO!$F$55/RESUMO!$F$45),0)</f>
        <v>0</v>
      </c>
      <c r="AK282" s="453">
        <f>IFERROR(MateriaisCampo[[#This Row],[VENDA]]*(RESUMO!$F$58/RESUMO!$F$45),0)</f>
        <v>0</v>
      </c>
      <c r="AL282" s="454">
        <f>IF(MateriaisCampo[[#This Row],[FATURAMENTO]]="NORMAL",MateriaisCampo[[#This Row],[VENDA]],0)</f>
        <v>0</v>
      </c>
    </row>
    <row r="283" spans="1:38" x14ac:dyDescent="0.25">
      <c r="A283" s="113"/>
      <c r="B283" s="113"/>
      <c r="C283" s="113"/>
      <c r="D283" s="113"/>
      <c r="E283" s="434"/>
      <c r="F283" s="434">
        <f t="shared" si="4"/>
        <v>0</v>
      </c>
      <c r="G283" s="113"/>
      <c r="H283" s="435"/>
      <c r="I283" s="436"/>
      <c r="J283" s="437"/>
      <c r="K283" s="438"/>
      <c r="L283" s="438"/>
      <c r="M283" s="458"/>
      <c r="N283" s="445">
        <f>MateriaisCampo[[#This Row],[UNIT S/IPI S/DESC]]-MateriaisCampo[[#This Row],[UNIT S/IPI S/DESC]]*MateriaisCampo[[#This Row],[% DESC]]</f>
        <v>0</v>
      </c>
      <c r="O283" s="441" t="s">
        <v>295</v>
      </c>
      <c r="P283" s="442" t="s">
        <v>155</v>
      </c>
      <c r="Q283" s="438">
        <v>1.6500000000000001E-2</v>
      </c>
      <c r="R283" s="438">
        <v>7.5999999999999998E-2</v>
      </c>
      <c r="S283" s="443">
        <f>MateriaisCampo[[#This Row],[UNIT S/ IP + DIF ICMS]]*MateriaisCampo[[#This Row],[QUANTIDADE]]</f>
        <v>0</v>
      </c>
      <c r="T283" s="444">
        <f>MateriaisCampo[[#This Row],[TOTAL S/ IPI]]+(MateriaisCampo[[#This Row],[TOTAL S/ IPI]]*MateriaisCampo[[#This Row],[IPI %]])</f>
        <v>0</v>
      </c>
      <c r="U283" s="445">
        <f>IF(AND(MateriaisCampo[[#This Row],[ICMS %]]&lt;&gt;18%,MateriaisCampo[[#This Row],[ORIGEM]]&lt;&gt;"SÃO PAULO"),((18%-MateriaisCampo[[#This Row],[ICMS %]])*MateriaisCampo[[#This Row],[UNIT S/ IPI C/DESC]]),0)</f>
        <v>0</v>
      </c>
      <c r="V283" s="437">
        <f>MateriaisCampo[[#This Row],[UNIT S/ IPI C/DESC]]*MateriaisCampo[[#This Row],[ICMS %]]</f>
        <v>0</v>
      </c>
      <c r="W283" s="437">
        <f>MateriaisCampo[[#This Row],[ICMS $]]*MateriaisCampo[[#This Row],[QUANTIDADE]]</f>
        <v>0</v>
      </c>
      <c r="X283" s="446">
        <f>MateriaisCampo[[#This Row],[UNIT S/ IPI C/DESC]]+MateriaisCampo[[#This Row],[DIFERENCIAL ICMS]]</f>
        <v>0</v>
      </c>
      <c r="Y283" s="446">
        <f>(MateriaisCampo[[#This Row],[PIS]]*MateriaisCampo[[#This Row],[UNIT S/ IPI C/DESC]])/2</f>
        <v>0</v>
      </c>
      <c r="Z283" s="446">
        <f>(MateriaisCampo[[#This Row],[COFINS]]*MateriaisCampo[[#This Row],[UNIT S/ IPI C/DESC]])/2</f>
        <v>0</v>
      </c>
      <c r="AA283" s="445">
        <f>MateriaisCampo[[#This Row],[UNIT S/ IP + DIF ICMS]]+(MateriaisCampo[[#This Row],[UNIT S/ IP + DIF ICMS]]*MateriaisCampo[[#This Row],[IPI %]])</f>
        <v>0</v>
      </c>
      <c r="AB283" s="448">
        <f>_xlfn.XLOOKUP(MateriaisCampo[[#This Row],[FATURAMENTO]],BASE!$U$48:$U$50,BASE!$W$48:$W$50,0,0,1)</f>
        <v>0.79709863947533133</v>
      </c>
      <c r="AC283" s="510" t="str">
        <f>RESUMO!$E$56</f>
        <v>SIM</v>
      </c>
      <c r="AD283" s="449" t="str">
        <f>RESUMO!$E$57</f>
        <v>SIM</v>
      </c>
      <c r="AE28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3" s="450">
        <f>MateriaisCampo[[#This Row],[UNIT CRED]]*MateriaisCampo[[#This Row],[QUANTIDADE]]</f>
        <v>0</v>
      </c>
      <c r="AG283" s="451">
        <f>MateriaisCampo[[#This Row],[TOT CRED]]</f>
        <v>0</v>
      </c>
      <c r="AH283" s="452">
        <f>IF(MateriaisCampo[[#This Row],[QUANTIDADE]]&lt;&gt;0,((MateriaisCampo[[#This Row],[TOT CUSTO]]/MateriaisCampo[[#This Row],[QUANTIDADE]])/MateriaisCampo[[#This Row],[MARK-UP]]),0)</f>
        <v>0</v>
      </c>
      <c r="AI283" s="453">
        <f>MateriaisCampo[[#This Row],[UNIT VENDA]]*MateriaisCampo[[#This Row],[QUANTIDADE]]</f>
        <v>0</v>
      </c>
      <c r="AJ283" s="453">
        <f>IFERROR(MateriaisCampo[[#This Row],[VENDA]]*(RESUMO!$F$55/RESUMO!$F$45),0)</f>
        <v>0</v>
      </c>
      <c r="AK283" s="453">
        <f>IFERROR(MateriaisCampo[[#This Row],[VENDA]]*(RESUMO!$F$58/RESUMO!$F$45),0)</f>
        <v>0</v>
      </c>
      <c r="AL283" s="454">
        <f>IF(MateriaisCampo[[#This Row],[FATURAMENTO]]="NORMAL",MateriaisCampo[[#This Row],[VENDA]],0)</f>
        <v>0</v>
      </c>
    </row>
    <row r="284" spans="1:38" x14ac:dyDescent="0.25">
      <c r="A284" s="113"/>
      <c r="B284" s="113"/>
      <c r="C284" s="113"/>
      <c r="D284" s="113"/>
      <c r="E284" s="434"/>
      <c r="F284" s="434">
        <f t="shared" si="4"/>
        <v>0</v>
      </c>
      <c r="G284" s="113"/>
      <c r="H284" s="435"/>
      <c r="I284" s="436"/>
      <c r="J284" s="437"/>
      <c r="K284" s="438"/>
      <c r="L284" s="438"/>
      <c r="M284" s="458"/>
      <c r="N284" s="445">
        <f>MateriaisCampo[[#This Row],[UNIT S/IPI S/DESC]]-MateriaisCampo[[#This Row],[UNIT S/IPI S/DESC]]*MateriaisCampo[[#This Row],[% DESC]]</f>
        <v>0</v>
      </c>
      <c r="O284" s="441" t="s">
        <v>295</v>
      </c>
      <c r="P284" s="442" t="s">
        <v>155</v>
      </c>
      <c r="Q284" s="438">
        <v>1.6500000000000001E-2</v>
      </c>
      <c r="R284" s="438">
        <v>7.5999999999999998E-2</v>
      </c>
      <c r="S284" s="443">
        <f>MateriaisCampo[[#This Row],[UNIT S/ IP + DIF ICMS]]*MateriaisCampo[[#This Row],[QUANTIDADE]]</f>
        <v>0</v>
      </c>
      <c r="T284" s="444">
        <f>MateriaisCampo[[#This Row],[TOTAL S/ IPI]]+(MateriaisCampo[[#This Row],[TOTAL S/ IPI]]*MateriaisCampo[[#This Row],[IPI %]])</f>
        <v>0</v>
      </c>
      <c r="U284" s="445">
        <f>IF(AND(MateriaisCampo[[#This Row],[ICMS %]]&lt;&gt;18%,MateriaisCampo[[#This Row],[ORIGEM]]&lt;&gt;"SÃO PAULO"),((18%-MateriaisCampo[[#This Row],[ICMS %]])*MateriaisCampo[[#This Row],[UNIT S/ IPI C/DESC]]),0)</f>
        <v>0</v>
      </c>
      <c r="V284" s="437">
        <f>MateriaisCampo[[#This Row],[UNIT S/ IPI C/DESC]]*MateriaisCampo[[#This Row],[ICMS %]]</f>
        <v>0</v>
      </c>
      <c r="W284" s="437">
        <f>MateriaisCampo[[#This Row],[ICMS $]]*MateriaisCampo[[#This Row],[QUANTIDADE]]</f>
        <v>0</v>
      </c>
      <c r="X284" s="446">
        <f>MateriaisCampo[[#This Row],[UNIT S/ IPI C/DESC]]+MateriaisCampo[[#This Row],[DIFERENCIAL ICMS]]</f>
        <v>0</v>
      </c>
      <c r="Y284" s="446">
        <f>(MateriaisCampo[[#This Row],[PIS]]*MateriaisCampo[[#This Row],[UNIT S/ IPI C/DESC]])/2</f>
        <v>0</v>
      </c>
      <c r="Z284" s="446">
        <f>(MateriaisCampo[[#This Row],[COFINS]]*MateriaisCampo[[#This Row],[UNIT S/ IPI C/DESC]])/2</f>
        <v>0</v>
      </c>
      <c r="AA284" s="445">
        <f>MateriaisCampo[[#This Row],[UNIT S/ IP + DIF ICMS]]+(MateriaisCampo[[#This Row],[UNIT S/ IP + DIF ICMS]]*MateriaisCampo[[#This Row],[IPI %]])</f>
        <v>0</v>
      </c>
      <c r="AB284" s="448">
        <f>_xlfn.XLOOKUP(MateriaisCampo[[#This Row],[FATURAMENTO]],BASE!$U$48:$U$50,BASE!$W$48:$W$50,0,0,1)</f>
        <v>0.79709863947533133</v>
      </c>
      <c r="AC284" s="510" t="str">
        <f>RESUMO!$E$56</f>
        <v>SIM</v>
      </c>
      <c r="AD284" s="449" t="str">
        <f>RESUMO!$E$57</f>
        <v>SIM</v>
      </c>
      <c r="AE28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4" s="450">
        <f>MateriaisCampo[[#This Row],[UNIT CRED]]*MateriaisCampo[[#This Row],[QUANTIDADE]]</f>
        <v>0</v>
      </c>
      <c r="AG284" s="451">
        <f>MateriaisCampo[[#This Row],[TOT CRED]]</f>
        <v>0</v>
      </c>
      <c r="AH284" s="452">
        <f>IF(MateriaisCampo[[#This Row],[QUANTIDADE]]&lt;&gt;0,((MateriaisCampo[[#This Row],[TOT CUSTO]]/MateriaisCampo[[#This Row],[QUANTIDADE]])/MateriaisCampo[[#This Row],[MARK-UP]]),0)</f>
        <v>0</v>
      </c>
      <c r="AI284" s="453">
        <f>MateriaisCampo[[#This Row],[UNIT VENDA]]*MateriaisCampo[[#This Row],[QUANTIDADE]]</f>
        <v>0</v>
      </c>
      <c r="AJ284" s="453">
        <f>IFERROR(MateriaisCampo[[#This Row],[VENDA]]*(RESUMO!$F$55/RESUMO!$F$45),0)</f>
        <v>0</v>
      </c>
      <c r="AK284" s="453">
        <f>IFERROR(MateriaisCampo[[#This Row],[VENDA]]*(RESUMO!$F$58/RESUMO!$F$45),0)</f>
        <v>0</v>
      </c>
      <c r="AL284" s="454">
        <f>IF(MateriaisCampo[[#This Row],[FATURAMENTO]]="NORMAL",MateriaisCampo[[#This Row],[VENDA]],0)</f>
        <v>0</v>
      </c>
    </row>
    <row r="285" spans="1:38" x14ac:dyDescent="0.25">
      <c r="A285" s="113"/>
      <c r="B285" s="113"/>
      <c r="C285" s="113"/>
      <c r="D285" s="113"/>
      <c r="E285" s="434"/>
      <c r="F285" s="434">
        <f t="shared" si="4"/>
        <v>0</v>
      </c>
      <c r="G285" s="113"/>
      <c r="H285" s="435"/>
      <c r="I285" s="436"/>
      <c r="J285" s="437"/>
      <c r="K285" s="438"/>
      <c r="L285" s="438"/>
      <c r="M285" s="458"/>
      <c r="N285" s="445">
        <f>MateriaisCampo[[#This Row],[UNIT S/IPI S/DESC]]-MateriaisCampo[[#This Row],[UNIT S/IPI S/DESC]]*MateriaisCampo[[#This Row],[% DESC]]</f>
        <v>0</v>
      </c>
      <c r="O285" s="441" t="s">
        <v>295</v>
      </c>
      <c r="P285" s="442" t="s">
        <v>155</v>
      </c>
      <c r="Q285" s="438">
        <v>1.6500000000000001E-2</v>
      </c>
      <c r="R285" s="438">
        <v>7.5999999999999998E-2</v>
      </c>
      <c r="S285" s="443">
        <f>MateriaisCampo[[#This Row],[UNIT S/ IP + DIF ICMS]]*MateriaisCampo[[#This Row],[QUANTIDADE]]</f>
        <v>0</v>
      </c>
      <c r="T285" s="444">
        <f>MateriaisCampo[[#This Row],[TOTAL S/ IPI]]+(MateriaisCampo[[#This Row],[TOTAL S/ IPI]]*MateriaisCampo[[#This Row],[IPI %]])</f>
        <v>0</v>
      </c>
      <c r="U285" s="445">
        <f>IF(AND(MateriaisCampo[[#This Row],[ICMS %]]&lt;&gt;18%,MateriaisCampo[[#This Row],[ORIGEM]]&lt;&gt;"SÃO PAULO"),((18%-MateriaisCampo[[#This Row],[ICMS %]])*MateriaisCampo[[#This Row],[UNIT S/ IPI C/DESC]]),0)</f>
        <v>0</v>
      </c>
      <c r="V285" s="437">
        <f>MateriaisCampo[[#This Row],[UNIT S/ IPI C/DESC]]*MateriaisCampo[[#This Row],[ICMS %]]</f>
        <v>0</v>
      </c>
      <c r="W285" s="437">
        <f>MateriaisCampo[[#This Row],[ICMS $]]*MateriaisCampo[[#This Row],[QUANTIDADE]]</f>
        <v>0</v>
      </c>
      <c r="X285" s="446">
        <f>MateriaisCampo[[#This Row],[UNIT S/ IPI C/DESC]]+MateriaisCampo[[#This Row],[DIFERENCIAL ICMS]]</f>
        <v>0</v>
      </c>
      <c r="Y285" s="446">
        <f>(MateriaisCampo[[#This Row],[PIS]]*MateriaisCampo[[#This Row],[UNIT S/ IPI C/DESC]])/2</f>
        <v>0</v>
      </c>
      <c r="Z285" s="446">
        <f>(MateriaisCampo[[#This Row],[COFINS]]*MateriaisCampo[[#This Row],[UNIT S/ IPI C/DESC]])/2</f>
        <v>0</v>
      </c>
      <c r="AA285" s="445">
        <f>MateriaisCampo[[#This Row],[UNIT S/ IP + DIF ICMS]]+(MateriaisCampo[[#This Row],[UNIT S/ IP + DIF ICMS]]*MateriaisCampo[[#This Row],[IPI %]])</f>
        <v>0</v>
      </c>
      <c r="AB285" s="448">
        <f>_xlfn.XLOOKUP(MateriaisCampo[[#This Row],[FATURAMENTO]],BASE!$U$48:$U$50,BASE!$W$48:$W$50,0,0,1)</f>
        <v>0.79709863947533133</v>
      </c>
      <c r="AC285" s="510" t="str">
        <f>RESUMO!$E$56</f>
        <v>SIM</v>
      </c>
      <c r="AD285" s="449" t="str">
        <f>RESUMO!$E$57</f>
        <v>SIM</v>
      </c>
      <c r="AE28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5" s="450">
        <f>MateriaisCampo[[#This Row],[UNIT CRED]]*MateriaisCampo[[#This Row],[QUANTIDADE]]</f>
        <v>0</v>
      </c>
      <c r="AG285" s="451">
        <f>MateriaisCampo[[#This Row],[TOT CRED]]</f>
        <v>0</v>
      </c>
      <c r="AH285" s="452">
        <f>IF(MateriaisCampo[[#This Row],[QUANTIDADE]]&lt;&gt;0,((MateriaisCampo[[#This Row],[TOT CUSTO]]/MateriaisCampo[[#This Row],[QUANTIDADE]])/MateriaisCampo[[#This Row],[MARK-UP]]),0)</f>
        <v>0</v>
      </c>
      <c r="AI285" s="453">
        <f>MateriaisCampo[[#This Row],[UNIT VENDA]]*MateriaisCampo[[#This Row],[QUANTIDADE]]</f>
        <v>0</v>
      </c>
      <c r="AJ285" s="453">
        <f>IFERROR(MateriaisCampo[[#This Row],[VENDA]]*(RESUMO!$F$55/RESUMO!$F$45),0)</f>
        <v>0</v>
      </c>
      <c r="AK285" s="453">
        <f>IFERROR(MateriaisCampo[[#This Row],[VENDA]]*(RESUMO!$F$58/RESUMO!$F$45),0)</f>
        <v>0</v>
      </c>
      <c r="AL285" s="454">
        <f>IF(MateriaisCampo[[#This Row],[FATURAMENTO]]="NORMAL",MateriaisCampo[[#This Row],[VENDA]],0)</f>
        <v>0</v>
      </c>
    </row>
    <row r="286" spans="1:38" x14ac:dyDescent="0.25">
      <c r="A286" s="113"/>
      <c r="B286" s="113"/>
      <c r="C286" s="113"/>
      <c r="D286" s="113"/>
      <c r="E286" s="434"/>
      <c r="F286" s="434">
        <f t="shared" si="4"/>
        <v>0</v>
      </c>
      <c r="G286" s="113"/>
      <c r="H286" s="435"/>
      <c r="I286" s="436"/>
      <c r="J286" s="437"/>
      <c r="K286" s="438"/>
      <c r="L286" s="438"/>
      <c r="M286" s="458"/>
      <c r="N286" s="445">
        <f>MateriaisCampo[[#This Row],[UNIT S/IPI S/DESC]]-MateriaisCampo[[#This Row],[UNIT S/IPI S/DESC]]*MateriaisCampo[[#This Row],[% DESC]]</f>
        <v>0</v>
      </c>
      <c r="O286" s="441" t="s">
        <v>295</v>
      </c>
      <c r="P286" s="442" t="s">
        <v>155</v>
      </c>
      <c r="Q286" s="438">
        <v>1.6500000000000001E-2</v>
      </c>
      <c r="R286" s="438">
        <v>7.5999999999999998E-2</v>
      </c>
      <c r="S286" s="443">
        <f>MateriaisCampo[[#This Row],[UNIT S/ IP + DIF ICMS]]*MateriaisCampo[[#This Row],[QUANTIDADE]]</f>
        <v>0</v>
      </c>
      <c r="T286" s="444">
        <f>MateriaisCampo[[#This Row],[TOTAL S/ IPI]]+(MateriaisCampo[[#This Row],[TOTAL S/ IPI]]*MateriaisCampo[[#This Row],[IPI %]])</f>
        <v>0</v>
      </c>
      <c r="U286" s="445">
        <f>IF(AND(MateriaisCampo[[#This Row],[ICMS %]]&lt;&gt;18%,MateriaisCampo[[#This Row],[ORIGEM]]&lt;&gt;"SÃO PAULO"),((18%-MateriaisCampo[[#This Row],[ICMS %]])*MateriaisCampo[[#This Row],[UNIT S/ IPI C/DESC]]),0)</f>
        <v>0</v>
      </c>
      <c r="V286" s="437">
        <f>MateriaisCampo[[#This Row],[UNIT S/ IPI C/DESC]]*MateriaisCampo[[#This Row],[ICMS %]]</f>
        <v>0</v>
      </c>
      <c r="W286" s="437">
        <f>MateriaisCampo[[#This Row],[ICMS $]]*MateriaisCampo[[#This Row],[QUANTIDADE]]</f>
        <v>0</v>
      </c>
      <c r="X286" s="446">
        <f>MateriaisCampo[[#This Row],[UNIT S/ IPI C/DESC]]+MateriaisCampo[[#This Row],[DIFERENCIAL ICMS]]</f>
        <v>0</v>
      </c>
      <c r="Y286" s="446">
        <f>(MateriaisCampo[[#This Row],[PIS]]*MateriaisCampo[[#This Row],[UNIT S/ IPI C/DESC]])/2</f>
        <v>0</v>
      </c>
      <c r="Z286" s="446">
        <f>(MateriaisCampo[[#This Row],[COFINS]]*MateriaisCampo[[#This Row],[UNIT S/ IPI C/DESC]])/2</f>
        <v>0</v>
      </c>
      <c r="AA286" s="445">
        <f>MateriaisCampo[[#This Row],[UNIT S/ IP + DIF ICMS]]+(MateriaisCampo[[#This Row],[UNIT S/ IP + DIF ICMS]]*MateriaisCampo[[#This Row],[IPI %]])</f>
        <v>0</v>
      </c>
      <c r="AB286" s="448">
        <f>_xlfn.XLOOKUP(MateriaisCampo[[#This Row],[FATURAMENTO]],BASE!$U$48:$U$50,BASE!$W$48:$W$50,0,0,1)</f>
        <v>0.79709863947533133</v>
      </c>
      <c r="AC286" s="510" t="str">
        <f>RESUMO!$E$56</f>
        <v>SIM</v>
      </c>
      <c r="AD286" s="449" t="str">
        <f>RESUMO!$E$57</f>
        <v>SIM</v>
      </c>
      <c r="AE28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6" s="450">
        <f>MateriaisCampo[[#This Row],[UNIT CRED]]*MateriaisCampo[[#This Row],[QUANTIDADE]]</f>
        <v>0</v>
      </c>
      <c r="AG286" s="451">
        <f>MateriaisCampo[[#This Row],[TOT CRED]]</f>
        <v>0</v>
      </c>
      <c r="AH286" s="452">
        <f>IF(MateriaisCampo[[#This Row],[QUANTIDADE]]&lt;&gt;0,((MateriaisCampo[[#This Row],[TOT CUSTO]]/MateriaisCampo[[#This Row],[QUANTIDADE]])/MateriaisCampo[[#This Row],[MARK-UP]]),0)</f>
        <v>0</v>
      </c>
      <c r="AI286" s="453">
        <f>MateriaisCampo[[#This Row],[UNIT VENDA]]*MateriaisCampo[[#This Row],[QUANTIDADE]]</f>
        <v>0</v>
      </c>
      <c r="AJ286" s="453">
        <f>IFERROR(MateriaisCampo[[#This Row],[VENDA]]*(RESUMO!$F$55/RESUMO!$F$45),0)</f>
        <v>0</v>
      </c>
      <c r="AK286" s="453">
        <f>IFERROR(MateriaisCampo[[#This Row],[VENDA]]*(RESUMO!$F$58/RESUMO!$F$45),0)</f>
        <v>0</v>
      </c>
      <c r="AL286" s="454">
        <f>IF(MateriaisCampo[[#This Row],[FATURAMENTO]]="NORMAL",MateriaisCampo[[#This Row],[VENDA]],0)</f>
        <v>0</v>
      </c>
    </row>
    <row r="287" spans="1:38" x14ac:dyDescent="0.25">
      <c r="A287" s="113"/>
      <c r="B287" s="113"/>
      <c r="C287" s="113"/>
      <c r="D287" s="113"/>
      <c r="E287" s="434"/>
      <c r="F287" s="434">
        <f t="shared" si="4"/>
        <v>0</v>
      </c>
      <c r="G287" s="113"/>
      <c r="H287" s="435"/>
      <c r="I287" s="436"/>
      <c r="J287" s="437"/>
      <c r="K287" s="438"/>
      <c r="L287" s="438"/>
      <c r="M287" s="458"/>
      <c r="N287" s="445">
        <f>MateriaisCampo[[#This Row],[UNIT S/IPI S/DESC]]-MateriaisCampo[[#This Row],[UNIT S/IPI S/DESC]]*MateriaisCampo[[#This Row],[% DESC]]</f>
        <v>0</v>
      </c>
      <c r="O287" s="441" t="s">
        <v>295</v>
      </c>
      <c r="P287" s="442" t="s">
        <v>155</v>
      </c>
      <c r="Q287" s="438">
        <v>1.6500000000000001E-2</v>
      </c>
      <c r="R287" s="438">
        <v>7.5999999999999998E-2</v>
      </c>
      <c r="S287" s="443">
        <f>MateriaisCampo[[#This Row],[UNIT S/ IP + DIF ICMS]]*MateriaisCampo[[#This Row],[QUANTIDADE]]</f>
        <v>0</v>
      </c>
      <c r="T287" s="444">
        <f>MateriaisCampo[[#This Row],[TOTAL S/ IPI]]+(MateriaisCampo[[#This Row],[TOTAL S/ IPI]]*MateriaisCampo[[#This Row],[IPI %]])</f>
        <v>0</v>
      </c>
      <c r="U287" s="445">
        <f>IF(AND(MateriaisCampo[[#This Row],[ICMS %]]&lt;&gt;18%,MateriaisCampo[[#This Row],[ORIGEM]]&lt;&gt;"SÃO PAULO"),((18%-MateriaisCampo[[#This Row],[ICMS %]])*MateriaisCampo[[#This Row],[UNIT S/ IPI C/DESC]]),0)</f>
        <v>0</v>
      </c>
      <c r="V287" s="437">
        <f>MateriaisCampo[[#This Row],[UNIT S/ IPI C/DESC]]*MateriaisCampo[[#This Row],[ICMS %]]</f>
        <v>0</v>
      </c>
      <c r="W287" s="437">
        <f>MateriaisCampo[[#This Row],[ICMS $]]*MateriaisCampo[[#This Row],[QUANTIDADE]]</f>
        <v>0</v>
      </c>
      <c r="X287" s="446">
        <f>MateriaisCampo[[#This Row],[UNIT S/ IPI C/DESC]]+MateriaisCampo[[#This Row],[DIFERENCIAL ICMS]]</f>
        <v>0</v>
      </c>
      <c r="Y287" s="446">
        <f>(MateriaisCampo[[#This Row],[PIS]]*MateriaisCampo[[#This Row],[UNIT S/ IPI C/DESC]])/2</f>
        <v>0</v>
      </c>
      <c r="Z287" s="446">
        <f>(MateriaisCampo[[#This Row],[COFINS]]*MateriaisCampo[[#This Row],[UNIT S/ IPI C/DESC]])/2</f>
        <v>0</v>
      </c>
      <c r="AA287" s="445">
        <f>MateriaisCampo[[#This Row],[UNIT S/ IP + DIF ICMS]]+(MateriaisCampo[[#This Row],[UNIT S/ IP + DIF ICMS]]*MateriaisCampo[[#This Row],[IPI %]])</f>
        <v>0</v>
      </c>
      <c r="AB287" s="448">
        <f>_xlfn.XLOOKUP(MateriaisCampo[[#This Row],[FATURAMENTO]],BASE!$U$48:$U$50,BASE!$W$48:$W$50,0,0,1)</f>
        <v>0.79709863947533133</v>
      </c>
      <c r="AC287" s="510" t="str">
        <f>RESUMO!$E$56</f>
        <v>SIM</v>
      </c>
      <c r="AD287" s="449" t="str">
        <f>RESUMO!$E$57</f>
        <v>SIM</v>
      </c>
      <c r="AE28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7" s="450">
        <f>MateriaisCampo[[#This Row],[UNIT CRED]]*MateriaisCampo[[#This Row],[QUANTIDADE]]</f>
        <v>0</v>
      </c>
      <c r="AG287" s="451">
        <f>MateriaisCampo[[#This Row],[TOT CRED]]</f>
        <v>0</v>
      </c>
      <c r="AH287" s="452">
        <f>IF(MateriaisCampo[[#This Row],[QUANTIDADE]]&lt;&gt;0,((MateriaisCampo[[#This Row],[TOT CUSTO]]/MateriaisCampo[[#This Row],[QUANTIDADE]])/MateriaisCampo[[#This Row],[MARK-UP]]),0)</f>
        <v>0</v>
      </c>
      <c r="AI287" s="453">
        <f>MateriaisCampo[[#This Row],[UNIT VENDA]]*MateriaisCampo[[#This Row],[QUANTIDADE]]</f>
        <v>0</v>
      </c>
      <c r="AJ287" s="453">
        <f>IFERROR(MateriaisCampo[[#This Row],[VENDA]]*(RESUMO!$F$55/RESUMO!$F$45),0)</f>
        <v>0</v>
      </c>
      <c r="AK287" s="453">
        <f>IFERROR(MateriaisCampo[[#This Row],[VENDA]]*(RESUMO!$F$58/RESUMO!$F$45),0)</f>
        <v>0</v>
      </c>
      <c r="AL287" s="454">
        <f>IF(MateriaisCampo[[#This Row],[FATURAMENTO]]="NORMAL",MateriaisCampo[[#This Row],[VENDA]],0)</f>
        <v>0</v>
      </c>
    </row>
    <row r="288" spans="1:38" x14ac:dyDescent="0.25">
      <c r="A288" s="113"/>
      <c r="B288" s="113"/>
      <c r="C288" s="113"/>
      <c r="D288" s="113"/>
      <c r="E288" s="434"/>
      <c r="F288" s="434">
        <f t="shared" si="4"/>
        <v>0</v>
      </c>
      <c r="G288" s="113"/>
      <c r="H288" s="435"/>
      <c r="I288" s="436"/>
      <c r="J288" s="437"/>
      <c r="K288" s="438"/>
      <c r="L288" s="438"/>
      <c r="M288" s="458"/>
      <c r="N288" s="445">
        <f>MateriaisCampo[[#This Row],[UNIT S/IPI S/DESC]]-MateriaisCampo[[#This Row],[UNIT S/IPI S/DESC]]*MateriaisCampo[[#This Row],[% DESC]]</f>
        <v>0</v>
      </c>
      <c r="O288" s="441" t="s">
        <v>295</v>
      </c>
      <c r="P288" s="442" t="s">
        <v>155</v>
      </c>
      <c r="Q288" s="438">
        <v>1.6500000000000001E-2</v>
      </c>
      <c r="R288" s="438">
        <v>7.5999999999999998E-2</v>
      </c>
      <c r="S288" s="443">
        <f>MateriaisCampo[[#This Row],[UNIT S/ IP + DIF ICMS]]*MateriaisCampo[[#This Row],[QUANTIDADE]]</f>
        <v>0</v>
      </c>
      <c r="T288" s="444">
        <f>MateriaisCampo[[#This Row],[TOTAL S/ IPI]]+(MateriaisCampo[[#This Row],[TOTAL S/ IPI]]*MateriaisCampo[[#This Row],[IPI %]])</f>
        <v>0</v>
      </c>
      <c r="U288" s="445">
        <f>IF(AND(MateriaisCampo[[#This Row],[ICMS %]]&lt;&gt;18%,MateriaisCampo[[#This Row],[ORIGEM]]&lt;&gt;"SÃO PAULO"),((18%-MateriaisCampo[[#This Row],[ICMS %]])*MateriaisCampo[[#This Row],[UNIT S/ IPI C/DESC]]),0)</f>
        <v>0</v>
      </c>
      <c r="V288" s="437">
        <f>MateriaisCampo[[#This Row],[UNIT S/ IPI C/DESC]]*MateriaisCampo[[#This Row],[ICMS %]]</f>
        <v>0</v>
      </c>
      <c r="W288" s="437">
        <f>MateriaisCampo[[#This Row],[ICMS $]]*MateriaisCampo[[#This Row],[QUANTIDADE]]</f>
        <v>0</v>
      </c>
      <c r="X288" s="446">
        <f>MateriaisCampo[[#This Row],[UNIT S/ IPI C/DESC]]+MateriaisCampo[[#This Row],[DIFERENCIAL ICMS]]</f>
        <v>0</v>
      </c>
      <c r="Y288" s="446">
        <f>(MateriaisCampo[[#This Row],[PIS]]*MateriaisCampo[[#This Row],[UNIT S/ IPI C/DESC]])/2</f>
        <v>0</v>
      </c>
      <c r="Z288" s="446">
        <f>(MateriaisCampo[[#This Row],[COFINS]]*MateriaisCampo[[#This Row],[UNIT S/ IPI C/DESC]])/2</f>
        <v>0</v>
      </c>
      <c r="AA288" s="445">
        <f>MateriaisCampo[[#This Row],[UNIT S/ IP + DIF ICMS]]+(MateriaisCampo[[#This Row],[UNIT S/ IP + DIF ICMS]]*MateriaisCampo[[#This Row],[IPI %]])</f>
        <v>0</v>
      </c>
      <c r="AB288" s="448">
        <f>_xlfn.XLOOKUP(MateriaisCampo[[#This Row],[FATURAMENTO]],BASE!$U$48:$U$50,BASE!$W$48:$W$50,0,0,1)</f>
        <v>0.79709863947533133</v>
      </c>
      <c r="AC288" s="510" t="str">
        <f>RESUMO!$E$56</f>
        <v>SIM</v>
      </c>
      <c r="AD288" s="449" t="str">
        <f>RESUMO!$E$57</f>
        <v>SIM</v>
      </c>
      <c r="AE288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8" s="450">
        <f>MateriaisCampo[[#This Row],[UNIT CRED]]*MateriaisCampo[[#This Row],[QUANTIDADE]]</f>
        <v>0</v>
      </c>
      <c r="AG288" s="451">
        <f>MateriaisCampo[[#This Row],[TOT CRED]]</f>
        <v>0</v>
      </c>
      <c r="AH288" s="452">
        <f>IF(MateriaisCampo[[#This Row],[QUANTIDADE]]&lt;&gt;0,((MateriaisCampo[[#This Row],[TOT CUSTO]]/MateriaisCampo[[#This Row],[QUANTIDADE]])/MateriaisCampo[[#This Row],[MARK-UP]]),0)</f>
        <v>0</v>
      </c>
      <c r="AI288" s="453">
        <f>MateriaisCampo[[#This Row],[UNIT VENDA]]*MateriaisCampo[[#This Row],[QUANTIDADE]]</f>
        <v>0</v>
      </c>
      <c r="AJ288" s="453">
        <f>IFERROR(MateriaisCampo[[#This Row],[VENDA]]*(RESUMO!$F$55/RESUMO!$F$45),0)</f>
        <v>0</v>
      </c>
      <c r="AK288" s="453">
        <f>IFERROR(MateriaisCampo[[#This Row],[VENDA]]*(RESUMO!$F$58/RESUMO!$F$45),0)</f>
        <v>0</v>
      </c>
      <c r="AL288" s="454">
        <f>IF(MateriaisCampo[[#This Row],[FATURAMENTO]]="NORMAL",MateriaisCampo[[#This Row],[VENDA]],0)</f>
        <v>0</v>
      </c>
    </row>
    <row r="289" spans="1:38" x14ac:dyDescent="0.25">
      <c r="A289" s="113"/>
      <c r="B289" s="113"/>
      <c r="C289" s="113"/>
      <c r="D289" s="113"/>
      <c r="E289" s="434"/>
      <c r="F289" s="434">
        <f t="shared" si="4"/>
        <v>0</v>
      </c>
      <c r="G289" s="113"/>
      <c r="H289" s="435"/>
      <c r="I289" s="436"/>
      <c r="J289" s="437"/>
      <c r="K289" s="438"/>
      <c r="L289" s="438"/>
      <c r="M289" s="458"/>
      <c r="N289" s="445">
        <f>MateriaisCampo[[#This Row],[UNIT S/IPI S/DESC]]-MateriaisCampo[[#This Row],[UNIT S/IPI S/DESC]]*MateriaisCampo[[#This Row],[% DESC]]</f>
        <v>0</v>
      </c>
      <c r="O289" s="441" t="s">
        <v>295</v>
      </c>
      <c r="P289" s="442" t="s">
        <v>155</v>
      </c>
      <c r="Q289" s="438">
        <v>1.6500000000000001E-2</v>
      </c>
      <c r="R289" s="438">
        <v>7.5999999999999998E-2</v>
      </c>
      <c r="S289" s="443">
        <f>MateriaisCampo[[#This Row],[UNIT S/ IP + DIF ICMS]]*MateriaisCampo[[#This Row],[QUANTIDADE]]</f>
        <v>0</v>
      </c>
      <c r="T289" s="444">
        <f>MateriaisCampo[[#This Row],[TOTAL S/ IPI]]+(MateriaisCampo[[#This Row],[TOTAL S/ IPI]]*MateriaisCampo[[#This Row],[IPI %]])</f>
        <v>0</v>
      </c>
      <c r="U289" s="445">
        <f>IF(AND(MateriaisCampo[[#This Row],[ICMS %]]&lt;&gt;18%,MateriaisCampo[[#This Row],[ORIGEM]]&lt;&gt;"SÃO PAULO"),((18%-MateriaisCampo[[#This Row],[ICMS %]])*MateriaisCampo[[#This Row],[UNIT S/ IPI C/DESC]]),0)</f>
        <v>0</v>
      </c>
      <c r="V289" s="437">
        <f>MateriaisCampo[[#This Row],[UNIT S/ IPI C/DESC]]*MateriaisCampo[[#This Row],[ICMS %]]</f>
        <v>0</v>
      </c>
      <c r="W289" s="437">
        <f>MateriaisCampo[[#This Row],[ICMS $]]*MateriaisCampo[[#This Row],[QUANTIDADE]]</f>
        <v>0</v>
      </c>
      <c r="X289" s="446">
        <f>MateriaisCampo[[#This Row],[UNIT S/ IPI C/DESC]]+MateriaisCampo[[#This Row],[DIFERENCIAL ICMS]]</f>
        <v>0</v>
      </c>
      <c r="Y289" s="446">
        <f>(MateriaisCampo[[#This Row],[PIS]]*MateriaisCampo[[#This Row],[UNIT S/ IPI C/DESC]])/2</f>
        <v>0</v>
      </c>
      <c r="Z289" s="446">
        <f>(MateriaisCampo[[#This Row],[COFINS]]*MateriaisCampo[[#This Row],[UNIT S/ IPI C/DESC]])/2</f>
        <v>0</v>
      </c>
      <c r="AA289" s="445">
        <f>MateriaisCampo[[#This Row],[UNIT S/ IP + DIF ICMS]]+(MateriaisCampo[[#This Row],[UNIT S/ IP + DIF ICMS]]*MateriaisCampo[[#This Row],[IPI %]])</f>
        <v>0</v>
      </c>
      <c r="AB289" s="448">
        <f>_xlfn.XLOOKUP(MateriaisCampo[[#This Row],[FATURAMENTO]],BASE!$U$48:$U$50,BASE!$W$48:$W$50,0,0,1)</f>
        <v>0.79709863947533133</v>
      </c>
      <c r="AC289" s="510" t="str">
        <f>RESUMO!$E$56</f>
        <v>SIM</v>
      </c>
      <c r="AD289" s="449" t="str">
        <f>RESUMO!$E$57</f>
        <v>SIM</v>
      </c>
      <c r="AE289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89" s="450">
        <f>MateriaisCampo[[#This Row],[UNIT CRED]]*MateriaisCampo[[#This Row],[QUANTIDADE]]</f>
        <v>0</v>
      </c>
      <c r="AG289" s="451">
        <f>MateriaisCampo[[#This Row],[TOT CRED]]</f>
        <v>0</v>
      </c>
      <c r="AH289" s="452">
        <f>IF(MateriaisCampo[[#This Row],[QUANTIDADE]]&lt;&gt;0,((MateriaisCampo[[#This Row],[TOT CUSTO]]/MateriaisCampo[[#This Row],[QUANTIDADE]])/MateriaisCampo[[#This Row],[MARK-UP]]),0)</f>
        <v>0</v>
      </c>
      <c r="AI289" s="453">
        <f>MateriaisCampo[[#This Row],[UNIT VENDA]]*MateriaisCampo[[#This Row],[QUANTIDADE]]</f>
        <v>0</v>
      </c>
      <c r="AJ289" s="453">
        <f>IFERROR(MateriaisCampo[[#This Row],[VENDA]]*(RESUMO!$F$55/RESUMO!$F$45),0)</f>
        <v>0</v>
      </c>
      <c r="AK289" s="453">
        <f>IFERROR(MateriaisCampo[[#This Row],[VENDA]]*(RESUMO!$F$58/RESUMO!$F$45),0)</f>
        <v>0</v>
      </c>
      <c r="AL289" s="454">
        <f>IF(MateriaisCampo[[#This Row],[FATURAMENTO]]="NORMAL",MateriaisCampo[[#This Row],[VENDA]],0)</f>
        <v>0</v>
      </c>
    </row>
    <row r="290" spans="1:38" x14ac:dyDescent="0.25">
      <c r="A290" s="113"/>
      <c r="B290" s="113"/>
      <c r="C290" s="113"/>
      <c r="D290" s="113"/>
      <c r="E290" s="434"/>
      <c r="F290" s="434">
        <f t="shared" si="4"/>
        <v>0</v>
      </c>
      <c r="G290" s="113"/>
      <c r="H290" s="435"/>
      <c r="I290" s="436"/>
      <c r="J290" s="437"/>
      <c r="K290" s="438"/>
      <c r="L290" s="438"/>
      <c r="M290" s="458"/>
      <c r="N290" s="445">
        <f>MateriaisCampo[[#This Row],[UNIT S/IPI S/DESC]]-MateriaisCampo[[#This Row],[UNIT S/IPI S/DESC]]*MateriaisCampo[[#This Row],[% DESC]]</f>
        <v>0</v>
      </c>
      <c r="O290" s="441" t="s">
        <v>295</v>
      </c>
      <c r="P290" s="442" t="s">
        <v>155</v>
      </c>
      <c r="Q290" s="438">
        <v>1.6500000000000001E-2</v>
      </c>
      <c r="R290" s="438">
        <v>7.5999999999999998E-2</v>
      </c>
      <c r="S290" s="443">
        <f>MateriaisCampo[[#This Row],[UNIT S/ IP + DIF ICMS]]*MateriaisCampo[[#This Row],[QUANTIDADE]]</f>
        <v>0</v>
      </c>
      <c r="T290" s="444">
        <f>MateriaisCampo[[#This Row],[TOTAL S/ IPI]]+(MateriaisCampo[[#This Row],[TOTAL S/ IPI]]*MateriaisCampo[[#This Row],[IPI %]])</f>
        <v>0</v>
      </c>
      <c r="U290" s="445">
        <f>IF(AND(MateriaisCampo[[#This Row],[ICMS %]]&lt;&gt;18%,MateriaisCampo[[#This Row],[ORIGEM]]&lt;&gt;"SÃO PAULO"),((18%-MateriaisCampo[[#This Row],[ICMS %]])*MateriaisCampo[[#This Row],[UNIT S/ IPI C/DESC]]),0)</f>
        <v>0</v>
      </c>
      <c r="V290" s="437">
        <f>MateriaisCampo[[#This Row],[UNIT S/ IPI C/DESC]]*MateriaisCampo[[#This Row],[ICMS %]]</f>
        <v>0</v>
      </c>
      <c r="W290" s="437">
        <f>MateriaisCampo[[#This Row],[ICMS $]]*MateriaisCampo[[#This Row],[QUANTIDADE]]</f>
        <v>0</v>
      </c>
      <c r="X290" s="446">
        <f>MateriaisCampo[[#This Row],[UNIT S/ IPI C/DESC]]+MateriaisCampo[[#This Row],[DIFERENCIAL ICMS]]</f>
        <v>0</v>
      </c>
      <c r="Y290" s="446">
        <f>(MateriaisCampo[[#This Row],[PIS]]*MateriaisCampo[[#This Row],[UNIT S/ IPI C/DESC]])/2</f>
        <v>0</v>
      </c>
      <c r="Z290" s="446">
        <f>(MateriaisCampo[[#This Row],[COFINS]]*MateriaisCampo[[#This Row],[UNIT S/ IPI C/DESC]])/2</f>
        <v>0</v>
      </c>
      <c r="AA290" s="445">
        <f>MateriaisCampo[[#This Row],[UNIT S/ IP + DIF ICMS]]+(MateriaisCampo[[#This Row],[UNIT S/ IP + DIF ICMS]]*MateriaisCampo[[#This Row],[IPI %]])</f>
        <v>0</v>
      </c>
      <c r="AB290" s="448">
        <f>_xlfn.XLOOKUP(MateriaisCampo[[#This Row],[FATURAMENTO]],BASE!$U$48:$U$50,BASE!$W$48:$W$50,0,0,1)</f>
        <v>0.79709863947533133</v>
      </c>
      <c r="AC290" s="510" t="str">
        <f>RESUMO!$E$56</f>
        <v>SIM</v>
      </c>
      <c r="AD290" s="449" t="str">
        <f>RESUMO!$E$57</f>
        <v>SIM</v>
      </c>
      <c r="AE290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0" s="450">
        <f>MateriaisCampo[[#This Row],[UNIT CRED]]*MateriaisCampo[[#This Row],[QUANTIDADE]]</f>
        <v>0</v>
      </c>
      <c r="AG290" s="451">
        <f>MateriaisCampo[[#This Row],[TOT CRED]]</f>
        <v>0</v>
      </c>
      <c r="AH290" s="452">
        <f>IF(MateriaisCampo[[#This Row],[QUANTIDADE]]&lt;&gt;0,((MateriaisCampo[[#This Row],[TOT CUSTO]]/MateriaisCampo[[#This Row],[QUANTIDADE]])/MateriaisCampo[[#This Row],[MARK-UP]]),0)</f>
        <v>0</v>
      </c>
      <c r="AI290" s="453">
        <f>MateriaisCampo[[#This Row],[UNIT VENDA]]*MateriaisCampo[[#This Row],[QUANTIDADE]]</f>
        <v>0</v>
      </c>
      <c r="AJ290" s="453">
        <f>IFERROR(MateriaisCampo[[#This Row],[VENDA]]*(RESUMO!$F$55/RESUMO!$F$45),0)</f>
        <v>0</v>
      </c>
      <c r="AK290" s="453">
        <f>IFERROR(MateriaisCampo[[#This Row],[VENDA]]*(RESUMO!$F$58/RESUMO!$F$45),0)</f>
        <v>0</v>
      </c>
      <c r="AL290" s="454">
        <f>IF(MateriaisCampo[[#This Row],[FATURAMENTO]]="NORMAL",MateriaisCampo[[#This Row],[VENDA]],0)</f>
        <v>0</v>
      </c>
    </row>
    <row r="291" spans="1:38" x14ac:dyDescent="0.25">
      <c r="A291" s="113"/>
      <c r="B291" s="113"/>
      <c r="C291" s="113"/>
      <c r="D291" s="113"/>
      <c r="E291" s="434"/>
      <c r="F291" s="434">
        <f t="shared" si="4"/>
        <v>0</v>
      </c>
      <c r="G291" s="113"/>
      <c r="H291" s="435"/>
      <c r="I291" s="436"/>
      <c r="J291" s="437"/>
      <c r="K291" s="438"/>
      <c r="L291" s="438"/>
      <c r="M291" s="458"/>
      <c r="N291" s="445">
        <f>MateriaisCampo[[#This Row],[UNIT S/IPI S/DESC]]-MateriaisCampo[[#This Row],[UNIT S/IPI S/DESC]]*MateriaisCampo[[#This Row],[% DESC]]</f>
        <v>0</v>
      </c>
      <c r="O291" s="441" t="s">
        <v>295</v>
      </c>
      <c r="P291" s="442" t="s">
        <v>155</v>
      </c>
      <c r="Q291" s="438">
        <v>1.6500000000000001E-2</v>
      </c>
      <c r="R291" s="438">
        <v>7.5999999999999998E-2</v>
      </c>
      <c r="S291" s="443">
        <f>MateriaisCampo[[#This Row],[UNIT S/ IP + DIF ICMS]]*MateriaisCampo[[#This Row],[QUANTIDADE]]</f>
        <v>0</v>
      </c>
      <c r="T291" s="444">
        <f>MateriaisCampo[[#This Row],[TOTAL S/ IPI]]+(MateriaisCampo[[#This Row],[TOTAL S/ IPI]]*MateriaisCampo[[#This Row],[IPI %]])</f>
        <v>0</v>
      </c>
      <c r="U291" s="445">
        <f>IF(AND(MateriaisCampo[[#This Row],[ICMS %]]&lt;&gt;18%,MateriaisCampo[[#This Row],[ORIGEM]]&lt;&gt;"SÃO PAULO"),((18%-MateriaisCampo[[#This Row],[ICMS %]])*MateriaisCampo[[#This Row],[UNIT S/ IPI C/DESC]]),0)</f>
        <v>0</v>
      </c>
      <c r="V291" s="437">
        <f>MateriaisCampo[[#This Row],[UNIT S/ IPI C/DESC]]*MateriaisCampo[[#This Row],[ICMS %]]</f>
        <v>0</v>
      </c>
      <c r="W291" s="437">
        <f>MateriaisCampo[[#This Row],[ICMS $]]*MateriaisCampo[[#This Row],[QUANTIDADE]]</f>
        <v>0</v>
      </c>
      <c r="X291" s="446">
        <f>MateriaisCampo[[#This Row],[UNIT S/ IPI C/DESC]]+MateriaisCampo[[#This Row],[DIFERENCIAL ICMS]]</f>
        <v>0</v>
      </c>
      <c r="Y291" s="446">
        <f>(MateriaisCampo[[#This Row],[PIS]]*MateriaisCampo[[#This Row],[UNIT S/ IPI C/DESC]])/2</f>
        <v>0</v>
      </c>
      <c r="Z291" s="446">
        <f>(MateriaisCampo[[#This Row],[COFINS]]*MateriaisCampo[[#This Row],[UNIT S/ IPI C/DESC]])/2</f>
        <v>0</v>
      </c>
      <c r="AA291" s="445">
        <f>MateriaisCampo[[#This Row],[UNIT S/ IP + DIF ICMS]]+(MateriaisCampo[[#This Row],[UNIT S/ IP + DIF ICMS]]*MateriaisCampo[[#This Row],[IPI %]])</f>
        <v>0</v>
      </c>
      <c r="AB291" s="448">
        <f>_xlfn.XLOOKUP(MateriaisCampo[[#This Row],[FATURAMENTO]],BASE!$U$48:$U$50,BASE!$W$48:$W$50,0,0,1)</f>
        <v>0.79709863947533133</v>
      </c>
      <c r="AC291" s="510" t="str">
        <f>RESUMO!$E$56</f>
        <v>SIM</v>
      </c>
      <c r="AD291" s="449" t="str">
        <f>RESUMO!$E$57</f>
        <v>SIM</v>
      </c>
      <c r="AE291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1" s="450">
        <f>MateriaisCampo[[#This Row],[UNIT CRED]]*MateriaisCampo[[#This Row],[QUANTIDADE]]</f>
        <v>0</v>
      </c>
      <c r="AG291" s="451">
        <f>MateriaisCampo[[#This Row],[TOT CRED]]</f>
        <v>0</v>
      </c>
      <c r="AH291" s="452">
        <f>IF(MateriaisCampo[[#This Row],[QUANTIDADE]]&lt;&gt;0,((MateriaisCampo[[#This Row],[TOT CUSTO]]/MateriaisCampo[[#This Row],[QUANTIDADE]])/MateriaisCampo[[#This Row],[MARK-UP]]),0)</f>
        <v>0</v>
      </c>
      <c r="AI291" s="453">
        <f>MateriaisCampo[[#This Row],[UNIT VENDA]]*MateriaisCampo[[#This Row],[QUANTIDADE]]</f>
        <v>0</v>
      </c>
      <c r="AJ291" s="453">
        <f>IFERROR(MateriaisCampo[[#This Row],[VENDA]]*(RESUMO!$F$55/RESUMO!$F$45),0)</f>
        <v>0</v>
      </c>
      <c r="AK291" s="453">
        <f>IFERROR(MateriaisCampo[[#This Row],[VENDA]]*(RESUMO!$F$58/RESUMO!$F$45),0)</f>
        <v>0</v>
      </c>
      <c r="AL291" s="454">
        <f>IF(MateriaisCampo[[#This Row],[FATURAMENTO]]="NORMAL",MateriaisCampo[[#This Row],[VENDA]],0)</f>
        <v>0</v>
      </c>
    </row>
    <row r="292" spans="1:38" x14ac:dyDescent="0.25">
      <c r="A292" s="113"/>
      <c r="B292" s="113"/>
      <c r="C292" s="113"/>
      <c r="D292" s="113"/>
      <c r="E292" s="434"/>
      <c r="F292" s="434">
        <f t="shared" si="4"/>
        <v>0</v>
      </c>
      <c r="G292" s="113"/>
      <c r="H292" s="435"/>
      <c r="I292" s="436"/>
      <c r="J292" s="437"/>
      <c r="K292" s="438"/>
      <c r="L292" s="438"/>
      <c r="M292" s="458"/>
      <c r="N292" s="445">
        <f>MateriaisCampo[[#This Row],[UNIT S/IPI S/DESC]]-MateriaisCampo[[#This Row],[UNIT S/IPI S/DESC]]*MateriaisCampo[[#This Row],[% DESC]]</f>
        <v>0</v>
      </c>
      <c r="O292" s="441" t="s">
        <v>295</v>
      </c>
      <c r="P292" s="442" t="s">
        <v>155</v>
      </c>
      <c r="Q292" s="438">
        <v>1.6500000000000001E-2</v>
      </c>
      <c r="R292" s="438">
        <v>7.5999999999999998E-2</v>
      </c>
      <c r="S292" s="443">
        <f>MateriaisCampo[[#This Row],[UNIT S/ IP + DIF ICMS]]*MateriaisCampo[[#This Row],[QUANTIDADE]]</f>
        <v>0</v>
      </c>
      <c r="T292" s="444">
        <f>MateriaisCampo[[#This Row],[TOTAL S/ IPI]]+(MateriaisCampo[[#This Row],[TOTAL S/ IPI]]*MateriaisCampo[[#This Row],[IPI %]])</f>
        <v>0</v>
      </c>
      <c r="U292" s="445">
        <f>IF(AND(MateriaisCampo[[#This Row],[ICMS %]]&lt;&gt;18%,MateriaisCampo[[#This Row],[ORIGEM]]&lt;&gt;"SÃO PAULO"),((18%-MateriaisCampo[[#This Row],[ICMS %]])*MateriaisCampo[[#This Row],[UNIT S/ IPI C/DESC]]),0)</f>
        <v>0</v>
      </c>
      <c r="V292" s="437">
        <f>MateriaisCampo[[#This Row],[UNIT S/ IPI C/DESC]]*MateriaisCampo[[#This Row],[ICMS %]]</f>
        <v>0</v>
      </c>
      <c r="W292" s="437">
        <f>MateriaisCampo[[#This Row],[ICMS $]]*MateriaisCampo[[#This Row],[QUANTIDADE]]</f>
        <v>0</v>
      </c>
      <c r="X292" s="446">
        <f>MateriaisCampo[[#This Row],[UNIT S/ IPI C/DESC]]+MateriaisCampo[[#This Row],[DIFERENCIAL ICMS]]</f>
        <v>0</v>
      </c>
      <c r="Y292" s="446">
        <f>(MateriaisCampo[[#This Row],[PIS]]*MateriaisCampo[[#This Row],[UNIT S/ IPI C/DESC]])/2</f>
        <v>0</v>
      </c>
      <c r="Z292" s="446">
        <f>(MateriaisCampo[[#This Row],[COFINS]]*MateriaisCampo[[#This Row],[UNIT S/ IPI C/DESC]])/2</f>
        <v>0</v>
      </c>
      <c r="AA292" s="445">
        <f>MateriaisCampo[[#This Row],[UNIT S/ IP + DIF ICMS]]+(MateriaisCampo[[#This Row],[UNIT S/ IP + DIF ICMS]]*MateriaisCampo[[#This Row],[IPI %]])</f>
        <v>0</v>
      </c>
      <c r="AB292" s="448">
        <f>_xlfn.XLOOKUP(MateriaisCampo[[#This Row],[FATURAMENTO]],BASE!$U$48:$U$50,BASE!$W$48:$W$50,0,0,1)</f>
        <v>0.79709863947533133</v>
      </c>
      <c r="AC292" s="510" t="str">
        <f>RESUMO!$E$56</f>
        <v>SIM</v>
      </c>
      <c r="AD292" s="449" t="str">
        <f>RESUMO!$E$57</f>
        <v>SIM</v>
      </c>
      <c r="AE292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2" s="450">
        <f>MateriaisCampo[[#This Row],[UNIT CRED]]*MateriaisCampo[[#This Row],[QUANTIDADE]]</f>
        <v>0</v>
      </c>
      <c r="AG292" s="451">
        <f>MateriaisCampo[[#This Row],[TOT CRED]]</f>
        <v>0</v>
      </c>
      <c r="AH292" s="452">
        <f>IF(MateriaisCampo[[#This Row],[QUANTIDADE]]&lt;&gt;0,((MateriaisCampo[[#This Row],[TOT CUSTO]]/MateriaisCampo[[#This Row],[QUANTIDADE]])/MateriaisCampo[[#This Row],[MARK-UP]]),0)</f>
        <v>0</v>
      </c>
      <c r="AI292" s="453">
        <f>MateriaisCampo[[#This Row],[UNIT VENDA]]*MateriaisCampo[[#This Row],[QUANTIDADE]]</f>
        <v>0</v>
      </c>
      <c r="AJ292" s="453">
        <f>IFERROR(MateriaisCampo[[#This Row],[VENDA]]*(RESUMO!$F$55/RESUMO!$F$45),0)</f>
        <v>0</v>
      </c>
      <c r="AK292" s="453">
        <f>IFERROR(MateriaisCampo[[#This Row],[VENDA]]*(RESUMO!$F$58/RESUMO!$F$45),0)</f>
        <v>0</v>
      </c>
      <c r="AL292" s="454">
        <f>IF(MateriaisCampo[[#This Row],[FATURAMENTO]]="NORMAL",MateriaisCampo[[#This Row],[VENDA]],0)</f>
        <v>0</v>
      </c>
    </row>
    <row r="293" spans="1:38" x14ac:dyDescent="0.25">
      <c r="A293" s="113"/>
      <c r="B293" s="113"/>
      <c r="C293" s="113"/>
      <c r="D293" s="113"/>
      <c r="E293" s="434"/>
      <c r="F293" s="434">
        <f t="shared" si="4"/>
        <v>0</v>
      </c>
      <c r="G293" s="113"/>
      <c r="H293" s="435"/>
      <c r="I293" s="436"/>
      <c r="J293" s="437"/>
      <c r="K293" s="438"/>
      <c r="L293" s="438"/>
      <c r="M293" s="458"/>
      <c r="N293" s="445">
        <f>MateriaisCampo[[#This Row],[UNIT S/IPI S/DESC]]-MateriaisCampo[[#This Row],[UNIT S/IPI S/DESC]]*MateriaisCampo[[#This Row],[% DESC]]</f>
        <v>0</v>
      </c>
      <c r="O293" s="441" t="s">
        <v>295</v>
      </c>
      <c r="P293" s="442" t="s">
        <v>155</v>
      </c>
      <c r="Q293" s="438">
        <v>1.6500000000000001E-2</v>
      </c>
      <c r="R293" s="438">
        <v>7.5999999999999998E-2</v>
      </c>
      <c r="S293" s="443">
        <f>MateriaisCampo[[#This Row],[UNIT S/ IP + DIF ICMS]]*MateriaisCampo[[#This Row],[QUANTIDADE]]</f>
        <v>0</v>
      </c>
      <c r="T293" s="444">
        <f>MateriaisCampo[[#This Row],[TOTAL S/ IPI]]+(MateriaisCampo[[#This Row],[TOTAL S/ IPI]]*MateriaisCampo[[#This Row],[IPI %]])</f>
        <v>0</v>
      </c>
      <c r="U293" s="445">
        <f>IF(AND(MateriaisCampo[[#This Row],[ICMS %]]&lt;&gt;18%,MateriaisCampo[[#This Row],[ORIGEM]]&lt;&gt;"SÃO PAULO"),((18%-MateriaisCampo[[#This Row],[ICMS %]])*MateriaisCampo[[#This Row],[UNIT S/ IPI C/DESC]]),0)</f>
        <v>0</v>
      </c>
      <c r="V293" s="437">
        <f>MateriaisCampo[[#This Row],[UNIT S/ IPI C/DESC]]*MateriaisCampo[[#This Row],[ICMS %]]</f>
        <v>0</v>
      </c>
      <c r="W293" s="437">
        <f>MateriaisCampo[[#This Row],[ICMS $]]*MateriaisCampo[[#This Row],[QUANTIDADE]]</f>
        <v>0</v>
      </c>
      <c r="X293" s="446">
        <f>MateriaisCampo[[#This Row],[UNIT S/ IPI C/DESC]]+MateriaisCampo[[#This Row],[DIFERENCIAL ICMS]]</f>
        <v>0</v>
      </c>
      <c r="Y293" s="446">
        <f>(MateriaisCampo[[#This Row],[PIS]]*MateriaisCampo[[#This Row],[UNIT S/ IPI C/DESC]])/2</f>
        <v>0</v>
      </c>
      <c r="Z293" s="446">
        <f>(MateriaisCampo[[#This Row],[COFINS]]*MateriaisCampo[[#This Row],[UNIT S/ IPI C/DESC]])/2</f>
        <v>0</v>
      </c>
      <c r="AA293" s="445">
        <f>MateriaisCampo[[#This Row],[UNIT S/ IP + DIF ICMS]]+(MateriaisCampo[[#This Row],[UNIT S/ IP + DIF ICMS]]*MateriaisCampo[[#This Row],[IPI %]])</f>
        <v>0</v>
      </c>
      <c r="AB293" s="448">
        <f>_xlfn.XLOOKUP(MateriaisCampo[[#This Row],[FATURAMENTO]],BASE!$U$48:$U$50,BASE!$W$48:$W$50,0,0,1)</f>
        <v>0.79709863947533133</v>
      </c>
      <c r="AC293" s="510" t="str">
        <f>RESUMO!$E$56</f>
        <v>SIM</v>
      </c>
      <c r="AD293" s="449" t="str">
        <f>RESUMO!$E$57</f>
        <v>SIM</v>
      </c>
      <c r="AE293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3" s="450">
        <f>MateriaisCampo[[#This Row],[UNIT CRED]]*MateriaisCampo[[#This Row],[QUANTIDADE]]</f>
        <v>0</v>
      </c>
      <c r="AG293" s="451">
        <f>MateriaisCampo[[#This Row],[TOT CRED]]</f>
        <v>0</v>
      </c>
      <c r="AH293" s="452">
        <f>IF(MateriaisCampo[[#This Row],[QUANTIDADE]]&lt;&gt;0,((MateriaisCampo[[#This Row],[TOT CUSTO]]/MateriaisCampo[[#This Row],[QUANTIDADE]])/MateriaisCampo[[#This Row],[MARK-UP]]),0)</f>
        <v>0</v>
      </c>
      <c r="AI293" s="453">
        <f>MateriaisCampo[[#This Row],[UNIT VENDA]]*MateriaisCampo[[#This Row],[QUANTIDADE]]</f>
        <v>0</v>
      </c>
      <c r="AJ293" s="453">
        <f>IFERROR(MateriaisCampo[[#This Row],[VENDA]]*(RESUMO!$F$55/RESUMO!$F$45),0)</f>
        <v>0</v>
      </c>
      <c r="AK293" s="453">
        <f>IFERROR(MateriaisCampo[[#This Row],[VENDA]]*(RESUMO!$F$58/RESUMO!$F$45),0)</f>
        <v>0</v>
      </c>
      <c r="AL293" s="454">
        <f>IF(MateriaisCampo[[#This Row],[FATURAMENTO]]="NORMAL",MateriaisCampo[[#This Row],[VENDA]],0)</f>
        <v>0</v>
      </c>
    </row>
    <row r="294" spans="1:38" x14ac:dyDescent="0.25">
      <c r="A294" s="113"/>
      <c r="B294" s="113"/>
      <c r="C294" s="113"/>
      <c r="D294" s="113"/>
      <c r="E294" s="434"/>
      <c r="F294" s="434">
        <f t="shared" si="4"/>
        <v>0</v>
      </c>
      <c r="G294" s="113"/>
      <c r="H294" s="435"/>
      <c r="I294" s="436"/>
      <c r="J294" s="437"/>
      <c r="K294" s="438"/>
      <c r="L294" s="438"/>
      <c r="M294" s="458"/>
      <c r="N294" s="440">
        <f>MateriaisCampo[[#This Row],[UNIT S/IPI S/DESC]]-MateriaisCampo[[#This Row],[UNIT S/IPI S/DESC]]*MateriaisCampo[[#This Row],[% DESC]]</f>
        <v>0</v>
      </c>
      <c r="O294" s="441" t="s">
        <v>295</v>
      </c>
      <c r="P294" s="442" t="s">
        <v>155</v>
      </c>
      <c r="Q294" s="438">
        <v>1.6500000000000001E-2</v>
      </c>
      <c r="R294" s="438">
        <v>7.5999999999999998E-2</v>
      </c>
      <c r="S294" s="443">
        <f>MateriaisCampo[[#This Row],[UNIT S/ IP + DIF ICMS]]*MateriaisCampo[[#This Row],[QUANTIDADE]]</f>
        <v>0</v>
      </c>
      <c r="T294" s="444">
        <f>MateriaisCampo[[#This Row],[TOTAL S/ IPI]]+(MateriaisCampo[[#This Row],[TOTAL S/ IPI]]*MateriaisCampo[[#This Row],[IPI %]])</f>
        <v>0</v>
      </c>
      <c r="U294" s="445">
        <f>IF(AND(MateriaisCampo[[#This Row],[ICMS %]]&lt;&gt;18%,MateriaisCampo[[#This Row],[ORIGEM]]&lt;&gt;"SÃO PAULO"),((18%-MateriaisCampo[[#This Row],[ICMS %]])*MateriaisCampo[[#This Row],[UNIT S/ IPI C/DESC]]),0)</f>
        <v>0</v>
      </c>
      <c r="V294" s="437">
        <f>MateriaisCampo[[#This Row],[UNIT S/ IPI C/DESC]]*MateriaisCampo[[#This Row],[ICMS %]]</f>
        <v>0</v>
      </c>
      <c r="W294" s="437">
        <f>MateriaisCampo[[#This Row],[ICMS $]]*MateriaisCampo[[#This Row],[QUANTIDADE]]</f>
        <v>0</v>
      </c>
      <c r="X294" s="446">
        <f>MateriaisCampo[[#This Row],[UNIT S/ IPI C/DESC]]+MateriaisCampo[[#This Row],[DIFERENCIAL ICMS]]</f>
        <v>0</v>
      </c>
      <c r="Y294" s="446">
        <f>(MateriaisCampo[[#This Row],[PIS]]*MateriaisCampo[[#This Row],[UNIT S/ IPI C/DESC]])/2</f>
        <v>0</v>
      </c>
      <c r="Z294" s="446">
        <f>(MateriaisCampo[[#This Row],[COFINS]]*MateriaisCampo[[#This Row],[UNIT S/ IPI C/DESC]])/2</f>
        <v>0</v>
      </c>
      <c r="AA294" s="445">
        <f>MateriaisCampo[[#This Row],[UNIT S/ IP + DIF ICMS]]+(MateriaisCampo[[#This Row],[UNIT S/ IP + DIF ICMS]]*MateriaisCampo[[#This Row],[IPI %]])</f>
        <v>0</v>
      </c>
      <c r="AB294" s="448">
        <f>_xlfn.XLOOKUP(MateriaisCampo[[#This Row],[FATURAMENTO]],BASE!$U$48:$U$50,BASE!$W$48:$W$50,0,0,1)</f>
        <v>0.79709863947533133</v>
      </c>
      <c r="AC294" s="510" t="str">
        <f>RESUMO!$E$56</f>
        <v>SIM</v>
      </c>
      <c r="AD294" s="449" t="str">
        <f>RESUMO!$E$57</f>
        <v>SIM</v>
      </c>
      <c r="AE294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4" s="450">
        <f>MateriaisCampo[[#This Row],[UNIT CRED]]*MateriaisCampo[[#This Row],[QUANTIDADE]]</f>
        <v>0</v>
      </c>
      <c r="AG294" s="451">
        <f>MateriaisCampo[[#This Row],[TOT CRED]]</f>
        <v>0</v>
      </c>
      <c r="AH294" s="452">
        <f>IF(MateriaisCampo[[#This Row],[QUANTIDADE]]&lt;&gt;0,((MateriaisCampo[[#This Row],[TOT CUSTO]]/MateriaisCampo[[#This Row],[QUANTIDADE]])/MateriaisCampo[[#This Row],[MARK-UP]]),0)</f>
        <v>0</v>
      </c>
      <c r="AI294" s="453">
        <f>MateriaisCampo[[#This Row],[UNIT VENDA]]*MateriaisCampo[[#This Row],[QUANTIDADE]]</f>
        <v>0</v>
      </c>
      <c r="AJ294" s="453">
        <f>IFERROR(MateriaisCampo[[#This Row],[VENDA]]*(RESUMO!$F$55/RESUMO!$F$45),0)</f>
        <v>0</v>
      </c>
      <c r="AK294" s="453">
        <f>IFERROR(MateriaisCampo[[#This Row],[VENDA]]*(RESUMO!$F$58/RESUMO!$F$45),0)</f>
        <v>0</v>
      </c>
      <c r="AL294" s="454">
        <f>IF(MateriaisCampo[[#This Row],[FATURAMENTO]]="NORMAL",MateriaisCampo[[#This Row],[VENDA]],0)</f>
        <v>0</v>
      </c>
    </row>
    <row r="295" spans="1:38" x14ac:dyDescent="0.25">
      <c r="A295" s="113"/>
      <c r="B295" s="113"/>
      <c r="C295" s="113"/>
      <c r="D295" s="113"/>
      <c r="E295" s="434"/>
      <c r="F295" s="434">
        <f t="shared" si="0"/>
        <v>0</v>
      </c>
      <c r="G295" s="113"/>
      <c r="H295" s="435"/>
      <c r="I295" s="436"/>
      <c r="J295" s="437"/>
      <c r="K295" s="438"/>
      <c r="L295" s="438"/>
      <c r="M295" s="458"/>
      <c r="N295" s="440">
        <f>MateriaisCampo[[#This Row],[UNIT S/IPI S/DESC]]-MateriaisCampo[[#This Row],[UNIT S/IPI S/DESC]]*MateriaisCampo[[#This Row],[% DESC]]</f>
        <v>0</v>
      </c>
      <c r="O295" s="441" t="s">
        <v>295</v>
      </c>
      <c r="P295" s="442" t="s">
        <v>155</v>
      </c>
      <c r="Q295" s="438">
        <v>1.6500000000000001E-2</v>
      </c>
      <c r="R295" s="438">
        <v>7.5999999999999998E-2</v>
      </c>
      <c r="S295" s="443">
        <f>MateriaisCampo[[#This Row],[UNIT S/ IP + DIF ICMS]]*MateriaisCampo[[#This Row],[QUANTIDADE]]</f>
        <v>0</v>
      </c>
      <c r="T295" s="444">
        <f>MateriaisCampo[[#This Row],[TOTAL S/ IPI]]+(MateriaisCampo[[#This Row],[TOTAL S/ IPI]]*MateriaisCampo[[#This Row],[IPI %]])</f>
        <v>0</v>
      </c>
      <c r="U295" s="445">
        <f>IF(AND(MateriaisCampo[[#This Row],[ICMS %]]&lt;&gt;18%,MateriaisCampo[[#This Row],[ORIGEM]]&lt;&gt;"SÃO PAULO"),((18%-MateriaisCampo[[#This Row],[ICMS %]])*MateriaisCampo[[#This Row],[UNIT S/ IPI C/DESC]]),0)</f>
        <v>0</v>
      </c>
      <c r="V295" s="437">
        <f>MateriaisCampo[[#This Row],[UNIT S/ IPI C/DESC]]*MateriaisCampo[[#This Row],[ICMS %]]</f>
        <v>0</v>
      </c>
      <c r="W295" s="437">
        <f>MateriaisCampo[[#This Row],[ICMS $]]*MateriaisCampo[[#This Row],[QUANTIDADE]]</f>
        <v>0</v>
      </c>
      <c r="X295" s="446">
        <f>MateriaisCampo[[#This Row],[UNIT S/ IPI C/DESC]]+MateriaisCampo[[#This Row],[DIFERENCIAL ICMS]]</f>
        <v>0</v>
      </c>
      <c r="Y295" s="446">
        <f>(MateriaisCampo[[#This Row],[PIS]]*MateriaisCampo[[#This Row],[UNIT S/ IPI C/DESC]])/2</f>
        <v>0</v>
      </c>
      <c r="Z295" s="446">
        <f>(MateriaisCampo[[#This Row],[COFINS]]*MateriaisCampo[[#This Row],[UNIT S/ IPI C/DESC]])/2</f>
        <v>0</v>
      </c>
      <c r="AA295" s="445">
        <f>MateriaisCampo[[#This Row],[UNIT S/ IP + DIF ICMS]]+(MateriaisCampo[[#This Row],[UNIT S/ IP + DIF ICMS]]*MateriaisCampo[[#This Row],[IPI %]])</f>
        <v>0</v>
      </c>
      <c r="AB295" s="448">
        <f>_xlfn.XLOOKUP(MateriaisCampo[[#This Row],[FATURAMENTO]],BASE!$U$48:$U$50,BASE!$W$48:$W$50,0,0,1)</f>
        <v>0.79709863947533133</v>
      </c>
      <c r="AC295" s="510" t="str">
        <f>RESUMO!$E$56</f>
        <v>SIM</v>
      </c>
      <c r="AD295" s="449" t="str">
        <f>RESUMO!$E$57</f>
        <v>SIM</v>
      </c>
      <c r="AE295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5" s="450">
        <f>MateriaisCampo[[#This Row],[UNIT CRED]]*MateriaisCampo[[#This Row],[QUANTIDADE]]</f>
        <v>0</v>
      </c>
      <c r="AG295" s="451">
        <f>MateriaisCampo[[#This Row],[TOT CRED]]</f>
        <v>0</v>
      </c>
      <c r="AH295" s="452">
        <f>IF(MateriaisCampo[[#This Row],[QUANTIDADE]]&lt;&gt;0,((MateriaisCampo[[#This Row],[TOT CUSTO]]/MateriaisCampo[[#This Row],[QUANTIDADE]])/MateriaisCampo[[#This Row],[MARK-UP]]),0)</f>
        <v>0</v>
      </c>
      <c r="AI295" s="453">
        <f>MateriaisCampo[[#This Row],[UNIT VENDA]]*MateriaisCampo[[#This Row],[QUANTIDADE]]</f>
        <v>0</v>
      </c>
      <c r="AJ295" s="453">
        <f>IFERROR(MateriaisCampo[[#This Row],[VENDA]]*(RESUMO!$F$55/RESUMO!$F$45),0)</f>
        <v>0</v>
      </c>
      <c r="AK295" s="453">
        <f>IFERROR(MateriaisCampo[[#This Row],[VENDA]]*(RESUMO!$F$58/RESUMO!$F$45),0)</f>
        <v>0</v>
      </c>
      <c r="AL295" s="454">
        <f>IF(MateriaisCampo[[#This Row],[FATURAMENTO]]="NORMAL",MateriaisCampo[[#This Row],[VENDA]],0)</f>
        <v>0</v>
      </c>
    </row>
    <row r="296" spans="1:38" x14ac:dyDescent="0.25">
      <c r="A296" s="113"/>
      <c r="B296" s="113"/>
      <c r="C296" s="113"/>
      <c r="D296" s="113"/>
      <c r="E296" s="434"/>
      <c r="F296" s="434">
        <f t="shared" si="0"/>
        <v>0</v>
      </c>
      <c r="G296" s="113"/>
      <c r="H296" s="435"/>
      <c r="I296" s="436"/>
      <c r="J296" s="437"/>
      <c r="K296" s="438"/>
      <c r="L296" s="438"/>
      <c r="M296" s="458"/>
      <c r="N296" s="440">
        <f>MateriaisCampo[[#This Row],[UNIT S/IPI S/DESC]]-MateriaisCampo[[#This Row],[UNIT S/IPI S/DESC]]*MateriaisCampo[[#This Row],[% DESC]]</f>
        <v>0</v>
      </c>
      <c r="O296" s="441" t="s">
        <v>295</v>
      </c>
      <c r="P296" s="442" t="s">
        <v>155</v>
      </c>
      <c r="Q296" s="438">
        <v>1.6500000000000001E-2</v>
      </c>
      <c r="R296" s="438">
        <v>7.5999999999999998E-2</v>
      </c>
      <c r="S296" s="443">
        <f>MateriaisCampo[[#This Row],[UNIT S/ IP + DIF ICMS]]*MateriaisCampo[[#This Row],[QUANTIDADE]]</f>
        <v>0</v>
      </c>
      <c r="T296" s="444">
        <f>MateriaisCampo[[#This Row],[TOTAL S/ IPI]]+(MateriaisCampo[[#This Row],[TOTAL S/ IPI]]*MateriaisCampo[[#This Row],[IPI %]])</f>
        <v>0</v>
      </c>
      <c r="U296" s="445">
        <f>IF(AND(MateriaisCampo[[#This Row],[ICMS %]]&lt;&gt;18%,MateriaisCampo[[#This Row],[ORIGEM]]&lt;&gt;"SÃO PAULO"),((18%-MateriaisCampo[[#This Row],[ICMS %]])*MateriaisCampo[[#This Row],[UNIT S/ IPI C/DESC]]),0)</f>
        <v>0</v>
      </c>
      <c r="V296" s="437">
        <f>MateriaisCampo[[#This Row],[UNIT S/ IPI C/DESC]]*MateriaisCampo[[#This Row],[ICMS %]]</f>
        <v>0</v>
      </c>
      <c r="W296" s="437">
        <f>MateriaisCampo[[#This Row],[ICMS $]]*MateriaisCampo[[#This Row],[QUANTIDADE]]</f>
        <v>0</v>
      </c>
      <c r="X296" s="446">
        <f>MateriaisCampo[[#This Row],[UNIT S/ IPI C/DESC]]+MateriaisCampo[[#This Row],[DIFERENCIAL ICMS]]</f>
        <v>0</v>
      </c>
      <c r="Y296" s="446">
        <f>(MateriaisCampo[[#This Row],[PIS]]*MateriaisCampo[[#This Row],[UNIT S/ IPI C/DESC]])/2</f>
        <v>0</v>
      </c>
      <c r="Z296" s="446">
        <f>(MateriaisCampo[[#This Row],[COFINS]]*MateriaisCampo[[#This Row],[UNIT S/ IPI C/DESC]])/2</f>
        <v>0</v>
      </c>
      <c r="AA296" s="445">
        <f>MateriaisCampo[[#This Row],[UNIT S/ IP + DIF ICMS]]+(MateriaisCampo[[#This Row],[UNIT S/ IP + DIF ICMS]]*MateriaisCampo[[#This Row],[IPI %]])</f>
        <v>0</v>
      </c>
      <c r="AB296" s="448">
        <f>_xlfn.XLOOKUP(MateriaisCampo[[#This Row],[FATURAMENTO]],BASE!$U$48:$U$50,BASE!$W$48:$W$50,0,0,1)</f>
        <v>0.79709863947533133</v>
      </c>
      <c r="AC296" s="510" t="str">
        <f>RESUMO!$E$56</f>
        <v>SIM</v>
      </c>
      <c r="AD296" s="449" t="str">
        <f>RESUMO!$E$57</f>
        <v>SIM</v>
      </c>
      <c r="AE296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6" s="450">
        <f>MateriaisCampo[[#This Row],[UNIT CRED]]*MateriaisCampo[[#This Row],[QUANTIDADE]]</f>
        <v>0</v>
      </c>
      <c r="AG296" s="451">
        <f>MateriaisCampo[[#This Row],[TOT CRED]]</f>
        <v>0</v>
      </c>
      <c r="AH296" s="452">
        <f>IF(MateriaisCampo[[#This Row],[QUANTIDADE]]&lt;&gt;0,((MateriaisCampo[[#This Row],[TOT CUSTO]]/MateriaisCampo[[#This Row],[QUANTIDADE]])/MateriaisCampo[[#This Row],[MARK-UP]]),0)</f>
        <v>0</v>
      </c>
      <c r="AI296" s="453">
        <f>MateriaisCampo[[#This Row],[UNIT VENDA]]*MateriaisCampo[[#This Row],[QUANTIDADE]]</f>
        <v>0</v>
      </c>
      <c r="AJ296" s="453">
        <f>IFERROR(MateriaisCampo[[#This Row],[VENDA]]*(RESUMO!$F$55/RESUMO!$F$45),0)</f>
        <v>0</v>
      </c>
      <c r="AK296" s="453">
        <f>IFERROR(MateriaisCampo[[#This Row],[VENDA]]*(RESUMO!$F$58/RESUMO!$F$45),0)</f>
        <v>0</v>
      </c>
      <c r="AL296" s="454">
        <f>IF(MateriaisCampo[[#This Row],[FATURAMENTO]]="NORMAL",MateriaisCampo[[#This Row],[VENDA]],0)</f>
        <v>0</v>
      </c>
    </row>
    <row r="297" spans="1:38" ht="15" thickBot="1" x14ac:dyDescent="0.3">
      <c r="A297" s="113"/>
      <c r="B297" s="113"/>
      <c r="C297" s="113"/>
      <c r="D297" s="113"/>
      <c r="E297" s="434"/>
      <c r="F297" s="434">
        <f t="shared" si="0"/>
        <v>0</v>
      </c>
      <c r="G297" s="113"/>
      <c r="H297" s="435"/>
      <c r="I297" s="436"/>
      <c r="J297" s="437"/>
      <c r="K297" s="438"/>
      <c r="L297" s="438"/>
      <c r="M297" s="512"/>
      <c r="N297" s="440">
        <f>MateriaisCampo[[#This Row],[UNIT S/IPI S/DESC]]-MateriaisCampo[[#This Row],[UNIT S/IPI S/DESC]]*MateriaisCampo[[#This Row],[% DESC]]</f>
        <v>0</v>
      </c>
      <c r="O297" s="441" t="s">
        <v>295</v>
      </c>
      <c r="P297" s="442" t="s">
        <v>155</v>
      </c>
      <c r="Q297" s="438">
        <v>1.6500000000000001E-2</v>
      </c>
      <c r="R297" s="438">
        <v>7.5999999999999998E-2</v>
      </c>
      <c r="S297" s="443">
        <f>MateriaisCampo[[#This Row],[UNIT S/ IP + DIF ICMS]]*MateriaisCampo[[#This Row],[QUANTIDADE]]</f>
        <v>0</v>
      </c>
      <c r="T297" s="444">
        <f>MateriaisCampo[[#This Row],[TOTAL S/ IPI]]+(MateriaisCampo[[#This Row],[TOTAL S/ IPI]]*MateriaisCampo[[#This Row],[IPI %]])</f>
        <v>0</v>
      </c>
      <c r="U297" s="445">
        <f>IF(AND(MateriaisCampo[[#This Row],[ICMS %]]&lt;&gt;18%,MateriaisCampo[[#This Row],[ORIGEM]]&lt;&gt;"SÃO PAULO"),((18%-MateriaisCampo[[#This Row],[ICMS %]])*MateriaisCampo[[#This Row],[UNIT S/ IPI C/DESC]]),0)</f>
        <v>0</v>
      </c>
      <c r="V297" s="437">
        <f>MateriaisCampo[[#This Row],[UNIT S/ IPI C/DESC]]*MateriaisCampo[[#This Row],[ICMS %]]</f>
        <v>0</v>
      </c>
      <c r="W297" s="437">
        <f>MateriaisCampo[[#This Row],[ICMS $]]*MateriaisCampo[[#This Row],[QUANTIDADE]]</f>
        <v>0</v>
      </c>
      <c r="X297" s="446">
        <f>MateriaisCampo[[#This Row],[UNIT S/ IPI C/DESC]]+MateriaisCampo[[#This Row],[DIFERENCIAL ICMS]]</f>
        <v>0</v>
      </c>
      <c r="Y297" s="446">
        <f>(MateriaisCampo[[#This Row],[PIS]]*MateriaisCampo[[#This Row],[UNIT S/ IPI C/DESC]])/2</f>
        <v>0</v>
      </c>
      <c r="Z297" s="446">
        <f>(MateriaisCampo[[#This Row],[COFINS]]*MateriaisCampo[[#This Row],[UNIT S/ IPI C/DESC]])/2</f>
        <v>0</v>
      </c>
      <c r="AA297" s="445">
        <f>MateriaisCampo[[#This Row],[UNIT S/ IP + DIF ICMS]]+(MateriaisCampo[[#This Row],[UNIT S/ IP + DIF ICMS]]*MateriaisCampo[[#This Row],[IPI %]])</f>
        <v>0</v>
      </c>
      <c r="AB297" s="448">
        <f>_xlfn.XLOOKUP(MateriaisCampo[[#This Row],[FATURAMENTO]],BASE!$U$48:$U$50,BASE!$W$48:$W$50,0,0,1)</f>
        <v>0.79709863947533133</v>
      </c>
      <c r="AC297" s="510" t="str">
        <f>RESUMO!$E$56</f>
        <v>SIM</v>
      </c>
      <c r="AD297" s="449" t="str">
        <f>RESUMO!$E$57</f>
        <v>SIM</v>
      </c>
      <c r="AE297" s="450">
        <f>IF(AND(MateriaisCampo[[#This Row],[CRED ICMS]]="SIM",MateriaisCampo[[#This Row],[CREDITO IPI]]="SIM",RESUMO!$M$10="LUCRO REAL"),MateriaisCampo[[#This Row],[UNIT C/ IPI]]-MateriaisCampo[[#This Row],[ICMS $]]+MateriaisCampo[[#This Row],[DIFERENCIAL ICMS]]-(MateriaisCampo[[#This Row],[UNIT C/ IPI]]-MateriaisCampo[[#This Row],[UNIT S/ IPI C/DESC]])-MateriaisCampo[[#This Row],[PIS R$]]-MateriaisCampo[[#This Row],[COFINS R$]],IF(AND(MateriaisCampo[[#This Row],[CRED ICMS]]="SIM",MateriaisCampo[[#This Row],[CREDITO IPI]]="SIM"),MateriaisCampo[[#This Row],[UNIT C/ IPI]]-MateriaisCampo[[#This Row],[ICMS $]]+MateriaisCampo[[#This Row],[DIFERENCIAL ICMS]]-(MateriaisCampo[[#This Row],[UNIT C/ IPI]]-MateriaisCampo[[#This Row],[UNIT S/ IPI C/DESC]]),IF(AND(MateriaisCampo[[#This Row],[CRED ICMS]]="NÃO",MateriaisCampo[[#This Row],[CREDITO IPI]]="SIM"),MateriaisCampo[[#This Row],[UNIT C/ IPI]]+MateriaisCampo[[#This Row],[DIFERENCIAL ICMS]]-(MateriaisCampo[[#This Row],[UNIT C/ IPI]]-MateriaisCampo[[#This Row],[UNIT S/ IPI C/DESC]]),IF(AND(MateriaisCampo[[#This Row],[CRED ICMS]]="SIM",MateriaisCampo[[#This Row],[CREDITO IPI]]="NÃO"),MateriaisCampo[[#This Row],[UNIT C/ IPI]]-MateriaisCampo[[#This Row],[ICMS $]]+MateriaisCampo[[#This Row],[DIFERENCIAL ICMS]]-MateriaisCampo[[#This Row],[PIS R$]]-MateriaisCampo[[#This Row],[COFINS R$]],IF(AND(MateriaisCampo[[#This Row],[CRED ICMS]]="NÃO",MateriaisCampo[[#This Row],[CREDITO IPI]]="NÃO"),MateriaisCampo[[#This Row],[UNIT C/ IPI]]+MateriaisCampo[[#This Row],[DIFERENCIAL ICMS]],0)))))</f>
        <v>0</v>
      </c>
      <c r="AF297" s="450">
        <f>MateriaisCampo[[#This Row],[UNIT CRED]]*MateriaisCampo[[#This Row],[QUANTIDADE]]</f>
        <v>0</v>
      </c>
      <c r="AG297" s="451">
        <f>MateriaisCampo[[#This Row],[TOT CRED]]</f>
        <v>0</v>
      </c>
      <c r="AH297" s="452">
        <f>IF(MateriaisCampo[[#This Row],[QUANTIDADE]]&lt;&gt;0,((MateriaisCampo[[#This Row],[TOT CUSTO]]/MateriaisCampo[[#This Row],[QUANTIDADE]])/MateriaisCampo[[#This Row],[MARK-UP]]),0)</f>
        <v>0</v>
      </c>
      <c r="AI297" s="453">
        <f>MateriaisCampo[[#This Row],[UNIT VENDA]]*MateriaisCampo[[#This Row],[QUANTIDADE]]</f>
        <v>0</v>
      </c>
      <c r="AJ297" s="453">
        <f>IFERROR(MateriaisCampo[[#This Row],[VENDA]]*(RESUMO!$F$55/RESUMO!$F$45),0)</f>
        <v>0</v>
      </c>
      <c r="AK297" s="453">
        <f>IFERROR(MateriaisCampo[[#This Row],[VENDA]]*(RESUMO!$F$58/RESUMO!$F$45),0)</f>
        <v>0</v>
      </c>
      <c r="AL297" s="454">
        <f>IF(MateriaisCampo[[#This Row],[FATURAMENTO]]="NORMAL",MateriaisCampo[[#This Row],[VENDA]],0)</f>
        <v>0</v>
      </c>
    </row>
    <row r="298" spans="1:38" x14ac:dyDescent="0.35">
      <c r="A298" s="513"/>
      <c r="B298" s="513"/>
      <c r="C298" s="113"/>
      <c r="D298" s="113"/>
      <c r="E298" s="113"/>
      <c r="F298" s="434">
        <f>SUBTOTAL(101,MateriaisCampo[PRAZO PAGAMENTO])</f>
        <v>0</v>
      </c>
      <c r="G298" s="113"/>
      <c r="H298" s="113"/>
      <c r="I298" s="435"/>
      <c r="J298" s="435"/>
      <c r="K298" s="435"/>
      <c r="L298" s="453"/>
      <c r="M298" s="514"/>
      <c r="N298" s="435"/>
      <c r="O298" s="435"/>
      <c r="P298" s="453"/>
      <c r="Q298" s="515"/>
      <c r="R298" s="515"/>
      <c r="S298" s="453">
        <f>SUBTOTAL(109,MateriaisCampo[TOTAL S/ IPI])</f>
        <v>206022.73780670477</v>
      </c>
      <c r="T298" s="453">
        <f>SUBTOTAL(109,MateriaisCampo[TOTAL C/ IPI])</f>
        <v>210754.8866567048</v>
      </c>
      <c r="U298" s="453">
        <f>SUBTOTAL(109,MateriaisCampo[DIFERENCIAL ICMS])</f>
        <v>0</v>
      </c>
      <c r="V298" s="453">
        <f>SUBTOTAL(109,MateriaisCampo[ICMS $])</f>
        <v>5567.0072538647819</v>
      </c>
      <c r="W298" s="453">
        <f>SUBTOTAL(109,MateriaisCampo[TOTAL ICMS $])</f>
        <v>33503.865548064001</v>
      </c>
      <c r="X298" s="453">
        <f>SUBTOTAL(109,MateriaisCampo[UNIT S/ IP + DIF ICMS])</f>
        <v>39648.209505597995</v>
      </c>
      <c r="Y298" s="453">
        <f>SUBTOTAL(109,MateriaisCampo[PIS R$])</f>
        <v>327.09772842118343</v>
      </c>
      <c r="Z298" s="453">
        <f>SUBTOTAL(109,MateriaisCampo[COFINS R$])</f>
        <v>1506.6319612127236</v>
      </c>
      <c r="AA298" s="453">
        <f>SUBTOTAL(109,MateriaisCampo[UNIT C/ IPI])</f>
        <v>40162.559809597995</v>
      </c>
      <c r="AB298" s="453">
        <f>SUBTOTAL(109,MateriaisCampo[MARK-UP])</f>
        <v>230.36150680837179</v>
      </c>
      <c r="AC298" s="453">
        <f>SUBTOTAL(109,MateriaisCampo[CRED ICMS])</f>
        <v>0</v>
      </c>
      <c r="AD298" s="453">
        <f>SUBTOTAL(109,MateriaisCampo[CREDITO IPI])</f>
        <v>0</v>
      </c>
      <c r="AE298" s="453">
        <f>SUBTOTAL(109,MateriaisCampo[UNIT CRED])</f>
        <v>32247.472562099312</v>
      </c>
      <c r="AF298" s="453">
        <f>SUBTOTAL(109,MateriaisCampo[TOT CRED])</f>
        <v>162990.32063508069</v>
      </c>
      <c r="AG298" s="453">
        <f>SUBTOTAL(109,MateriaisCampo[TOT CUSTO])</f>
        <v>162990.32063508069</v>
      </c>
      <c r="AH298" s="453">
        <f>SUBTOTAL(109,MateriaisCampo[UNIT VENDA])</f>
        <v>40089.503989284211</v>
      </c>
      <c r="AI298" s="453">
        <f>SUBTOTAL(109,MateriaisCampo[VENDA])</f>
        <v>204479.48668230654</v>
      </c>
      <c r="AJ298" s="453">
        <f>SUBTOTAL(109,MateriaisCampo[S/ IPI])</f>
        <v>259656.4910251511</v>
      </c>
      <c r="AK298" s="453">
        <f>SUBTOTAL(109,MateriaisCampo[C/ IPI])</f>
        <v>259656.4910251511</v>
      </c>
      <c r="AL298" s="516">
        <f>SUBTOTAL(109,MateriaisCampo[CUSTO FIXO])</f>
        <v>204479.48668230654</v>
      </c>
    </row>
    <row r="325" ht="14.5" customHeight="1" x14ac:dyDescent="0.35"/>
    <row r="326" ht="14.5" customHeight="1" x14ac:dyDescent="0.35"/>
  </sheetData>
  <sheetProtection formatCells="0" formatColumns="0" formatRows="0" insertRows="0" insertHyperlinks="0" deleteRows="0" sort="0" autoFilter="0" pivotTables="0"/>
  <phoneticPr fontId="25" type="noConversion"/>
  <conditionalFormatting sqref="K9:K10 Q9:R297 L12:L69 K13:K69 K70:L297">
    <cfRule type="cellIs" dxfId="4" priority="10" operator="equal">
      <formula>0</formula>
    </cfRule>
  </conditionalFormatting>
  <conditionalFormatting sqref="K12:L12">
    <cfRule type="cellIs" dxfId="3" priority="2" operator="equal">
      <formula>0</formula>
    </cfRule>
  </conditionalFormatting>
  <conditionalFormatting sqref="L9:L10">
    <cfRule type="cellIs" dxfId="2" priority="9" operator="equal">
      <formula>0</formula>
    </cfRule>
  </conditionalFormatting>
  <dataValidations disablePrompts="1" count="1">
    <dataValidation type="whole" allowBlank="1" showInputMessage="1" showErrorMessage="1" sqref="F9:F297" xr:uid="{5D1520AF-7BAC-43C4-9DC5-3CAEE64502AE}">
      <formula1>0</formula1>
      <formula2>200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2"/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B6C54112-EE63-4F1A-B105-2D34048E784B}">
          <x14:formula1>
            <xm:f>BASE!$N$3:$N$5</xm:f>
          </x14:formula1>
          <xm:sqref>P9:P297</xm:sqref>
        </x14:dataValidation>
        <x14:dataValidation type="list" allowBlank="1" showInputMessage="1" showErrorMessage="1" xr:uid="{2E7F481D-D368-4365-9FB3-536729AA06A7}">
          <x14:formula1>
            <xm:f>BASE!$P$3:$P$30</xm:f>
          </x14:formula1>
          <xm:sqref>O9:O297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7">
    <tabColor theme="9" tint="0.59999389629810485"/>
  </sheetPr>
  <dimension ref="A1:AS357"/>
  <sheetViews>
    <sheetView showGridLines="0" zoomScaleNormal="100" workbookViewId="0">
      <selection activeCell="AS17" sqref="AS17"/>
    </sheetView>
  </sheetViews>
  <sheetFormatPr defaultColWidth="8.81640625" defaultRowHeight="14.5" x14ac:dyDescent="0.35"/>
  <cols>
    <col min="1" max="1" width="22.26953125" style="57" customWidth="1"/>
    <col min="2" max="2" width="21.26953125" style="57" customWidth="1"/>
    <col min="3" max="3" width="86" style="57" customWidth="1"/>
    <col min="4" max="4" width="15.26953125" style="57" bestFit="1" customWidth="1"/>
    <col min="5" max="5" width="18" style="247" bestFit="1" customWidth="1"/>
    <col min="6" max="6" width="16" style="247" bestFit="1" customWidth="1"/>
    <col min="7" max="7" width="21.7265625" style="57" customWidth="1"/>
    <col min="8" max="8" width="9.26953125" style="57" bestFit="1" customWidth="1"/>
    <col min="9" max="9" width="16.1796875" style="57" bestFit="1" customWidth="1"/>
    <col min="10" max="10" width="19.81640625" style="57" bestFit="1" customWidth="1"/>
    <col min="11" max="11" width="11.26953125" style="57" bestFit="1" customWidth="1"/>
    <col min="12" max="12" width="9.1796875" style="57" bestFit="1" customWidth="1"/>
    <col min="13" max="13" width="9.26953125" style="356" customWidth="1"/>
    <col min="14" max="14" width="20.54296875" style="57" bestFit="1" customWidth="1"/>
    <col min="15" max="15" width="18.26953125" customWidth="1"/>
    <col min="16" max="16" width="15" style="57" customWidth="1"/>
    <col min="17" max="17" width="18" style="228" bestFit="1" customWidth="1"/>
    <col min="18" max="18" width="12" style="228" bestFit="1" customWidth="1"/>
    <col min="19" max="19" width="11.54296875" style="57" bestFit="1" customWidth="1"/>
    <col min="20" max="20" width="15.453125" style="57" bestFit="1" customWidth="1"/>
    <col min="21" max="21" width="21.54296875" style="57" customWidth="1"/>
    <col min="22" max="22" width="11.1796875" style="57" hidden="1" customWidth="1"/>
    <col min="23" max="23" width="11" style="57" hidden="1" customWidth="1"/>
    <col min="24" max="24" width="14.7265625" style="57" hidden="1" customWidth="1"/>
    <col min="25" max="25" width="16.81640625" style="57" hidden="1" customWidth="1"/>
    <col min="26" max="26" width="23" style="106" hidden="1" customWidth="1"/>
    <col min="27" max="27" width="14.1796875" style="106" hidden="1" customWidth="1"/>
    <col min="28" max="28" width="13.26953125" style="106" hidden="1" customWidth="1"/>
    <col min="29" max="29" width="15.1796875" style="106" hidden="1" customWidth="1"/>
    <col min="30" max="30" width="15.7265625" style="106" hidden="1" customWidth="1"/>
    <col min="31" max="31" width="15" style="106" hidden="1" customWidth="1"/>
    <col min="32" max="32" width="14.26953125" style="57" hidden="1" customWidth="1"/>
    <col min="33" max="33" width="15.26953125" style="57" hidden="1" customWidth="1"/>
    <col min="34" max="34" width="16.81640625" style="57" hidden="1" customWidth="1"/>
    <col min="35" max="35" width="13.81640625" style="57" hidden="1" customWidth="1"/>
    <col min="36" max="36" width="18.81640625" style="57" customWidth="1"/>
    <col min="37" max="37" width="19.1796875" style="57" bestFit="1" customWidth="1"/>
    <col min="38" max="38" width="15.453125" style="57" hidden="1" customWidth="1"/>
    <col min="39" max="39" width="15.453125" style="25" hidden="1" customWidth="1"/>
    <col min="40" max="40" width="9.81640625" style="25" bestFit="1" customWidth="1"/>
    <col min="41" max="42" width="8.81640625" style="25"/>
    <col min="43" max="43" width="17.453125" style="25" bestFit="1" customWidth="1"/>
    <col min="44" max="44" width="13.453125" style="25" bestFit="1" customWidth="1"/>
    <col min="45" max="45" width="13.54296875" style="25" bestFit="1" customWidth="1"/>
    <col min="46" max="16384" width="8.81640625" style="25"/>
  </cols>
  <sheetData>
    <row r="1" spans="1:45" s="5" customFormat="1" ht="11.5" x14ac:dyDescent="0.25">
      <c r="E1" s="246"/>
      <c r="F1" s="246"/>
      <c r="M1" s="353"/>
      <c r="P1" s="226"/>
      <c r="Q1" s="226"/>
      <c r="Y1" s="94"/>
      <c r="Z1" s="94"/>
      <c r="AA1" s="94"/>
      <c r="AB1" s="94"/>
      <c r="AC1" s="94"/>
      <c r="AD1" s="94"/>
      <c r="AP1" s="57"/>
      <c r="AQ1" s="57"/>
      <c r="AR1" s="57"/>
    </row>
    <row r="2" spans="1:45" s="8" customFormat="1" ht="20.5" customHeight="1" x14ac:dyDescent="0.35">
      <c r="A2" s="739" t="s">
        <v>362</v>
      </c>
      <c r="B2" s="739"/>
      <c r="C2" s="740"/>
      <c r="D2" s="9"/>
      <c r="E2" s="9"/>
      <c r="F2" s="9"/>
      <c r="G2" s="9"/>
      <c r="H2" s="9"/>
      <c r="I2" s="9"/>
      <c r="J2" s="9"/>
      <c r="K2" s="9"/>
      <c r="L2" s="9"/>
      <c r="M2" s="400"/>
      <c r="N2" s="9"/>
      <c r="O2" s="9"/>
      <c r="P2" s="9"/>
      <c r="Q2" s="9"/>
      <c r="R2" s="9"/>
      <c r="S2" s="9"/>
      <c r="T2" s="9"/>
      <c r="U2" s="9"/>
      <c r="V2" s="399"/>
      <c r="W2" s="96"/>
      <c r="X2" s="736" t="s">
        <v>67</v>
      </c>
      <c r="Y2" s="736"/>
      <c r="Z2" s="736"/>
      <c r="AA2" s="95"/>
      <c r="AB2" s="96"/>
      <c r="AC2" s="96"/>
      <c r="AD2" s="96"/>
      <c r="AE2" s="737">
        <v>0</v>
      </c>
      <c r="AF2" s="737"/>
      <c r="AO2" s="9"/>
      <c r="AP2" s="265"/>
      <c r="AQ2" s="265"/>
      <c r="AR2" s="265"/>
    </row>
    <row r="3" spans="1:45" s="8" customFormat="1" ht="20.5" customHeight="1" x14ac:dyDescent="0.35">
      <c r="A3" s="739"/>
      <c r="B3" s="739"/>
      <c r="C3" s="740"/>
      <c r="D3" s="9"/>
      <c r="E3" s="9"/>
      <c r="F3" s="9"/>
      <c r="G3" s="9"/>
      <c r="H3" s="9"/>
      <c r="I3" s="9"/>
      <c r="J3" s="9"/>
      <c r="K3" s="9"/>
      <c r="L3" s="9"/>
      <c r="M3" s="400"/>
      <c r="N3" s="9"/>
      <c r="O3" s="9"/>
      <c r="P3" s="9"/>
      <c r="Q3" s="9"/>
      <c r="R3" s="9"/>
      <c r="S3" s="9"/>
      <c r="T3" s="9"/>
      <c r="U3" s="9"/>
      <c r="V3" s="399"/>
      <c r="W3" s="96"/>
      <c r="X3" s="736" t="s">
        <v>282</v>
      </c>
      <c r="Y3" s="736"/>
      <c r="Z3" s="736"/>
      <c r="AA3" s="95"/>
      <c r="AB3" s="96"/>
      <c r="AC3" s="96"/>
      <c r="AD3" s="96"/>
      <c r="AE3" s="737" t="s">
        <v>283</v>
      </c>
      <c r="AF3" s="737"/>
      <c r="AO3" s="9"/>
      <c r="AP3" s="265"/>
      <c r="AQ3" s="265"/>
      <c r="AR3" s="265"/>
    </row>
    <row r="4" spans="1:45" s="8" customFormat="1" ht="20.5" customHeight="1" x14ac:dyDescent="0.35">
      <c r="A4" s="739"/>
      <c r="B4" s="739"/>
      <c r="C4" s="740"/>
      <c r="D4" s="9"/>
      <c r="E4" s="9"/>
      <c r="F4" s="9"/>
      <c r="G4" s="9"/>
      <c r="H4" s="9"/>
      <c r="I4" s="9"/>
      <c r="J4" s="9"/>
      <c r="K4" s="9"/>
      <c r="L4" s="9"/>
      <c r="M4" s="400"/>
      <c r="N4" s="9"/>
      <c r="O4" s="9"/>
      <c r="P4" s="9"/>
      <c r="Q4" s="9"/>
      <c r="R4" s="9"/>
      <c r="S4" s="9"/>
      <c r="T4" s="9"/>
      <c r="U4" s="9"/>
      <c r="V4" s="399"/>
      <c r="W4" s="96"/>
      <c r="X4" s="736" t="s">
        <v>279</v>
      </c>
      <c r="Y4" s="736"/>
      <c r="Z4" s="736"/>
      <c r="AA4" s="95"/>
      <c r="AB4" s="96"/>
      <c r="AC4" s="96"/>
      <c r="AD4" s="96"/>
      <c r="AE4" s="738">
        <v>43420</v>
      </c>
      <c r="AF4" s="738"/>
      <c r="AM4" s="10"/>
      <c r="AN4" s="10"/>
      <c r="AO4" s="9"/>
      <c r="AP4" s="265"/>
      <c r="AQ4" s="265"/>
      <c r="AR4" s="265"/>
    </row>
    <row r="5" spans="1:45" s="5" customFormat="1" ht="11.5" x14ac:dyDescent="0.25">
      <c r="A5" s="97"/>
      <c r="B5" s="97"/>
      <c r="C5" s="97"/>
      <c r="D5" s="97"/>
      <c r="E5" s="130"/>
      <c r="F5" s="130"/>
      <c r="G5" s="97"/>
      <c r="H5" s="97"/>
      <c r="I5" s="97"/>
      <c r="J5" s="97"/>
      <c r="K5" s="97"/>
      <c r="L5" s="97"/>
      <c r="M5" s="354"/>
      <c r="N5" s="97"/>
      <c r="O5" s="97"/>
      <c r="P5" s="227"/>
      <c r="Q5" s="227"/>
      <c r="R5" s="97"/>
      <c r="S5" s="97"/>
      <c r="T5" s="97"/>
      <c r="U5" s="97"/>
      <c r="V5" s="97"/>
      <c r="W5" s="97"/>
      <c r="X5" s="97"/>
      <c r="Y5" s="98"/>
      <c r="Z5" s="98"/>
      <c r="AA5" s="98"/>
      <c r="AB5" s="98"/>
      <c r="AC5" s="98"/>
      <c r="AD5" s="98"/>
      <c r="AE5" s="97"/>
      <c r="AP5" s="57"/>
      <c r="AQ5" s="57"/>
      <c r="AR5" s="57"/>
    </row>
    <row r="6" spans="1:45" s="5" customFormat="1" ht="11.5" x14ac:dyDescent="0.25">
      <c r="A6" s="97"/>
      <c r="B6" s="97"/>
      <c r="C6" s="97"/>
      <c r="D6" s="97"/>
      <c r="E6" s="130"/>
      <c r="F6" s="130"/>
      <c r="G6" s="97"/>
      <c r="H6" s="97"/>
      <c r="I6" s="97"/>
      <c r="J6" s="97"/>
      <c r="K6" s="97"/>
      <c r="L6" s="97"/>
      <c r="M6" s="354"/>
      <c r="N6" s="97"/>
      <c r="O6" s="97"/>
      <c r="P6" s="227"/>
      <c r="Q6" s="227"/>
      <c r="R6" s="97"/>
      <c r="S6" s="97"/>
      <c r="T6" s="97"/>
      <c r="U6" s="97"/>
      <c r="V6" s="97"/>
      <c r="W6" s="97"/>
      <c r="X6" s="97"/>
      <c r="Y6" s="98"/>
      <c r="Z6" s="98"/>
      <c r="AA6" s="98"/>
      <c r="AB6" s="98"/>
      <c r="AC6" s="98"/>
      <c r="AD6" s="98"/>
      <c r="AP6" s="57"/>
      <c r="AQ6" s="57"/>
      <c r="AR6" s="57"/>
    </row>
    <row r="7" spans="1:45" s="11" customFormat="1" ht="15" customHeight="1" x14ac:dyDescent="0.25">
      <c r="A7" s="352" t="s">
        <v>69</v>
      </c>
      <c r="B7" s="352"/>
      <c r="C7" s="352"/>
      <c r="D7" s="352"/>
      <c r="E7" s="352"/>
      <c r="F7" s="352">
        <v>0</v>
      </c>
      <c r="G7" s="352"/>
      <c r="H7" s="352"/>
      <c r="I7" s="352"/>
      <c r="J7" s="352"/>
      <c r="K7" s="352"/>
      <c r="L7" s="352"/>
      <c r="M7" s="355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96" t="s">
        <v>132</v>
      </c>
      <c r="AH7" s="384"/>
      <c r="AI7" s="395" t="s">
        <v>132</v>
      </c>
      <c r="AJ7" s="395" t="s">
        <v>132</v>
      </c>
      <c r="AK7" s="395" t="s">
        <v>132</v>
      </c>
      <c r="AP7" s="255"/>
      <c r="AQ7" s="255"/>
      <c r="AR7" s="255"/>
    </row>
    <row r="8" spans="1:45" s="11" customFormat="1" ht="23.5" thickBot="1" x14ac:dyDescent="0.4">
      <c r="A8" s="381" t="s">
        <v>331</v>
      </c>
      <c r="B8" s="381" t="s">
        <v>96</v>
      </c>
      <c r="C8" s="381" t="s">
        <v>38</v>
      </c>
      <c r="D8" s="381" t="s">
        <v>333</v>
      </c>
      <c r="E8" s="381" t="s">
        <v>287</v>
      </c>
      <c r="F8" s="382" t="s">
        <v>288</v>
      </c>
      <c r="G8" s="381" t="s">
        <v>137</v>
      </c>
      <c r="H8" s="381" t="s">
        <v>363</v>
      </c>
      <c r="I8" s="381" t="s">
        <v>109</v>
      </c>
      <c r="J8" s="381" t="s">
        <v>335</v>
      </c>
      <c r="K8" s="381" t="s">
        <v>336</v>
      </c>
      <c r="L8" s="381" t="s">
        <v>337</v>
      </c>
      <c r="M8" s="386" t="s">
        <v>364</v>
      </c>
      <c r="N8" s="379" t="s">
        <v>339</v>
      </c>
      <c r="O8" s="381" t="s">
        <v>289</v>
      </c>
      <c r="P8" s="381" t="s">
        <v>291</v>
      </c>
      <c r="Q8" s="380" t="s">
        <v>100</v>
      </c>
      <c r="R8" s="380" t="s">
        <v>101</v>
      </c>
      <c r="S8" s="381" t="s">
        <v>340</v>
      </c>
      <c r="T8" s="381" t="s">
        <v>341</v>
      </c>
      <c r="U8" s="381" t="s">
        <v>342</v>
      </c>
      <c r="V8" s="337" t="s">
        <v>343</v>
      </c>
      <c r="W8" s="337" t="s">
        <v>346</v>
      </c>
      <c r="X8" s="337" t="s">
        <v>347</v>
      </c>
      <c r="Y8" s="337" t="s">
        <v>344</v>
      </c>
      <c r="Z8" s="337" t="s">
        <v>345</v>
      </c>
      <c r="AA8" s="337" t="s">
        <v>348</v>
      </c>
      <c r="AB8" s="337" t="s">
        <v>112</v>
      </c>
      <c r="AC8" s="337" t="s">
        <v>349</v>
      </c>
      <c r="AD8" s="337" t="s">
        <v>350</v>
      </c>
      <c r="AE8" s="337" t="s">
        <v>351</v>
      </c>
      <c r="AF8" s="337" t="s">
        <v>352</v>
      </c>
      <c r="AG8" s="337" t="s">
        <v>353</v>
      </c>
      <c r="AH8" s="339" t="s">
        <v>354</v>
      </c>
      <c r="AI8" s="383" t="s">
        <v>132</v>
      </c>
      <c r="AJ8" s="383" t="s">
        <v>355</v>
      </c>
      <c r="AK8" s="383" t="s">
        <v>356</v>
      </c>
      <c r="AL8" s="229" t="s">
        <v>294</v>
      </c>
      <c r="AQ8" s="266" t="s">
        <v>357</v>
      </c>
      <c r="AR8" s="267" t="s">
        <v>358</v>
      </c>
      <c r="AS8" s="267" t="s">
        <v>359</v>
      </c>
    </row>
    <row r="9" spans="1:45" s="250" customFormat="1" x14ac:dyDescent="0.35">
      <c r="A9" s="357"/>
      <c r="B9" s="358"/>
      <c r="C9" s="359"/>
      <c r="D9" s="357"/>
      <c r="E9" s="360"/>
      <c r="F9" s="119">
        <f>F$7</f>
        <v>0</v>
      </c>
      <c r="G9" s="358"/>
      <c r="H9" s="357"/>
      <c r="I9" s="101"/>
      <c r="J9" s="378"/>
      <c r="K9" s="351"/>
      <c r="L9" s="351"/>
      <c r="M9" s="388"/>
      <c r="N9" s="347">
        <f>MateriaisPainel[[#This Row],[UNIT S/IPI S/DESC]]-MateriaisPainel[[#This Row],[UNIT S/IPI S/DESC]]*MateriaisPainel[[#This Row],[DESC%]]</f>
        <v>0</v>
      </c>
      <c r="O9" s="248" t="s">
        <v>295</v>
      </c>
      <c r="P9" s="271" t="s">
        <v>155</v>
      </c>
      <c r="Q9" s="249">
        <v>1.6500000000000001E-2</v>
      </c>
      <c r="R9" s="249">
        <v>7.5999999999999998E-2</v>
      </c>
      <c r="S9" s="107">
        <f>MateriaisPainel[[#This Row],[UNIT S/ IP + DIF ICMS]]*MateriaisPainel[[#This Row],[QUANTIDADE]]</f>
        <v>0</v>
      </c>
      <c r="T9" s="307">
        <f>MateriaisPainel[[#This Row],[TOTAL S/ IPI]]+(MateriaisPainel[[#This Row],[TOTAL S/ IPI]]*MateriaisPainel[[#This Row],[IPI %]])</f>
        <v>0</v>
      </c>
      <c r="U9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9" s="308">
        <f>MateriaisPainel[[#This Row],[UNIT S/ IPI C/DESC]]*MateriaisPainel[[#This Row],[ICMS %]]</f>
        <v>0</v>
      </c>
      <c r="W9" s="308">
        <f>(MateriaisPainel[[#This Row],[PIS]]*MateriaisPainel[[#This Row],[UNIT S/ IPI C/DESC]])/2</f>
        <v>0</v>
      </c>
      <c r="X9" s="308">
        <f>(MateriaisPainel[[#This Row],[COFINS]]*MateriaisPainel[[#This Row],[UNIT S/ IPI C/DESC]])/2</f>
        <v>0</v>
      </c>
      <c r="Y9" s="308">
        <f>MateriaisPainel[[#This Row],[ICMS $]]*MateriaisPainel[[#This Row],[QUANTIDADE]]</f>
        <v>0</v>
      </c>
      <c r="Z9" s="309">
        <f>MateriaisPainel[[#This Row],[UNIT S/ IPI C/DESC]]+MateriaisPainel[[#This Row],[DIFERENCIAL ICMS]]</f>
        <v>0</v>
      </c>
      <c r="AA9" s="307">
        <f>MateriaisPainel[[#This Row],[UNIT S/ IP + DIF ICMS]]+(MateriaisPainel[[#This Row],[UNIT S/ IP + DIF ICMS]]*MateriaisPainel[[#This Row],[IPI %]])</f>
        <v>0</v>
      </c>
      <c r="AB9" s="361">
        <f>_xlfn.XLOOKUP(MateriaisPainel[[#This Row],[FATURAMENTO]],BASE!$U$48:$U$50,BASE!$W$48:$W$50,0,0,1)</f>
        <v>0.79709863947533133</v>
      </c>
      <c r="AC9" s="362" t="str">
        <f>RESUMO!$E$71</f>
        <v>SIM</v>
      </c>
      <c r="AD9" s="362" t="str">
        <f>RESUMO!$E$72</f>
        <v>SIM</v>
      </c>
      <c r="AE9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9" s="364">
        <f>MateriaisPainel[[#This Row],[UNIT CRED]]*MateriaisPainel[[#This Row],[QUANTIDADE]]</f>
        <v>0</v>
      </c>
      <c r="AG9" s="307">
        <f>MateriaisPainel[[#This Row],[TOT CRED]]</f>
        <v>0</v>
      </c>
      <c r="AH9" s="365">
        <f>IF(MateriaisPainel[[#This Row],[QUANTIDADE]]&lt;&gt;0,((MateriaisPainel[[#This Row],[TOT CUSTO]]/MateriaisPainel[[#This Row],[QUANTIDADE]])/MateriaisPainel[[#This Row],[MARK-UP]]),0)</f>
        <v>0</v>
      </c>
      <c r="AI9" s="105">
        <f>MateriaisPainel[[#This Row],[UNIT VENDA]]*MateriaisPainel[[#This Row],[QUANTIDADE]]</f>
        <v>0</v>
      </c>
      <c r="AJ9" s="105">
        <f>IFERROR(MateriaisPainel[[#This Row],[VENDA]]*(RESUMO!$F$70/RESUMO!$F$60),0)</f>
        <v>0</v>
      </c>
      <c r="AK9" s="105">
        <f>IFERROR(MateriaisPainel[[#This Row],[VENDA]]*(RESUMO!$F$73/RESUMO!$F$60),0)</f>
        <v>0</v>
      </c>
      <c r="AL9" s="234">
        <f>IF(MateriaisPainel[[#This Row],[FATURAMENTO]]="NORMAL",MateriaisPainel[[#This Row],[VENDA]],0)</f>
        <v>0</v>
      </c>
      <c r="AQ9" s="268" t="s">
        <v>360</v>
      </c>
      <c r="AR9" s="397">
        <v>0</v>
      </c>
      <c r="AS9" s="269">
        <v>0</v>
      </c>
    </row>
    <row r="10" spans="1:45" s="26" customFormat="1" x14ac:dyDescent="0.35">
      <c r="A10" s="348"/>
      <c r="B10" s="349"/>
      <c r="C10" s="366"/>
      <c r="D10" s="348"/>
      <c r="E10" s="343"/>
      <c r="F10" s="343">
        <f t="shared" ref="F10:F81" si="0">F$7</f>
        <v>0</v>
      </c>
      <c r="G10" s="349"/>
      <c r="H10" s="348"/>
      <c r="I10" s="392"/>
      <c r="J10" s="350"/>
      <c r="K10" s="393"/>
      <c r="L10" s="394"/>
      <c r="M10" s="389"/>
      <c r="N10" s="385">
        <f>MateriaisPainel[[#This Row],[UNIT S/IPI S/DESC]]-MateriaisPainel[[#This Row],[UNIT S/IPI S/DESC]]*MateriaisPainel[[#This Row],[DESC%]]</f>
        <v>0</v>
      </c>
      <c r="O10" s="344" t="s">
        <v>295</v>
      </c>
      <c r="P10" s="345" t="s">
        <v>155</v>
      </c>
      <c r="Q10" s="346">
        <v>1.6500000000000001E-2</v>
      </c>
      <c r="R10" s="346">
        <v>7.5999999999999998E-2</v>
      </c>
      <c r="S10" s="367">
        <f>MateriaisPainel[[#This Row],[UNIT S/ IP + DIF ICMS]]*MateriaisPainel[[#This Row],[QUANTIDADE]]</f>
        <v>0</v>
      </c>
      <c r="T10" s="368">
        <f>MateriaisPainel[[#This Row],[TOTAL S/ IPI]]+(MateriaisPainel[[#This Row],[TOTAL S/ IPI]]*MateriaisPainel[[#This Row],[IPI %]])</f>
        <v>0</v>
      </c>
      <c r="U10" s="368">
        <f>IF(AND(MateriaisPainel[[#This Row],[ICMS %]]&lt;&gt;18%,MateriaisPainel[[#This Row],[ORIGEM]]&lt;&gt;"SÃO PAULO"),((18%-MateriaisPainel[[#This Row],[ICMS %]])*MateriaisPainel[[#This Row],[UNIT S/ IPI C/DESC]]),0)</f>
        <v>0</v>
      </c>
      <c r="V10" s="369">
        <f>MateriaisPainel[[#This Row],[UNIT S/ IPI C/DESC]]*MateriaisPainel[[#This Row],[ICMS %]]</f>
        <v>0</v>
      </c>
      <c r="W10" s="369">
        <f>(MateriaisPainel[[#This Row],[PIS]]*MateriaisPainel[[#This Row],[UNIT S/ IPI C/DESC]])/2</f>
        <v>0</v>
      </c>
      <c r="X10" s="369">
        <f>(MateriaisPainel[[#This Row],[COFINS]]*MateriaisPainel[[#This Row],[UNIT S/ IPI C/DESC]])/2</f>
        <v>0</v>
      </c>
      <c r="Y10" s="369">
        <f>MateriaisPainel[[#This Row],[ICMS $]]*MateriaisPainel[[#This Row],[QUANTIDADE]]</f>
        <v>0</v>
      </c>
      <c r="Z10" s="370">
        <f>MateriaisPainel[[#This Row],[UNIT S/ IPI C/DESC]]+MateriaisPainel[[#This Row],[DIFERENCIAL ICMS]]</f>
        <v>0</v>
      </c>
      <c r="AA10" s="368">
        <f>MateriaisPainel[[#This Row],[UNIT S/ IP + DIF ICMS]]+(MateriaisPainel[[#This Row],[UNIT S/ IP + DIF ICMS]]*MateriaisPainel[[#This Row],[IPI %]])</f>
        <v>0</v>
      </c>
      <c r="AB10" s="371">
        <f>_xlfn.XLOOKUP(MateriaisPainel[[#This Row],[FATURAMENTO]],BASE!$U$48:$U$50,BASE!$W$48:$W$50,0,0,1)</f>
        <v>0.79709863947533133</v>
      </c>
      <c r="AC10" s="372" t="str">
        <f>RESUMO!$E$71</f>
        <v>SIM</v>
      </c>
      <c r="AD10" s="372" t="str">
        <f>RESUMO!$E$72</f>
        <v>SIM</v>
      </c>
      <c r="AE10" s="37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10" s="374">
        <f>MateriaisPainel[[#This Row],[UNIT CRED]]*MateriaisPainel[[#This Row],[QUANTIDADE]]</f>
        <v>0</v>
      </c>
      <c r="AG10" s="368">
        <f>MateriaisPainel[[#This Row],[TOT CRED]]</f>
        <v>0</v>
      </c>
      <c r="AH10" s="375">
        <f>IF(MateriaisPainel[[#This Row],[QUANTIDADE]]&lt;&gt;0,((MateriaisPainel[[#This Row],[TOT CUSTO]]/MateriaisPainel[[#This Row],[QUANTIDADE]])/MateriaisPainel[[#This Row],[MARK-UP]]),0)</f>
        <v>0</v>
      </c>
      <c r="AI10" s="376">
        <f>MateriaisPainel[[#This Row],[UNIT VENDA]]*MateriaisPainel[[#This Row],[QUANTIDADE]]</f>
        <v>0</v>
      </c>
      <c r="AJ10" s="376">
        <f>IFERROR(MateriaisPainel[[#This Row],[VENDA]]*(RESUMO!$F$70/RESUMO!$F$60),0)</f>
        <v>0</v>
      </c>
      <c r="AK10" s="376">
        <f>IFERROR(MateriaisPainel[[#This Row],[VENDA]]*(RESUMO!$F$73/RESUMO!$F$60),0)</f>
        <v>0</v>
      </c>
      <c r="AL10" s="234">
        <f>IF(MateriaisPainel[[#This Row],[FATURAMENTO]]="NORMAL",MateriaisPainel[[#This Row],[VENDA]],0)</f>
        <v>0</v>
      </c>
      <c r="AQ10" s="398" t="s">
        <v>360</v>
      </c>
      <c r="AR10" s="397">
        <v>0</v>
      </c>
      <c r="AS10" s="269">
        <v>0</v>
      </c>
    </row>
    <row r="11" spans="1:45" s="26" customFormat="1" ht="126.5" x14ac:dyDescent="0.35">
      <c r="A11" s="100" t="s">
        <v>820</v>
      </c>
      <c r="B11" s="104" t="s">
        <v>820</v>
      </c>
      <c r="C11" s="305" t="s">
        <v>819</v>
      </c>
      <c r="D11" s="100" t="s">
        <v>821</v>
      </c>
      <c r="E11" s="119" t="s">
        <v>649</v>
      </c>
      <c r="F11" s="119">
        <f t="shared" si="0"/>
        <v>0</v>
      </c>
      <c r="G11" s="104"/>
      <c r="H11" s="101" t="s">
        <v>603</v>
      </c>
      <c r="I11" s="101">
        <v>1</v>
      </c>
      <c r="J11" s="378">
        <f>7300-300-1400</f>
        <v>5600</v>
      </c>
      <c r="K11" s="351">
        <v>0.12</v>
      </c>
      <c r="L11" s="351">
        <v>6.5000000000000002E-2</v>
      </c>
      <c r="M11" s="390"/>
      <c r="N11" s="347">
        <f>MateriaisPainel[[#This Row],[UNIT S/IPI S/DESC]]-MateriaisPainel[[#This Row],[UNIT S/IPI S/DESC]]*MateriaisPainel[[#This Row],[DESC%]]</f>
        <v>5600</v>
      </c>
      <c r="O11" s="248" t="s">
        <v>295</v>
      </c>
      <c r="P11" s="271" t="s">
        <v>155</v>
      </c>
      <c r="Q11" s="249">
        <v>1.6500000000000001E-2</v>
      </c>
      <c r="R11" s="249">
        <v>7.5999999999999998E-2</v>
      </c>
      <c r="S11" s="107">
        <f>MateriaisPainel[[#This Row],[UNIT S/ IP + DIF ICMS]]*MateriaisPainel[[#This Row],[QUANTIDADE]]</f>
        <v>5600</v>
      </c>
      <c r="T11" s="307">
        <f>MateriaisPainel[[#This Row],[TOTAL S/ IPI]]+(MateriaisPainel[[#This Row],[TOTAL S/ IPI]]*MateriaisPainel[[#This Row],[IPI %]])</f>
        <v>5964</v>
      </c>
      <c r="U11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1" s="308">
        <f>MateriaisPainel[[#This Row],[UNIT S/ IPI C/DESC]]*MateriaisPainel[[#This Row],[ICMS %]]</f>
        <v>672</v>
      </c>
      <c r="W11" s="308">
        <f>(MateriaisPainel[[#This Row],[PIS]]*MateriaisPainel[[#This Row],[UNIT S/ IPI C/DESC]])/2</f>
        <v>46.2</v>
      </c>
      <c r="X11" s="308">
        <f>(MateriaisPainel[[#This Row],[COFINS]]*MateriaisPainel[[#This Row],[UNIT S/ IPI C/DESC]])/2</f>
        <v>212.79999999999998</v>
      </c>
      <c r="Y11" s="308">
        <f>MateriaisPainel[[#This Row],[ICMS $]]*MateriaisPainel[[#This Row],[QUANTIDADE]]</f>
        <v>672</v>
      </c>
      <c r="Z11" s="309">
        <f>MateriaisPainel[[#This Row],[UNIT S/ IPI C/DESC]]+MateriaisPainel[[#This Row],[DIFERENCIAL ICMS]]</f>
        <v>5600</v>
      </c>
      <c r="AA11" s="307">
        <f>MateriaisPainel[[#This Row],[UNIT S/ IP + DIF ICMS]]+(MateriaisPainel[[#This Row],[UNIT S/ IP + DIF ICMS]]*MateriaisPainel[[#This Row],[IPI %]])</f>
        <v>5964</v>
      </c>
      <c r="AB11" s="361">
        <f>_xlfn.XLOOKUP(MateriaisPainel[[#This Row],[FATURAMENTO]],BASE!$U$48:$U$50,BASE!$W$48:$W$50,0,0,1)</f>
        <v>0.79709863947533133</v>
      </c>
      <c r="AC11" s="362" t="str">
        <f>RESUMO!$E$71</f>
        <v>SIM</v>
      </c>
      <c r="AD11" s="362" t="str">
        <f>RESUMO!$E$72</f>
        <v>SIM</v>
      </c>
      <c r="AE11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4669</v>
      </c>
      <c r="AF11" s="364">
        <f>MateriaisPainel[[#This Row],[UNIT CRED]]*MateriaisPainel[[#This Row],[QUANTIDADE]]</f>
        <v>4669</v>
      </c>
      <c r="AG11" s="307">
        <f>MateriaisPainel[[#This Row],[TOT CRED]]</f>
        <v>4669</v>
      </c>
      <c r="AH11" s="365">
        <f>IF(MateriaisPainel[[#This Row],[QUANTIDADE]]&lt;&gt;0,((MateriaisPainel[[#This Row],[TOT CUSTO]]/MateriaisPainel[[#This Row],[QUANTIDADE]])/MateriaisPainel[[#This Row],[MARK-UP]]),0)</f>
        <v>5857.4933750649016</v>
      </c>
      <c r="AI11" s="105">
        <f>MateriaisPainel[[#This Row],[UNIT VENDA]]*MateriaisPainel[[#This Row],[QUANTIDADE]]</f>
        <v>5857.4933750649016</v>
      </c>
      <c r="AJ11" s="105">
        <f>IFERROR(MateriaisPainel[[#This Row],[VENDA]]*(RESUMO!$F$70/RESUMO!$F$60),0)</f>
        <v>7438.0868254792395</v>
      </c>
      <c r="AK11" s="105">
        <f>IFERROR(MateriaisPainel[[#This Row],[VENDA]]*(RESUMO!$F$73/RESUMO!$F$60),0)</f>
        <v>7438.0868254792395</v>
      </c>
      <c r="AL11" s="234">
        <f>IF(MateriaisPainel[[#This Row],[FATURAMENTO]]="NORMAL",MateriaisPainel[[#This Row],[VENDA]],0)</f>
        <v>5857.4933750649016</v>
      </c>
      <c r="AQ11" s="268" t="s">
        <v>820</v>
      </c>
      <c r="AR11" s="397">
        <v>7445.5842282740878</v>
      </c>
      <c r="AS11" s="269">
        <v>7445.5842282740878</v>
      </c>
    </row>
    <row r="12" spans="1:45" s="26" customFormat="1" x14ac:dyDescent="0.35">
      <c r="A12" s="100" t="s">
        <v>900</v>
      </c>
      <c r="B12" s="104" t="s">
        <v>900</v>
      </c>
      <c r="C12" s="305" t="s">
        <v>901</v>
      </c>
      <c r="D12" s="100" t="s">
        <v>821</v>
      </c>
      <c r="E12" s="119" t="s">
        <v>649</v>
      </c>
      <c r="F12" s="119">
        <f t="shared" si="0"/>
        <v>0</v>
      </c>
      <c r="G12" s="104"/>
      <c r="H12" s="101" t="s">
        <v>603</v>
      </c>
      <c r="I12" s="306">
        <v>1</v>
      </c>
      <c r="J12" s="378">
        <v>1500</v>
      </c>
      <c r="K12" s="351">
        <v>0.12</v>
      </c>
      <c r="L12" s="351">
        <v>6.5000000000000002E-2</v>
      </c>
      <c r="M12" s="390"/>
      <c r="N12" s="347">
        <f>MateriaisPainel[[#This Row],[UNIT S/IPI S/DESC]]-MateriaisPainel[[#This Row],[UNIT S/IPI S/DESC]]*MateriaisPainel[[#This Row],[DESC%]]</f>
        <v>1500</v>
      </c>
      <c r="O12" s="248" t="s">
        <v>295</v>
      </c>
      <c r="P12" s="271" t="s">
        <v>155</v>
      </c>
      <c r="Q12" s="249">
        <v>1.6500000000000001E-2</v>
      </c>
      <c r="R12" s="249">
        <v>7.5999999999999998E-2</v>
      </c>
      <c r="S12" s="107">
        <f>MateriaisPainel[[#This Row],[UNIT S/ IP + DIF ICMS]]*MateriaisPainel[[#This Row],[QUANTIDADE]]</f>
        <v>1500</v>
      </c>
      <c r="T12" s="307">
        <f>MateriaisPainel[[#This Row],[TOTAL S/ IPI]]+(MateriaisPainel[[#This Row],[TOTAL S/ IPI]]*MateriaisPainel[[#This Row],[IPI %]])</f>
        <v>1597.5</v>
      </c>
      <c r="U12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2" s="308">
        <f>MateriaisPainel[[#This Row],[UNIT S/ IPI C/DESC]]*MateriaisPainel[[#This Row],[ICMS %]]</f>
        <v>180</v>
      </c>
      <c r="W12" s="308">
        <f>(MateriaisPainel[[#This Row],[PIS]]*MateriaisPainel[[#This Row],[UNIT S/ IPI C/DESC]])/2</f>
        <v>12.375</v>
      </c>
      <c r="X12" s="308">
        <f>(MateriaisPainel[[#This Row],[COFINS]]*MateriaisPainel[[#This Row],[UNIT S/ IPI C/DESC]])/2</f>
        <v>57</v>
      </c>
      <c r="Y12" s="308">
        <f>MateriaisPainel[[#This Row],[ICMS $]]*MateriaisPainel[[#This Row],[QUANTIDADE]]</f>
        <v>180</v>
      </c>
      <c r="Z12" s="309">
        <f>MateriaisPainel[[#This Row],[UNIT S/ IPI C/DESC]]+MateriaisPainel[[#This Row],[DIFERENCIAL ICMS]]</f>
        <v>1500</v>
      </c>
      <c r="AA12" s="307">
        <f>MateriaisPainel[[#This Row],[UNIT S/ IP + DIF ICMS]]+(MateriaisPainel[[#This Row],[UNIT S/ IP + DIF ICMS]]*MateriaisPainel[[#This Row],[IPI %]])</f>
        <v>1597.5</v>
      </c>
      <c r="AB12" s="361">
        <f>_xlfn.XLOOKUP(MateriaisPainel[[#This Row],[FATURAMENTO]],BASE!$U$48:$U$50,BASE!$W$48:$W$50,0,0,1)</f>
        <v>0.79709863947533133</v>
      </c>
      <c r="AC12" s="362" t="str">
        <f>RESUMO!$E$71</f>
        <v>SIM</v>
      </c>
      <c r="AD12" s="362" t="str">
        <f>RESUMO!$E$72</f>
        <v>SIM</v>
      </c>
      <c r="AE12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1250.625</v>
      </c>
      <c r="AF12" s="364">
        <f>MateriaisPainel[[#This Row],[UNIT CRED]]*MateriaisPainel[[#This Row],[QUANTIDADE]]</f>
        <v>1250.625</v>
      </c>
      <c r="AG12" s="307">
        <f>MateriaisPainel[[#This Row],[TOT CRED]]</f>
        <v>1250.625</v>
      </c>
      <c r="AH12" s="365">
        <f>IF(MateriaisPainel[[#This Row],[QUANTIDADE]]&lt;&gt;0,((MateriaisPainel[[#This Row],[TOT CUSTO]]/MateriaisPainel[[#This Row],[QUANTIDADE]])/MateriaisPainel[[#This Row],[MARK-UP]]),0)</f>
        <v>1568.9714397495272</v>
      </c>
      <c r="AI12" s="105">
        <f>MateriaisPainel[[#This Row],[UNIT VENDA]]*MateriaisPainel[[#This Row],[QUANTIDADE]]</f>
        <v>1568.9714397495272</v>
      </c>
      <c r="AJ12" s="105">
        <f>IFERROR(MateriaisPainel[[#This Row],[VENDA]]*(RESUMO!$F$70/RESUMO!$F$60),0)</f>
        <v>1992.344685396225</v>
      </c>
      <c r="AK12" s="105">
        <f>IFERROR(MateriaisPainel[[#This Row],[VENDA]]*(RESUMO!$F$73/RESUMO!$F$60),0)</f>
        <v>1992.344685396225</v>
      </c>
      <c r="AL12" s="234">
        <f>IF(MateriaisPainel[[#This Row],[FATURAMENTO]]="NORMAL",MateriaisPainel[[#This Row],[VENDA]],0)</f>
        <v>1568.9714397495272</v>
      </c>
      <c r="AQ12" s="398" t="s">
        <v>820</v>
      </c>
      <c r="AR12" s="397">
        <v>7445.5842282740878</v>
      </c>
      <c r="AS12" s="269">
        <v>7445.5842282740878</v>
      </c>
    </row>
    <row r="13" spans="1:45" s="26" customFormat="1" x14ac:dyDescent="0.35">
      <c r="A13" s="100"/>
      <c r="B13" s="104"/>
      <c r="C13" s="305"/>
      <c r="D13" s="100"/>
      <c r="E13" s="119"/>
      <c r="F13" s="119">
        <f t="shared" si="0"/>
        <v>0</v>
      </c>
      <c r="G13" s="104"/>
      <c r="H13" s="101"/>
      <c r="I13" s="306"/>
      <c r="J13" s="378"/>
      <c r="K13" s="351"/>
      <c r="L13" s="351"/>
      <c r="M13" s="390"/>
      <c r="N13" s="347">
        <f>MateriaisPainel[[#This Row],[UNIT S/IPI S/DESC]]-MateriaisPainel[[#This Row],[UNIT S/IPI S/DESC]]*MateriaisPainel[[#This Row],[DESC%]]</f>
        <v>0</v>
      </c>
      <c r="O13" s="248" t="s">
        <v>295</v>
      </c>
      <c r="P13" s="271" t="s">
        <v>155</v>
      </c>
      <c r="Q13" s="249">
        <v>1.6500000000000001E-2</v>
      </c>
      <c r="R13" s="249">
        <v>7.5999999999999998E-2</v>
      </c>
      <c r="S13" s="107">
        <f>MateriaisPainel[[#This Row],[UNIT S/ IP + DIF ICMS]]*MateriaisPainel[[#This Row],[QUANTIDADE]]</f>
        <v>0</v>
      </c>
      <c r="T13" s="307">
        <f>MateriaisPainel[[#This Row],[TOTAL S/ IPI]]+(MateriaisPainel[[#This Row],[TOTAL S/ IPI]]*MateriaisPainel[[#This Row],[IPI %]])</f>
        <v>0</v>
      </c>
      <c r="U13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3" s="308">
        <f>MateriaisPainel[[#This Row],[UNIT S/ IPI C/DESC]]*MateriaisPainel[[#This Row],[ICMS %]]</f>
        <v>0</v>
      </c>
      <c r="W13" s="308">
        <f>(MateriaisPainel[[#This Row],[PIS]]*MateriaisPainel[[#This Row],[UNIT S/ IPI C/DESC]])/2</f>
        <v>0</v>
      </c>
      <c r="X13" s="308">
        <f>(MateriaisPainel[[#This Row],[COFINS]]*MateriaisPainel[[#This Row],[UNIT S/ IPI C/DESC]])/2</f>
        <v>0</v>
      </c>
      <c r="Y13" s="308">
        <f>MateriaisPainel[[#This Row],[ICMS $]]*MateriaisPainel[[#This Row],[QUANTIDADE]]</f>
        <v>0</v>
      </c>
      <c r="Z13" s="309">
        <f>MateriaisPainel[[#This Row],[UNIT S/ IPI C/DESC]]+MateriaisPainel[[#This Row],[DIFERENCIAL ICMS]]</f>
        <v>0</v>
      </c>
      <c r="AA13" s="307">
        <f>MateriaisPainel[[#This Row],[UNIT S/ IP + DIF ICMS]]+(MateriaisPainel[[#This Row],[UNIT S/ IP + DIF ICMS]]*MateriaisPainel[[#This Row],[IPI %]])</f>
        <v>0</v>
      </c>
      <c r="AB13" s="361">
        <f>_xlfn.XLOOKUP(MateriaisPainel[[#This Row],[FATURAMENTO]],BASE!$U$48:$U$50,BASE!$W$48:$W$50,0,0,1)</f>
        <v>0.79709863947533133</v>
      </c>
      <c r="AC13" s="362" t="str">
        <f>RESUMO!$E$71</f>
        <v>SIM</v>
      </c>
      <c r="AD13" s="362" t="str">
        <f>RESUMO!$E$72</f>
        <v>SIM</v>
      </c>
      <c r="AE13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13" s="364">
        <f>MateriaisPainel[[#This Row],[UNIT CRED]]*MateriaisPainel[[#This Row],[QUANTIDADE]]</f>
        <v>0</v>
      </c>
      <c r="AG13" s="307">
        <f>MateriaisPainel[[#This Row],[TOT CRED]]</f>
        <v>0</v>
      </c>
      <c r="AH13" s="365">
        <f>IF(MateriaisPainel[[#This Row],[QUANTIDADE]]&lt;&gt;0,((MateriaisPainel[[#This Row],[TOT CUSTO]]/MateriaisPainel[[#This Row],[QUANTIDADE]])/MateriaisPainel[[#This Row],[MARK-UP]]),0)</f>
        <v>0</v>
      </c>
      <c r="AI13" s="105">
        <f>MateriaisPainel[[#This Row],[UNIT VENDA]]*MateriaisPainel[[#This Row],[QUANTIDADE]]</f>
        <v>0</v>
      </c>
      <c r="AJ13" s="105">
        <f>IFERROR(MateriaisPainel[[#This Row],[VENDA]]*(RESUMO!$F$70/RESUMO!$F$60),0)</f>
        <v>0</v>
      </c>
      <c r="AK13" s="105">
        <f>IFERROR(MateriaisPainel[[#This Row],[VENDA]]*(RESUMO!$F$73/RESUMO!$F$60),0)</f>
        <v>0</v>
      </c>
      <c r="AL13" s="234">
        <f>IF(MateriaisPainel[[#This Row],[FATURAMENTO]]="NORMAL",MateriaisPainel[[#This Row],[VENDA]],0)</f>
        <v>0</v>
      </c>
      <c r="AP13" s="267"/>
      <c r="AQ13" s="268" t="s">
        <v>900</v>
      </c>
      <c r="AR13" s="397">
        <v>1994.3529182877021</v>
      </c>
      <c r="AS13" s="269">
        <v>1994.3529182877021</v>
      </c>
    </row>
    <row r="14" spans="1:45" x14ac:dyDescent="0.35">
      <c r="A14" s="100"/>
      <c r="B14" s="104"/>
      <c r="C14" s="305"/>
      <c r="D14" s="100"/>
      <c r="E14" s="119"/>
      <c r="F14" s="119">
        <f t="shared" si="0"/>
        <v>0</v>
      </c>
      <c r="G14" s="104"/>
      <c r="H14" s="101"/>
      <c r="I14" s="306"/>
      <c r="J14" s="378"/>
      <c r="K14" s="351"/>
      <c r="L14" s="351"/>
      <c r="M14" s="390"/>
      <c r="N14" s="347">
        <f>MateriaisPainel[[#This Row],[UNIT S/IPI S/DESC]]-MateriaisPainel[[#This Row],[UNIT S/IPI S/DESC]]*MateriaisPainel[[#This Row],[DESC%]]</f>
        <v>0</v>
      </c>
      <c r="O14" s="248" t="s">
        <v>295</v>
      </c>
      <c r="P14" s="271" t="s">
        <v>155</v>
      </c>
      <c r="Q14" s="249">
        <v>1.6500000000000001E-2</v>
      </c>
      <c r="R14" s="249">
        <v>7.5999999999999998E-2</v>
      </c>
      <c r="S14" s="107">
        <f>MateriaisPainel[[#This Row],[UNIT S/ IP + DIF ICMS]]*MateriaisPainel[[#This Row],[QUANTIDADE]]</f>
        <v>0</v>
      </c>
      <c r="T14" s="307">
        <f>MateriaisPainel[[#This Row],[TOTAL S/ IPI]]+(MateriaisPainel[[#This Row],[TOTAL S/ IPI]]*MateriaisPainel[[#This Row],[IPI %]])</f>
        <v>0</v>
      </c>
      <c r="U14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4" s="308">
        <f>MateriaisPainel[[#This Row],[UNIT S/ IPI C/DESC]]*MateriaisPainel[[#This Row],[ICMS %]]</f>
        <v>0</v>
      </c>
      <c r="W14" s="308">
        <f>(MateriaisPainel[[#This Row],[PIS]]*MateriaisPainel[[#This Row],[UNIT S/ IPI C/DESC]])/2</f>
        <v>0</v>
      </c>
      <c r="X14" s="308">
        <f>(MateriaisPainel[[#This Row],[COFINS]]*MateriaisPainel[[#This Row],[UNIT S/ IPI C/DESC]])/2</f>
        <v>0</v>
      </c>
      <c r="Y14" s="308">
        <f>MateriaisPainel[[#This Row],[ICMS $]]*MateriaisPainel[[#This Row],[QUANTIDADE]]</f>
        <v>0</v>
      </c>
      <c r="Z14" s="309">
        <f>MateriaisPainel[[#This Row],[UNIT S/ IPI C/DESC]]+MateriaisPainel[[#This Row],[DIFERENCIAL ICMS]]</f>
        <v>0</v>
      </c>
      <c r="AA14" s="307">
        <f>MateriaisPainel[[#This Row],[UNIT S/ IP + DIF ICMS]]+(MateriaisPainel[[#This Row],[UNIT S/ IP + DIF ICMS]]*MateriaisPainel[[#This Row],[IPI %]])</f>
        <v>0</v>
      </c>
      <c r="AB14" s="361">
        <f>_xlfn.XLOOKUP(MateriaisPainel[[#This Row],[FATURAMENTO]],BASE!$U$48:$U$50,BASE!$W$48:$W$50,0,0,1)</f>
        <v>0.79709863947533133</v>
      </c>
      <c r="AC14" s="362" t="str">
        <f>RESUMO!$E$71</f>
        <v>SIM</v>
      </c>
      <c r="AD14" s="362" t="str">
        <f>RESUMO!$E$72</f>
        <v>SIM</v>
      </c>
      <c r="AE14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14" s="364">
        <f>MateriaisPainel[[#This Row],[UNIT CRED]]*MateriaisPainel[[#This Row],[QUANTIDADE]]</f>
        <v>0</v>
      </c>
      <c r="AG14" s="307">
        <f>MateriaisPainel[[#This Row],[TOT CRED]]</f>
        <v>0</v>
      </c>
      <c r="AH14" s="365">
        <f>IF(MateriaisPainel[[#This Row],[QUANTIDADE]]&lt;&gt;0,((MateriaisPainel[[#This Row],[TOT CUSTO]]/MateriaisPainel[[#This Row],[QUANTIDADE]])/MateriaisPainel[[#This Row],[MARK-UP]]),0)</f>
        <v>0</v>
      </c>
      <c r="AI14" s="105">
        <f>MateriaisPainel[[#This Row],[UNIT VENDA]]*MateriaisPainel[[#This Row],[QUANTIDADE]]</f>
        <v>0</v>
      </c>
      <c r="AJ14" s="105">
        <f>IFERROR(MateriaisPainel[[#This Row],[VENDA]]*(RESUMO!$F$70/RESUMO!$F$60),0)</f>
        <v>0</v>
      </c>
      <c r="AK14" s="105">
        <f>IFERROR(MateriaisPainel[[#This Row],[VENDA]]*(RESUMO!$F$73/RESUMO!$F$60),0)</f>
        <v>0</v>
      </c>
      <c r="AL14" s="234">
        <f>IF(MateriaisPainel[[#This Row],[FATURAMENTO]]="NORMAL",MateriaisPainel[[#This Row],[VENDA]],0)</f>
        <v>0</v>
      </c>
      <c r="AM14" s="27"/>
      <c r="AP14" s="267"/>
      <c r="AQ14" s="398" t="s">
        <v>900</v>
      </c>
      <c r="AR14" s="397">
        <v>1994.3529182877021</v>
      </c>
      <c r="AS14" s="269">
        <v>1994.3529182877021</v>
      </c>
    </row>
    <row r="15" spans="1:45" x14ac:dyDescent="0.35">
      <c r="A15" s="100"/>
      <c r="B15" s="104"/>
      <c r="C15" s="305"/>
      <c r="D15" s="100"/>
      <c r="E15" s="119"/>
      <c r="F15" s="119">
        <f t="shared" si="0"/>
        <v>0</v>
      </c>
      <c r="G15" s="104"/>
      <c r="H15" s="377"/>
      <c r="I15" s="306"/>
      <c r="J15" s="378"/>
      <c r="K15" s="351"/>
      <c r="L15" s="351"/>
      <c r="M15" s="390"/>
      <c r="N15" s="347">
        <f>MateriaisPainel[[#This Row],[UNIT S/IPI S/DESC]]-MateriaisPainel[[#This Row],[UNIT S/IPI S/DESC]]*MateriaisPainel[[#This Row],[DESC%]]</f>
        <v>0</v>
      </c>
      <c r="O15" s="248" t="s">
        <v>295</v>
      </c>
      <c r="P15" s="271" t="s">
        <v>155</v>
      </c>
      <c r="Q15" s="249">
        <v>1.6500000000000001E-2</v>
      </c>
      <c r="R15" s="249">
        <v>7.5999999999999998E-2</v>
      </c>
      <c r="S15" s="107">
        <f>MateriaisPainel[[#This Row],[UNIT S/ IP + DIF ICMS]]*MateriaisPainel[[#This Row],[QUANTIDADE]]</f>
        <v>0</v>
      </c>
      <c r="T15" s="307">
        <f>MateriaisPainel[[#This Row],[TOTAL S/ IPI]]+(MateriaisPainel[[#This Row],[TOTAL S/ IPI]]*MateriaisPainel[[#This Row],[IPI %]])</f>
        <v>0</v>
      </c>
      <c r="U15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5" s="308">
        <f>MateriaisPainel[[#This Row],[UNIT S/ IPI C/DESC]]*MateriaisPainel[[#This Row],[ICMS %]]</f>
        <v>0</v>
      </c>
      <c r="W15" s="308">
        <f>(MateriaisPainel[[#This Row],[PIS]]*MateriaisPainel[[#This Row],[UNIT S/ IPI C/DESC]])/2</f>
        <v>0</v>
      </c>
      <c r="X15" s="308">
        <f>(MateriaisPainel[[#This Row],[COFINS]]*MateriaisPainel[[#This Row],[UNIT S/ IPI C/DESC]])/2</f>
        <v>0</v>
      </c>
      <c r="Y15" s="308">
        <f>MateriaisPainel[[#This Row],[ICMS $]]*MateriaisPainel[[#This Row],[QUANTIDADE]]</f>
        <v>0</v>
      </c>
      <c r="Z15" s="309">
        <f>MateriaisPainel[[#This Row],[UNIT S/ IPI C/DESC]]+MateriaisPainel[[#This Row],[DIFERENCIAL ICMS]]</f>
        <v>0</v>
      </c>
      <c r="AA15" s="307">
        <f>MateriaisPainel[[#This Row],[UNIT S/ IP + DIF ICMS]]+(MateriaisPainel[[#This Row],[UNIT S/ IP + DIF ICMS]]*MateriaisPainel[[#This Row],[IPI %]])</f>
        <v>0</v>
      </c>
      <c r="AB15" s="361">
        <f>_xlfn.XLOOKUP(MateriaisPainel[[#This Row],[FATURAMENTO]],BASE!$U$48:$U$50,BASE!$W$48:$W$50,0,0,1)</f>
        <v>0.79709863947533133</v>
      </c>
      <c r="AC15" s="362" t="str">
        <f>RESUMO!$E$71</f>
        <v>SIM</v>
      </c>
      <c r="AD15" s="362" t="str">
        <f>RESUMO!$E$72</f>
        <v>SIM</v>
      </c>
      <c r="AE15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15" s="364">
        <f>MateriaisPainel[[#This Row],[UNIT CRED]]*MateriaisPainel[[#This Row],[QUANTIDADE]]</f>
        <v>0</v>
      </c>
      <c r="AG15" s="307">
        <f>MateriaisPainel[[#This Row],[TOT CRED]]</f>
        <v>0</v>
      </c>
      <c r="AH15" s="365">
        <f>IF(MateriaisPainel[[#This Row],[QUANTIDADE]]&lt;&gt;0,((MateriaisPainel[[#This Row],[TOT CUSTO]]/MateriaisPainel[[#This Row],[QUANTIDADE]])/MateriaisPainel[[#This Row],[MARK-UP]]),0)</f>
        <v>0</v>
      </c>
      <c r="AI15" s="105">
        <f>MateriaisPainel[[#This Row],[UNIT VENDA]]*MateriaisPainel[[#This Row],[QUANTIDADE]]</f>
        <v>0</v>
      </c>
      <c r="AJ15" s="105">
        <f>IFERROR(MateriaisPainel[[#This Row],[VENDA]]*(RESUMO!$F$70/RESUMO!$F$60),0)</f>
        <v>0</v>
      </c>
      <c r="AK15" s="105">
        <f>IFERROR(MateriaisPainel[[#This Row],[VENDA]]*(RESUMO!$F$73/RESUMO!$F$60),0)</f>
        <v>0</v>
      </c>
      <c r="AL15" s="234">
        <f>IF(MateriaisPainel[[#This Row],[FATURAMENTO]]="NORMAL",MateriaisPainel[[#This Row],[VENDA]],0)</f>
        <v>0</v>
      </c>
      <c r="AM15" s="27"/>
      <c r="AP15" s="267"/>
      <c r="AQ15" s="268" t="s">
        <v>361</v>
      </c>
      <c r="AR15" s="397">
        <v>9439.9371465617896</v>
      </c>
      <c r="AS15" s="269">
        <v>9439.9371465617896</v>
      </c>
    </row>
    <row r="16" spans="1:45" x14ac:dyDescent="0.35">
      <c r="A16" s="100"/>
      <c r="B16" s="104"/>
      <c r="C16" s="305"/>
      <c r="D16" s="100"/>
      <c r="E16" s="119"/>
      <c r="F16" s="119">
        <f t="shared" si="0"/>
        <v>0</v>
      </c>
      <c r="G16" s="104"/>
      <c r="H16" s="377"/>
      <c r="I16" s="306"/>
      <c r="J16" s="378"/>
      <c r="K16" s="351"/>
      <c r="L16" s="351"/>
      <c r="M16" s="390"/>
      <c r="N16" s="347">
        <f>MateriaisPainel[[#This Row],[UNIT S/IPI S/DESC]]-MateriaisPainel[[#This Row],[UNIT S/IPI S/DESC]]*MateriaisPainel[[#This Row],[DESC%]]</f>
        <v>0</v>
      </c>
      <c r="O16" s="248" t="s">
        <v>295</v>
      </c>
      <c r="P16" s="271" t="s">
        <v>155</v>
      </c>
      <c r="Q16" s="249">
        <v>1.6500000000000001E-2</v>
      </c>
      <c r="R16" s="249">
        <v>7.5999999999999998E-2</v>
      </c>
      <c r="S16" s="107">
        <f>MateriaisPainel[[#This Row],[UNIT S/ IP + DIF ICMS]]*MateriaisPainel[[#This Row],[QUANTIDADE]]</f>
        <v>0</v>
      </c>
      <c r="T16" s="307">
        <f>MateriaisPainel[[#This Row],[TOTAL S/ IPI]]+(MateriaisPainel[[#This Row],[TOTAL S/ IPI]]*MateriaisPainel[[#This Row],[IPI %]])</f>
        <v>0</v>
      </c>
      <c r="U16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6" s="308">
        <f>MateriaisPainel[[#This Row],[UNIT S/ IPI C/DESC]]*MateriaisPainel[[#This Row],[ICMS %]]</f>
        <v>0</v>
      </c>
      <c r="W16" s="308">
        <f>(MateriaisPainel[[#This Row],[PIS]]*MateriaisPainel[[#This Row],[UNIT S/ IPI C/DESC]])/2</f>
        <v>0</v>
      </c>
      <c r="X16" s="308">
        <f>(MateriaisPainel[[#This Row],[COFINS]]*MateriaisPainel[[#This Row],[UNIT S/ IPI C/DESC]])/2</f>
        <v>0</v>
      </c>
      <c r="Y16" s="308">
        <f>MateriaisPainel[[#This Row],[ICMS $]]*MateriaisPainel[[#This Row],[QUANTIDADE]]</f>
        <v>0</v>
      </c>
      <c r="Z16" s="309">
        <f>MateriaisPainel[[#This Row],[UNIT S/ IPI C/DESC]]+MateriaisPainel[[#This Row],[DIFERENCIAL ICMS]]</f>
        <v>0</v>
      </c>
      <c r="AA16" s="307">
        <f>MateriaisPainel[[#This Row],[UNIT S/ IP + DIF ICMS]]+(MateriaisPainel[[#This Row],[UNIT S/ IP + DIF ICMS]]*MateriaisPainel[[#This Row],[IPI %]])</f>
        <v>0</v>
      </c>
      <c r="AB16" s="361">
        <f>_xlfn.XLOOKUP(MateriaisPainel[[#This Row],[FATURAMENTO]],BASE!$U$48:$U$50,BASE!$W$48:$W$50,0,0,1)</f>
        <v>0.79709863947533133</v>
      </c>
      <c r="AC16" s="362" t="str">
        <f>RESUMO!$E$71</f>
        <v>SIM</v>
      </c>
      <c r="AD16" s="362" t="str">
        <f>RESUMO!$E$72</f>
        <v>SIM</v>
      </c>
      <c r="AE16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16" s="364">
        <f>MateriaisPainel[[#This Row],[UNIT CRED]]*MateriaisPainel[[#This Row],[QUANTIDADE]]</f>
        <v>0</v>
      </c>
      <c r="AG16" s="307">
        <f>MateriaisPainel[[#This Row],[TOT CRED]]</f>
        <v>0</v>
      </c>
      <c r="AH16" s="365">
        <f>IF(MateriaisPainel[[#This Row],[QUANTIDADE]]&lt;&gt;0,((MateriaisPainel[[#This Row],[TOT CUSTO]]/MateriaisPainel[[#This Row],[QUANTIDADE]])/MateriaisPainel[[#This Row],[MARK-UP]]),0)</f>
        <v>0</v>
      </c>
      <c r="AI16" s="105">
        <f>MateriaisPainel[[#This Row],[UNIT VENDA]]*MateriaisPainel[[#This Row],[QUANTIDADE]]</f>
        <v>0</v>
      </c>
      <c r="AJ16" s="105">
        <f>IFERROR(MateriaisPainel[[#This Row],[VENDA]]*(RESUMO!$F$70/RESUMO!$F$60),0)</f>
        <v>0</v>
      </c>
      <c r="AK16" s="105">
        <f>IFERROR(MateriaisPainel[[#This Row],[VENDA]]*(RESUMO!$F$73/RESUMO!$F$60),0)</f>
        <v>0</v>
      </c>
      <c r="AL16" s="234">
        <f>IF(MateriaisPainel[[#This Row],[FATURAMENTO]]="NORMAL",MateriaisPainel[[#This Row],[VENDA]],0)</f>
        <v>0</v>
      </c>
      <c r="AM16" s="27"/>
      <c r="AP16" s="267"/>
      <c r="AQ16" s="267"/>
      <c r="AR16" s="267"/>
    </row>
    <row r="17" spans="1:44" x14ac:dyDescent="0.35">
      <c r="A17" s="100"/>
      <c r="B17" s="104"/>
      <c r="C17" s="305"/>
      <c r="D17" s="100"/>
      <c r="E17" s="119"/>
      <c r="F17" s="119">
        <f t="shared" si="0"/>
        <v>0</v>
      </c>
      <c r="G17" s="104"/>
      <c r="H17" s="377"/>
      <c r="I17" s="306"/>
      <c r="J17" s="378"/>
      <c r="K17" s="351"/>
      <c r="L17" s="351"/>
      <c r="M17" s="390"/>
      <c r="N17" s="347">
        <f>MateriaisPainel[[#This Row],[UNIT S/IPI S/DESC]]-MateriaisPainel[[#This Row],[UNIT S/IPI S/DESC]]*MateriaisPainel[[#This Row],[DESC%]]</f>
        <v>0</v>
      </c>
      <c r="O17" s="248" t="s">
        <v>295</v>
      </c>
      <c r="P17" s="271" t="s">
        <v>155</v>
      </c>
      <c r="Q17" s="249">
        <v>1.6500000000000001E-2</v>
      </c>
      <c r="R17" s="249">
        <v>7.5999999999999998E-2</v>
      </c>
      <c r="S17" s="107">
        <f>MateriaisPainel[[#This Row],[UNIT S/ IP + DIF ICMS]]*MateriaisPainel[[#This Row],[QUANTIDADE]]</f>
        <v>0</v>
      </c>
      <c r="T17" s="307">
        <f>MateriaisPainel[[#This Row],[TOTAL S/ IPI]]+(MateriaisPainel[[#This Row],[TOTAL S/ IPI]]*MateriaisPainel[[#This Row],[IPI %]])</f>
        <v>0</v>
      </c>
      <c r="U17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7" s="308">
        <f>MateriaisPainel[[#This Row],[UNIT S/ IPI C/DESC]]*MateriaisPainel[[#This Row],[ICMS %]]</f>
        <v>0</v>
      </c>
      <c r="W17" s="308">
        <f>(MateriaisPainel[[#This Row],[PIS]]*MateriaisPainel[[#This Row],[UNIT S/ IPI C/DESC]])/2</f>
        <v>0</v>
      </c>
      <c r="X17" s="308">
        <f>(MateriaisPainel[[#This Row],[COFINS]]*MateriaisPainel[[#This Row],[UNIT S/ IPI C/DESC]])/2</f>
        <v>0</v>
      </c>
      <c r="Y17" s="308">
        <f>MateriaisPainel[[#This Row],[ICMS $]]*MateriaisPainel[[#This Row],[QUANTIDADE]]</f>
        <v>0</v>
      </c>
      <c r="Z17" s="309">
        <f>MateriaisPainel[[#This Row],[UNIT S/ IPI C/DESC]]+MateriaisPainel[[#This Row],[DIFERENCIAL ICMS]]</f>
        <v>0</v>
      </c>
      <c r="AA17" s="307">
        <f>MateriaisPainel[[#This Row],[UNIT S/ IP + DIF ICMS]]+(MateriaisPainel[[#This Row],[UNIT S/ IP + DIF ICMS]]*MateriaisPainel[[#This Row],[IPI %]])</f>
        <v>0</v>
      </c>
      <c r="AB17" s="361">
        <f>_xlfn.XLOOKUP(MateriaisPainel[[#This Row],[FATURAMENTO]],BASE!$U$48:$U$50,BASE!$W$48:$W$50,0,0,1)</f>
        <v>0.79709863947533133</v>
      </c>
      <c r="AC17" s="362" t="str">
        <f>RESUMO!$E$71</f>
        <v>SIM</v>
      </c>
      <c r="AD17" s="362" t="str">
        <f>RESUMO!$E$72</f>
        <v>SIM</v>
      </c>
      <c r="AE17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17" s="364">
        <f>MateriaisPainel[[#This Row],[UNIT CRED]]*MateriaisPainel[[#This Row],[QUANTIDADE]]</f>
        <v>0</v>
      </c>
      <c r="AG17" s="307">
        <f>MateriaisPainel[[#This Row],[TOT CRED]]</f>
        <v>0</v>
      </c>
      <c r="AH17" s="365">
        <f>IF(MateriaisPainel[[#This Row],[QUANTIDADE]]&lt;&gt;0,((MateriaisPainel[[#This Row],[TOT CUSTO]]/MateriaisPainel[[#This Row],[QUANTIDADE]])/MateriaisPainel[[#This Row],[MARK-UP]]),0)</f>
        <v>0</v>
      </c>
      <c r="AI17" s="105">
        <f>MateriaisPainel[[#This Row],[UNIT VENDA]]*MateriaisPainel[[#This Row],[QUANTIDADE]]</f>
        <v>0</v>
      </c>
      <c r="AJ17" s="105">
        <f>IFERROR(MateriaisPainel[[#This Row],[VENDA]]*(RESUMO!$F$70/RESUMO!$F$60),0)</f>
        <v>0</v>
      </c>
      <c r="AK17" s="105">
        <f>IFERROR(MateriaisPainel[[#This Row],[VENDA]]*(RESUMO!$F$73/RESUMO!$F$60),0)</f>
        <v>0</v>
      </c>
      <c r="AL17" s="234">
        <f>IF(MateriaisPainel[[#This Row],[FATURAMENTO]]="NORMAL",MateriaisPainel[[#This Row],[VENDA]],0)</f>
        <v>0</v>
      </c>
      <c r="AM17" s="27"/>
      <c r="AP17" s="267"/>
      <c r="AQ17" s="267"/>
      <c r="AR17" s="267"/>
    </row>
    <row r="18" spans="1:44" x14ac:dyDescent="0.35">
      <c r="A18" s="100"/>
      <c r="B18" s="104"/>
      <c r="C18" s="305"/>
      <c r="D18" s="100"/>
      <c r="E18" s="119"/>
      <c r="F18" s="119">
        <f t="shared" si="0"/>
        <v>0</v>
      </c>
      <c r="G18" s="104"/>
      <c r="H18" s="377"/>
      <c r="I18" s="306"/>
      <c r="J18" s="378"/>
      <c r="K18" s="351"/>
      <c r="L18" s="351"/>
      <c r="M18" s="390"/>
      <c r="N18" s="347">
        <f>MateriaisPainel[[#This Row],[UNIT S/IPI S/DESC]]-MateriaisPainel[[#This Row],[UNIT S/IPI S/DESC]]*MateriaisPainel[[#This Row],[DESC%]]</f>
        <v>0</v>
      </c>
      <c r="O18" s="248" t="s">
        <v>295</v>
      </c>
      <c r="P18" s="271" t="s">
        <v>155</v>
      </c>
      <c r="Q18" s="249">
        <v>1.6500000000000001E-2</v>
      </c>
      <c r="R18" s="249">
        <v>7.5999999999999998E-2</v>
      </c>
      <c r="S18" s="107">
        <f>MateriaisPainel[[#This Row],[UNIT S/ IP + DIF ICMS]]*MateriaisPainel[[#This Row],[QUANTIDADE]]</f>
        <v>0</v>
      </c>
      <c r="T18" s="307">
        <f>MateriaisPainel[[#This Row],[TOTAL S/ IPI]]+(MateriaisPainel[[#This Row],[TOTAL S/ IPI]]*MateriaisPainel[[#This Row],[IPI %]])</f>
        <v>0</v>
      </c>
      <c r="U18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8" s="308">
        <f>MateriaisPainel[[#This Row],[UNIT S/ IPI C/DESC]]*MateriaisPainel[[#This Row],[ICMS %]]</f>
        <v>0</v>
      </c>
      <c r="W18" s="308">
        <f>(MateriaisPainel[[#This Row],[PIS]]*MateriaisPainel[[#This Row],[UNIT S/ IPI C/DESC]])/2</f>
        <v>0</v>
      </c>
      <c r="X18" s="308">
        <f>(MateriaisPainel[[#This Row],[COFINS]]*MateriaisPainel[[#This Row],[UNIT S/ IPI C/DESC]])/2</f>
        <v>0</v>
      </c>
      <c r="Y18" s="308">
        <f>MateriaisPainel[[#This Row],[ICMS $]]*MateriaisPainel[[#This Row],[QUANTIDADE]]</f>
        <v>0</v>
      </c>
      <c r="Z18" s="309">
        <f>MateriaisPainel[[#This Row],[UNIT S/ IPI C/DESC]]+MateriaisPainel[[#This Row],[DIFERENCIAL ICMS]]</f>
        <v>0</v>
      </c>
      <c r="AA18" s="307">
        <f>MateriaisPainel[[#This Row],[UNIT S/ IP + DIF ICMS]]+(MateriaisPainel[[#This Row],[UNIT S/ IP + DIF ICMS]]*MateriaisPainel[[#This Row],[IPI %]])</f>
        <v>0</v>
      </c>
      <c r="AB18" s="361">
        <f>_xlfn.XLOOKUP(MateriaisPainel[[#This Row],[FATURAMENTO]],BASE!$U$48:$U$50,BASE!$W$48:$W$50,0,0,1)</f>
        <v>0.79709863947533133</v>
      </c>
      <c r="AC18" s="362" t="str">
        <f>RESUMO!$E$71</f>
        <v>SIM</v>
      </c>
      <c r="AD18" s="362" t="str">
        <f>RESUMO!$E$72</f>
        <v>SIM</v>
      </c>
      <c r="AE18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18" s="364">
        <f>MateriaisPainel[[#This Row],[UNIT CRED]]*MateriaisPainel[[#This Row],[QUANTIDADE]]</f>
        <v>0</v>
      </c>
      <c r="AG18" s="307">
        <f>MateriaisPainel[[#This Row],[TOT CRED]]</f>
        <v>0</v>
      </c>
      <c r="AH18" s="365">
        <f>IF(MateriaisPainel[[#This Row],[QUANTIDADE]]&lt;&gt;0,((MateriaisPainel[[#This Row],[TOT CUSTO]]/MateriaisPainel[[#This Row],[QUANTIDADE]])/MateriaisPainel[[#This Row],[MARK-UP]]),0)</f>
        <v>0</v>
      </c>
      <c r="AI18" s="105">
        <f>MateriaisPainel[[#This Row],[UNIT VENDA]]*MateriaisPainel[[#This Row],[QUANTIDADE]]</f>
        <v>0</v>
      </c>
      <c r="AJ18" s="105">
        <f>IFERROR(MateriaisPainel[[#This Row],[VENDA]]*(RESUMO!$F$70/RESUMO!$F$60),0)</f>
        <v>0</v>
      </c>
      <c r="AK18" s="105">
        <f>IFERROR(MateriaisPainel[[#This Row],[VENDA]]*(RESUMO!$F$73/RESUMO!$F$60),0)</f>
        <v>0</v>
      </c>
      <c r="AL18" s="234">
        <f>IF(MateriaisPainel[[#This Row],[FATURAMENTO]]="NORMAL",MateriaisPainel[[#This Row],[VENDA]],0)</f>
        <v>0</v>
      </c>
      <c r="AM18" s="27"/>
      <c r="AP18" s="267"/>
      <c r="AQ18" s="267"/>
      <c r="AR18" s="267"/>
    </row>
    <row r="19" spans="1:44" x14ac:dyDescent="0.35">
      <c r="A19" s="100"/>
      <c r="B19" s="104"/>
      <c r="C19" s="305"/>
      <c r="D19" s="100"/>
      <c r="E19" s="119"/>
      <c r="F19" s="119">
        <f t="shared" si="0"/>
        <v>0</v>
      </c>
      <c r="G19" s="104"/>
      <c r="H19" s="377"/>
      <c r="I19" s="306"/>
      <c r="J19" s="378"/>
      <c r="K19" s="351"/>
      <c r="L19" s="351"/>
      <c r="M19" s="390"/>
      <c r="N19" s="347">
        <f>MateriaisPainel[[#This Row],[UNIT S/IPI S/DESC]]-MateriaisPainel[[#This Row],[UNIT S/IPI S/DESC]]*MateriaisPainel[[#This Row],[DESC%]]</f>
        <v>0</v>
      </c>
      <c r="O19" s="248" t="s">
        <v>295</v>
      </c>
      <c r="P19" s="271" t="s">
        <v>155</v>
      </c>
      <c r="Q19" s="249">
        <v>1.6500000000000001E-2</v>
      </c>
      <c r="R19" s="249">
        <v>7.5999999999999998E-2</v>
      </c>
      <c r="S19" s="107">
        <f>MateriaisPainel[[#This Row],[UNIT S/ IP + DIF ICMS]]*MateriaisPainel[[#This Row],[QUANTIDADE]]</f>
        <v>0</v>
      </c>
      <c r="T19" s="307">
        <f>MateriaisPainel[[#This Row],[TOTAL S/ IPI]]+(MateriaisPainel[[#This Row],[TOTAL S/ IPI]]*MateriaisPainel[[#This Row],[IPI %]])</f>
        <v>0</v>
      </c>
      <c r="U19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19" s="308">
        <f>MateriaisPainel[[#This Row],[UNIT S/ IPI C/DESC]]*MateriaisPainel[[#This Row],[ICMS %]]</f>
        <v>0</v>
      </c>
      <c r="W19" s="308">
        <f>(MateriaisPainel[[#This Row],[PIS]]*MateriaisPainel[[#This Row],[UNIT S/ IPI C/DESC]])/2</f>
        <v>0</v>
      </c>
      <c r="X19" s="308">
        <f>(MateriaisPainel[[#This Row],[COFINS]]*MateriaisPainel[[#This Row],[UNIT S/ IPI C/DESC]])/2</f>
        <v>0</v>
      </c>
      <c r="Y19" s="308">
        <f>MateriaisPainel[[#This Row],[ICMS $]]*MateriaisPainel[[#This Row],[QUANTIDADE]]</f>
        <v>0</v>
      </c>
      <c r="Z19" s="309">
        <f>MateriaisPainel[[#This Row],[UNIT S/ IPI C/DESC]]+MateriaisPainel[[#This Row],[DIFERENCIAL ICMS]]</f>
        <v>0</v>
      </c>
      <c r="AA19" s="307">
        <f>MateriaisPainel[[#This Row],[UNIT S/ IP + DIF ICMS]]+(MateriaisPainel[[#This Row],[UNIT S/ IP + DIF ICMS]]*MateriaisPainel[[#This Row],[IPI %]])</f>
        <v>0</v>
      </c>
      <c r="AB19" s="361">
        <f>_xlfn.XLOOKUP(MateriaisPainel[[#This Row],[FATURAMENTO]],BASE!$U$48:$U$50,BASE!$W$48:$W$50,0,0,1)</f>
        <v>0.79709863947533133</v>
      </c>
      <c r="AC19" s="362" t="str">
        <f>RESUMO!$E$71</f>
        <v>SIM</v>
      </c>
      <c r="AD19" s="362" t="str">
        <f>RESUMO!$E$72</f>
        <v>SIM</v>
      </c>
      <c r="AE19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19" s="364">
        <f>MateriaisPainel[[#This Row],[UNIT CRED]]*MateriaisPainel[[#This Row],[QUANTIDADE]]</f>
        <v>0</v>
      </c>
      <c r="AG19" s="307">
        <f>MateriaisPainel[[#This Row],[TOT CRED]]</f>
        <v>0</v>
      </c>
      <c r="AH19" s="365">
        <f>IF(MateriaisPainel[[#This Row],[QUANTIDADE]]&lt;&gt;0,((MateriaisPainel[[#This Row],[TOT CUSTO]]/MateriaisPainel[[#This Row],[QUANTIDADE]])/MateriaisPainel[[#This Row],[MARK-UP]]),0)</f>
        <v>0</v>
      </c>
      <c r="AI19" s="105">
        <f>MateriaisPainel[[#This Row],[UNIT VENDA]]*MateriaisPainel[[#This Row],[QUANTIDADE]]</f>
        <v>0</v>
      </c>
      <c r="AJ19" s="105">
        <f>IFERROR(MateriaisPainel[[#This Row],[VENDA]]*(RESUMO!$F$70/RESUMO!$F$60),0)</f>
        <v>0</v>
      </c>
      <c r="AK19" s="105">
        <f>IFERROR(MateriaisPainel[[#This Row],[VENDA]]*(RESUMO!$F$73/RESUMO!$F$60),0)</f>
        <v>0</v>
      </c>
      <c r="AL19" s="234">
        <f>IF(MateriaisPainel[[#This Row],[FATURAMENTO]]="NORMAL",MateriaisPainel[[#This Row],[VENDA]],0)</f>
        <v>0</v>
      </c>
      <c r="AM19" s="27"/>
      <c r="AP19" s="267"/>
      <c r="AQ19" s="267"/>
      <c r="AR19" s="267"/>
    </row>
    <row r="20" spans="1:44" x14ac:dyDescent="0.35">
      <c r="A20" s="100"/>
      <c r="B20" s="104"/>
      <c r="C20" s="305"/>
      <c r="D20" s="100"/>
      <c r="E20" s="119"/>
      <c r="F20" s="119">
        <f t="shared" si="0"/>
        <v>0</v>
      </c>
      <c r="G20" s="104"/>
      <c r="H20" s="377"/>
      <c r="I20" s="306"/>
      <c r="J20" s="378"/>
      <c r="K20" s="351"/>
      <c r="L20" s="351"/>
      <c r="M20" s="390"/>
      <c r="N20" s="347">
        <f>MateriaisPainel[[#This Row],[UNIT S/IPI S/DESC]]-MateriaisPainel[[#This Row],[UNIT S/IPI S/DESC]]*MateriaisPainel[[#This Row],[DESC%]]</f>
        <v>0</v>
      </c>
      <c r="O20" s="248" t="s">
        <v>295</v>
      </c>
      <c r="P20" s="271" t="s">
        <v>155</v>
      </c>
      <c r="Q20" s="249">
        <v>1.6500000000000001E-2</v>
      </c>
      <c r="R20" s="249">
        <v>7.5999999999999998E-2</v>
      </c>
      <c r="S20" s="107">
        <f>MateriaisPainel[[#This Row],[UNIT S/ IP + DIF ICMS]]*MateriaisPainel[[#This Row],[QUANTIDADE]]</f>
        <v>0</v>
      </c>
      <c r="T20" s="307">
        <f>MateriaisPainel[[#This Row],[TOTAL S/ IPI]]+(MateriaisPainel[[#This Row],[TOTAL S/ IPI]]*MateriaisPainel[[#This Row],[IPI %]])</f>
        <v>0</v>
      </c>
      <c r="U20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0" s="308">
        <f>MateriaisPainel[[#This Row],[UNIT S/ IPI C/DESC]]*MateriaisPainel[[#This Row],[ICMS %]]</f>
        <v>0</v>
      </c>
      <c r="W20" s="308">
        <f>(MateriaisPainel[[#This Row],[PIS]]*MateriaisPainel[[#This Row],[UNIT S/ IPI C/DESC]])/2</f>
        <v>0</v>
      </c>
      <c r="X20" s="308">
        <f>(MateriaisPainel[[#This Row],[COFINS]]*MateriaisPainel[[#This Row],[UNIT S/ IPI C/DESC]])/2</f>
        <v>0</v>
      </c>
      <c r="Y20" s="308">
        <f>MateriaisPainel[[#This Row],[ICMS $]]*MateriaisPainel[[#This Row],[QUANTIDADE]]</f>
        <v>0</v>
      </c>
      <c r="Z20" s="309">
        <f>MateriaisPainel[[#This Row],[UNIT S/ IPI C/DESC]]+MateriaisPainel[[#This Row],[DIFERENCIAL ICMS]]</f>
        <v>0</v>
      </c>
      <c r="AA20" s="307">
        <f>MateriaisPainel[[#This Row],[UNIT S/ IP + DIF ICMS]]+(MateriaisPainel[[#This Row],[UNIT S/ IP + DIF ICMS]]*MateriaisPainel[[#This Row],[IPI %]])</f>
        <v>0</v>
      </c>
      <c r="AB20" s="361">
        <f>_xlfn.XLOOKUP(MateriaisPainel[[#This Row],[FATURAMENTO]],BASE!$U$48:$U$50,BASE!$W$48:$W$50,0,0,1)</f>
        <v>0.79709863947533133</v>
      </c>
      <c r="AC20" s="362" t="str">
        <f>RESUMO!$E$71</f>
        <v>SIM</v>
      </c>
      <c r="AD20" s="362" t="str">
        <f>RESUMO!$E$72</f>
        <v>SIM</v>
      </c>
      <c r="AE20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0" s="364">
        <f>MateriaisPainel[[#This Row],[UNIT CRED]]*MateriaisPainel[[#This Row],[QUANTIDADE]]</f>
        <v>0</v>
      </c>
      <c r="AG20" s="307">
        <f>MateriaisPainel[[#This Row],[TOT CRED]]</f>
        <v>0</v>
      </c>
      <c r="AH20" s="365">
        <f>IF(MateriaisPainel[[#This Row],[QUANTIDADE]]&lt;&gt;0,((MateriaisPainel[[#This Row],[TOT CUSTO]]/MateriaisPainel[[#This Row],[QUANTIDADE]])/MateriaisPainel[[#This Row],[MARK-UP]]),0)</f>
        <v>0</v>
      </c>
      <c r="AI20" s="105">
        <f>MateriaisPainel[[#This Row],[UNIT VENDA]]*MateriaisPainel[[#This Row],[QUANTIDADE]]</f>
        <v>0</v>
      </c>
      <c r="AJ20" s="105">
        <f>IFERROR(MateriaisPainel[[#This Row],[VENDA]]*(RESUMO!$F$70/RESUMO!$F$60),0)</f>
        <v>0</v>
      </c>
      <c r="AK20" s="105">
        <f>IFERROR(MateriaisPainel[[#This Row],[VENDA]]*(RESUMO!$F$73/RESUMO!$F$60),0)</f>
        <v>0</v>
      </c>
      <c r="AL20" s="234">
        <f>IF(MateriaisPainel[[#This Row],[FATURAMENTO]]="NORMAL",MateriaisPainel[[#This Row],[VENDA]],0)</f>
        <v>0</v>
      </c>
      <c r="AM20" s="27"/>
      <c r="AP20" s="267"/>
      <c r="AQ20" s="267"/>
      <c r="AR20" s="267"/>
    </row>
    <row r="21" spans="1:44" x14ac:dyDescent="0.35">
      <c r="A21" s="100"/>
      <c r="B21" s="104"/>
      <c r="C21" s="305"/>
      <c r="D21" s="100"/>
      <c r="E21" s="119"/>
      <c r="F21" s="119">
        <f t="shared" si="0"/>
        <v>0</v>
      </c>
      <c r="G21" s="104"/>
      <c r="H21" s="377"/>
      <c r="I21" s="306"/>
      <c r="J21" s="378"/>
      <c r="K21" s="351"/>
      <c r="L21" s="351"/>
      <c r="M21" s="390"/>
      <c r="N21" s="347">
        <f>MateriaisPainel[[#This Row],[UNIT S/IPI S/DESC]]-MateriaisPainel[[#This Row],[UNIT S/IPI S/DESC]]*MateriaisPainel[[#This Row],[DESC%]]</f>
        <v>0</v>
      </c>
      <c r="O21" s="248" t="s">
        <v>295</v>
      </c>
      <c r="P21" s="271" t="s">
        <v>155</v>
      </c>
      <c r="Q21" s="249">
        <v>1.6500000000000001E-2</v>
      </c>
      <c r="R21" s="249">
        <v>7.5999999999999998E-2</v>
      </c>
      <c r="S21" s="107">
        <f>MateriaisPainel[[#This Row],[UNIT S/ IP + DIF ICMS]]*MateriaisPainel[[#This Row],[QUANTIDADE]]</f>
        <v>0</v>
      </c>
      <c r="T21" s="307">
        <f>MateriaisPainel[[#This Row],[TOTAL S/ IPI]]+(MateriaisPainel[[#This Row],[TOTAL S/ IPI]]*MateriaisPainel[[#This Row],[IPI %]])</f>
        <v>0</v>
      </c>
      <c r="U21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1" s="308">
        <f>MateriaisPainel[[#This Row],[UNIT S/ IPI C/DESC]]*MateriaisPainel[[#This Row],[ICMS %]]</f>
        <v>0</v>
      </c>
      <c r="W21" s="308">
        <f>(MateriaisPainel[[#This Row],[PIS]]*MateriaisPainel[[#This Row],[UNIT S/ IPI C/DESC]])/2</f>
        <v>0</v>
      </c>
      <c r="X21" s="308">
        <f>(MateriaisPainel[[#This Row],[COFINS]]*MateriaisPainel[[#This Row],[UNIT S/ IPI C/DESC]])/2</f>
        <v>0</v>
      </c>
      <c r="Y21" s="308">
        <f>MateriaisPainel[[#This Row],[ICMS $]]*MateriaisPainel[[#This Row],[QUANTIDADE]]</f>
        <v>0</v>
      </c>
      <c r="Z21" s="309">
        <f>MateriaisPainel[[#This Row],[UNIT S/ IPI C/DESC]]+MateriaisPainel[[#This Row],[DIFERENCIAL ICMS]]</f>
        <v>0</v>
      </c>
      <c r="AA21" s="307">
        <f>MateriaisPainel[[#This Row],[UNIT S/ IP + DIF ICMS]]+(MateriaisPainel[[#This Row],[UNIT S/ IP + DIF ICMS]]*MateriaisPainel[[#This Row],[IPI %]])</f>
        <v>0</v>
      </c>
      <c r="AB21" s="361">
        <f>_xlfn.XLOOKUP(MateriaisPainel[[#This Row],[FATURAMENTO]],BASE!$U$48:$U$50,BASE!$W$48:$W$50,0,0,1)</f>
        <v>0.79709863947533133</v>
      </c>
      <c r="AC21" s="362" t="str">
        <f>RESUMO!$E$71</f>
        <v>SIM</v>
      </c>
      <c r="AD21" s="362" t="str">
        <f>RESUMO!$E$72</f>
        <v>SIM</v>
      </c>
      <c r="AE21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1" s="364">
        <f>MateriaisPainel[[#This Row],[UNIT CRED]]*MateriaisPainel[[#This Row],[QUANTIDADE]]</f>
        <v>0</v>
      </c>
      <c r="AG21" s="307">
        <f>MateriaisPainel[[#This Row],[TOT CRED]]</f>
        <v>0</v>
      </c>
      <c r="AH21" s="365">
        <f>IF(MateriaisPainel[[#This Row],[QUANTIDADE]]&lt;&gt;0,((MateriaisPainel[[#This Row],[TOT CUSTO]]/MateriaisPainel[[#This Row],[QUANTIDADE]])/MateriaisPainel[[#This Row],[MARK-UP]]),0)</f>
        <v>0</v>
      </c>
      <c r="AI21" s="105">
        <f>MateriaisPainel[[#This Row],[UNIT VENDA]]*MateriaisPainel[[#This Row],[QUANTIDADE]]</f>
        <v>0</v>
      </c>
      <c r="AJ21" s="105">
        <f>IFERROR(MateriaisPainel[[#This Row],[VENDA]]*(RESUMO!$F$70/RESUMO!$F$60),0)</f>
        <v>0</v>
      </c>
      <c r="AK21" s="105">
        <f>IFERROR(MateriaisPainel[[#This Row],[VENDA]]*(RESUMO!$F$73/RESUMO!$F$60),0)</f>
        <v>0</v>
      </c>
      <c r="AL21" s="234">
        <f>IF(MateriaisPainel[[#This Row],[FATURAMENTO]]="NORMAL",MateriaisPainel[[#This Row],[VENDA]],0)</f>
        <v>0</v>
      </c>
      <c r="AM21" s="27"/>
      <c r="AP21" s="267"/>
      <c r="AQ21" s="267"/>
      <c r="AR21" s="267"/>
    </row>
    <row r="22" spans="1:44" x14ac:dyDescent="0.35">
      <c r="A22" s="100"/>
      <c r="B22" s="104"/>
      <c r="C22" s="305"/>
      <c r="D22" s="100"/>
      <c r="E22" s="119"/>
      <c r="F22" s="119">
        <f t="shared" si="0"/>
        <v>0</v>
      </c>
      <c r="G22" s="104"/>
      <c r="H22" s="377"/>
      <c r="I22" s="306"/>
      <c r="J22" s="378"/>
      <c r="K22" s="351"/>
      <c r="L22" s="351"/>
      <c r="M22" s="390"/>
      <c r="N22" s="347">
        <f>MateriaisPainel[[#This Row],[UNIT S/IPI S/DESC]]-MateriaisPainel[[#This Row],[UNIT S/IPI S/DESC]]*MateriaisPainel[[#This Row],[DESC%]]</f>
        <v>0</v>
      </c>
      <c r="O22" s="248" t="s">
        <v>295</v>
      </c>
      <c r="P22" s="271" t="s">
        <v>155</v>
      </c>
      <c r="Q22" s="249">
        <v>1.6500000000000001E-2</v>
      </c>
      <c r="R22" s="249">
        <v>7.5999999999999998E-2</v>
      </c>
      <c r="S22" s="107">
        <f>MateriaisPainel[[#This Row],[UNIT S/ IP + DIF ICMS]]*MateriaisPainel[[#This Row],[QUANTIDADE]]</f>
        <v>0</v>
      </c>
      <c r="T22" s="307">
        <f>MateriaisPainel[[#This Row],[TOTAL S/ IPI]]+(MateriaisPainel[[#This Row],[TOTAL S/ IPI]]*MateriaisPainel[[#This Row],[IPI %]])</f>
        <v>0</v>
      </c>
      <c r="U22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2" s="308">
        <f>MateriaisPainel[[#This Row],[UNIT S/ IPI C/DESC]]*MateriaisPainel[[#This Row],[ICMS %]]</f>
        <v>0</v>
      </c>
      <c r="W22" s="308">
        <f>(MateriaisPainel[[#This Row],[PIS]]*MateriaisPainel[[#This Row],[UNIT S/ IPI C/DESC]])/2</f>
        <v>0</v>
      </c>
      <c r="X22" s="308">
        <f>(MateriaisPainel[[#This Row],[COFINS]]*MateriaisPainel[[#This Row],[UNIT S/ IPI C/DESC]])/2</f>
        <v>0</v>
      </c>
      <c r="Y22" s="308">
        <f>MateriaisPainel[[#This Row],[ICMS $]]*MateriaisPainel[[#This Row],[QUANTIDADE]]</f>
        <v>0</v>
      </c>
      <c r="Z22" s="309">
        <f>MateriaisPainel[[#This Row],[UNIT S/ IPI C/DESC]]+MateriaisPainel[[#This Row],[DIFERENCIAL ICMS]]</f>
        <v>0</v>
      </c>
      <c r="AA22" s="307">
        <f>MateriaisPainel[[#This Row],[UNIT S/ IP + DIF ICMS]]+(MateriaisPainel[[#This Row],[UNIT S/ IP + DIF ICMS]]*MateriaisPainel[[#This Row],[IPI %]])</f>
        <v>0</v>
      </c>
      <c r="AB22" s="361">
        <f>_xlfn.XLOOKUP(MateriaisPainel[[#This Row],[FATURAMENTO]],BASE!$U$48:$U$50,BASE!$W$48:$W$50,0,0,1)</f>
        <v>0.79709863947533133</v>
      </c>
      <c r="AC22" s="362" t="str">
        <f>RESUMO!$E$71</f>
        <v>SIM</v>
      </c>
      <c r="AD22" s="362" t="str">
        <f>RESUMO!$E$72</f>
        <v>SIM</v>
      </c>
      <c r="AE22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2" s="364">
        <f>MateriaisPainel[[#This Row],[UNIT CRED]]*MateriaisPainel[[#This Row],[QUANTIDADE]]</f>
        <v>0</v>
      </c>
      <c r="AG22" s="307">
        <f>MateriaisPainel[[#This Row],[TOT CRED]]</f>
        <v>0</v>
      </c>
      <c r="AH22" s="365">
        <f>IF(MateriaisPainel[[#This Row],[QUANTIDADE]]&lt;&gt;0,((MateriaisPainel[[#This Row],[TOT CUSTO]]/MateriaisPainel[[#This Row],[QUANTIDADE]])/MateriaisPainel[[#This Row],[MARK-UP]]),0)</f>
        <v>0</v>
      </c>
      <c r="AI22" s="105">
        <f>MateriaisPainel[[#This Row],[UNIT VENDA]]*MateriaisPainel[[#This Row],[QUANTIDADE]]</f>
        <v>0</v>
      </c>
      <c r="AJ22" s="105">
        <f>IFERROR(MateriaisPainel[[#This Row],[VENDA]]*(RESUMO!$F$70/RESUMO!$F$60),0)</f>
        <v>0</v>
      </c>
      <c r="AK22" s="105">
        <f>IFERROR(MateriaisPainel[[#This Row],[VENDA]]*(RESUMO!$F$73/RESUMO!$F$60),0)</f>
        <v>0</v>
      </c>
      <c r="AL22" s="234">
        <f>IF(MateriaisPainel[[#This Row],[FATURAMENTO]]="NORMAL",MateriaisPainel[[#This Row],[VENDA]],0)</f>
        <v>0</v>
      </c>
      <c r="AM22" s="27"/>
      <c r="AP22" s="267"/>
      <c r="AQ22" s="267"/>
      <c r="AR22" s="267"/>
    </row>
    <row r="23" spans="1:44" x14ac:dyDescent="0.35">
      <c r="A23" s="100"/>
      <c r="B23" s="104"/>
      <c r="C23" s="305"/>
      <c r="D23" s="100"/>
      <c r="E23" s="119"/>
      <c r="F23" s="119">
        <f t="shared" si="0"/>
        <v>0</v>
      </c>
      <c r="G23" s="104"/>
      <c r="H23" s="377"/>
      <c r="I23" s="306"/>
      <c r="J23" s="378"/>
      <c r="K23" s="351"/>
      <c r="L23" s="351"/>
      <c r="M23" s="390"/>
      <c r="N23" s="347">
        <f>MateriaisPainel[[#This Row],[UNIT S/IPI S/DESC]]-MateriaisPainel[[#This Row],[UNIT S/IPI S/DESC]]*MateriaisPainel[[#This Row],[DESC%]]</f>
        <v>0</v>
      </c>
      <c r="O23" s="248" t="s">
        <v>295</v>
      </c>
      <c r="P23" s="271" t="s">
        <v>155</v>
      </c>
      <c r="Q23" s="249">
        <v>1.6500000000000001E-2</v>
      </c>
      <c r="R23" s="249">
        <v>7.5999999999999998E-2</v>
      </c>
      <c r="S23" s="107">
        <f>MateriaisPainel[[#This Row],[UNIT S/ IP + DIF ICMS]]*MateriaisPainel[[#This Row],[QUANTIDADE]]</f>
        <v>0</v>
      </c>
      <c r="T23" s="307">
        <f>MateriaisPainel[[#This Row],[TOTAL S/ IPI]]+(MateriaisPainel[[#This Row],[TOTAL S/ IPI]]*MateriaisPainel[[#This Row],[IPI %]])</f>
        <v>0</v>
      </c>
      <c r="U23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3" s="308">
        <f>MateriaisPainel[[#This Row],[UNIT S/ IPI C/DESC]]*MateriaisPainel[[#This Row],[ICMS %]]</f>
        <v>0</v>
      </c>
      <c r="W23" s="308">
        <f>(MateriaisPainel[[#This Row],[PIS]]*MateriaisPainel[[#This Row],[UNIT S/ IPI C/DESC]])/2</f>
        <v>0</v>
      </c>
      <c r="X23" s="308">
        <f>(MateriaisPainel[[#This Row],[COFINS]]*MateriaisPainel[[#This Row],[UNIT S/ IPI C/DESC]])/2</f>
        <v>0</v>
      </c>
      <c r="Y23" s="308">
        <f>MateriaisPainel[[#This Row],[ICMS $]]*MateriaisPainel[[#This Row],[QUANTIDADE]]</f>
        <v>0</v>
      </c>
      <c r="Z23" s="309">
        <f>MateriaisPainel[[#This Row],[UNIT S/ IPI C/DESC]]+MateriaisPainel[[#This Row],[DIFERENCIAL ICMS]]</f>
        <v>0</v>
      </c>
      <c r="AA23" s="307">
        <f>MateriaisPainel[[#This Row],[UNIT S/ IP + DIF ICMS]]+(MateriaisPainel[[#This Row],[UNIT S/ IP + DIF ICMS]]*MateriaisPainel[[#This Row],[IPI %]])</f>
        <v>0</v>
      </c>
      <c r="AB23" s="361">
        <f>_xlfn.XLOOKUP(MateriaisPainel[[#This Row],[FATURAMENTO]],BASE!$U$48:$U$50,BASE!$W$48:$W$50,0,0,1)</f>
        <v>0.79709863947533133</v>
      </c>
      <c r="AC23" s="362" t="str">
        <f>RESUMO!$E$71</f>
        <v>SIM</v>
      </c>
      <c r="AD23" s="362" t="str">
        <f>RESUMO!$E$72</f>
        <v>SIM</v>
      </c>
      <c r="AE23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3" s="364">
        <f>MateriaisPainel[[#This Row],[UNIT CRED]]*MateriaisPainel[[#This Row],[QUANTIDADE]]</f>
        <v>0</v>
      </c>
      <c r="AG23" s="307">
        <f>MateriaisPainel[[#This Row],[TOT CRED]]</f>
        <v>0</v>
      </c>
      <c r="AH23" s="365">
        <f>IF(MateriaisPainel[[#This Row],[QUANTIDADE]]&lt;&gt;0,((MateriaisPainel[[#This Row],[TOT CUSTO]]/MateriaisPainel[[#This Row],[QUANTIDADE]])/MateriaisPainel[[#This Row],[MARK-UP]]),0)</f>
        <v>0</v>
      </c>
      <c r="AI23" s="105">
        <f>MateriaisPainel[[#This Row],[UNIT VENDA]]*MateriaisPainel[[#This Row],[QUANTIDADE]]</f>
        <v>0</v>
      </c>
      <c r="AJ23" s="105">
        <f>IFERROR(MateriaisPainel[[#This Row],[VENDA]]*(RESUMO!$F$70/RESUMO!$F$60),0)</f>
        <v>0</v>
      </c>
      <c r="AK23" s="105">
        <f>IFERROR(MateriaisPainel[[#This Row],[VENDA]]*(RESUMO!$F$73/RESUMO!$F$60),0)</f>
        <v>0</v>
      </c>
      <c r="AL23" s="234">
        <f>IF(MateriaisPainel[[#This Row],[FATURAMENTO]]="NORMAL",MateriaisPainel[[#This Row],[VENDA]],0)</f>
        <v>0</v>
      </c>
      <c r="AM23" s="27"/>
      <c r="AP23" s="267"/>
      <c r="AQ23" s="267"/>
      <c r="AR23" s="267"/>
    </row>
    <row r="24" spans="1:44" x14ac:dyDescent="0.35">
      <c r="A24" s="100"/>
      <c r="B24" s="104"/>
      <c r="C24" s="305"/>
      <c r="D24" s="100"/>
      <c r="E24" s="119"/>
      <c r="F24" s="119">
        <f t="shared" si="0"/>
        <v>0</v>
      </c>
      <c r="G24" s="104"/>
      <c r="H24" s="377"/>
      <c r="I24" s="306"/>
      <c r="J24" s="378"/>
      <c r="K24" s="351"/>
      <c r="L24" s="351"/>
      <c r="M24" s="390"/>
      <c r="N24" s="347">
        <f>MateriaisPainel[[#This Row],[UNIT S/IPI S/DESC]]-MateriaisPainel[[#This Row],[UNIT S/IPI S/DESC]]*MateriaisPainel[[#This Row],[DESC%]]</f>
        <v>0</v>
      </c>
      <c r="O24" s="248" t="s">
        <v>295</v>
      </c>
      <c r="P24" s="271" t="s">
        <v>155</v>
      </c>
      <c r="Q24" s="249">
        <v>1.6500000000000001E-2</v>
      </c>
      <c r="R24" s="249">
        <v>7.5999999999999998E-2</v>
      </c>
      <c r="S24" s="107">
        <f>MateriaisPainel[[#This Row],[UNIT S/ IP + DIF ICMS]]*MateriaisPainel[[#This Row],[QUANTIDADE]]</f>
        <v>0</v>
      </c>
      <c r="T24" s="307">
        <f>MateriaisPainel[[#This Row],[TOTAL S/ IPI]]+(MateriaisPainel[[#This Row],[TOTAL S/ IPI]]*MateriaisPainel[[#This Row],[IPI %]])</f>
        <v>0</v>
      </c>
      <c r="U24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4" s="308">
        <f>MateriaisPainel[[#This Row],[UNIT S/ IPI C/DESC]]*MateriaisPainel[[#This Row],[ICMS %]]</f>
        <v>0</v>
      </c>
      <c r="W24" s="308">
        <f>(MateriaisPainel[[#This Row],[PIS]]*MateriaisPainel[[#This Row],[UNIT S/ IPI C/DESC]])/2</f>
        <v>0</v>
      </c>
      <c r="X24" s="308">
        <f>(MateriaisPainel[[#This Row],[COFINS]]*MateriaisPainel[[#This Row],[UNIT S/ IPI C/DESC]])/2</f>
        <v>0</v>
      </c>
      <c r="Y24" s="308">
        <f>MateriaisPainel[[#This Row],[ICMS $]]*MateriaisPainel[[#This Row],[QUANTIDADE]]</f>
        <v>0</v>
      </c>
      <c r="Z24" s="309">
        <f>MateriaisPainel[[#This Row],[UNIT S/ IPI C/DESC]]+MateriaisPainel[[#This Row],[DIFERENCIAL ICMS]]</f>
        <v>0</v>
      </c>
      <c r="AA24" s="307">
        <f>MateriaisPainel[[#This Row],[UNIT S/ IP + DIF ICMS]]+(MateriaisPainel[[#This Row],[UNIT S/ IP + DIF ICMS]]*MateriaisPainel[[#This Row],[IPI %]])</f>
        <v>0</v>
      </c>
      <c r="AB24" s="361">
        <f>_xlfn.XLOOKUP(MateriaisPainel[[#This Row],[FATURAMENTO]],BASE!$U$48:$U$50,BASE!$W$48:$W$50,0,0,1)</f>
        <v>0.79709863947533133</v>
      </c>
      <c r="AC24" s="362" t="str">
        <f>RESUMO!$E$71</f>
        <v>SIM</v>
      </c>
      <c r="AD24" s="362" t="str">
        <f>RESUMO!$E$72</f>
        <v>SIM</v>
      </c>
      <c r="AE24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4" s="364">
        <f>MateriaisPainel[[#This Row],[UNIT CRED]]*MateriaisPainel[[#This Row],[QUANTIDADE]]</f>
        <v>0</v>
      </c>
      <c r="AG24" s="307">
        <f>MateriaisPainel[[#This Row],[TOT CRED]]</f>
        <v>0</v>
      </c>
      <c r="AH24" s="365">
        <f>IF(MateriaisPainel[[#This Row],[QUANTIDADE]]&lt;&gt;0,((MateriaisPainel[[#This Row],[TOT CUSTO]]/MateriaisPainel[[#This Row],[QUANTIDADE]])/MateriaisPainel[[#This Row],[MARK-UP]]),0)</f>
        <v>0</v>
      </c>
      <c r="AI24" s="105">
        <f>MateriaisPainel[[#This Row],[UNIT VENDA]]*MateriaisPainel[[#This Row],[QUANTIDADE]]</f>
        <v>0</v>
      </c>
      <c r="AJ24" s="105">
        <f>IFERROR(MateriaisPainel[[#This Row],[VENDA]]*(RESUMO!$F$70/RESUMO!$F$60),0)</f>
        <v>0</v>
      </c>
      <c r="AK24" s="105">
        <f>IFERROR(MateriaisPainel[[#This Row],[VENDA]]*(RESUMO!$F$73/RESUMO!$F$60),0)</f>
        <v>0</v>
      </c>
      <c r="AL24" s="234">
        <f>IF(MateriaisPainel[[#This Row],[FATURAMENTO]]="NORMAL",MateriaisPainel[[#This Row],[VENDA]],0)</f>
        <v>0</v>
      </c>
      <c r="AM24" s="27"/>
      <c r="AP24" s="267"/>
      <c r="AQ24" s="267"/>
      <c r="AR24" s="267"/>
    </row>
    <row r="25" spans="1:44" x14ac:dyDescent="0.35">
      <c r="A25" s="100"/>
      <c r="B25" s="104"/>
      <c r="C25" s="305"/>
      <c r="D25" s="100"/>
      <c r="E25" s="119"/>
      <c r="F25" s="119">
        <f t="shared" si="0"/>
        <v>0</v>
      </c>
      <c r="G25" s="104"/>
      <c r="H25" s="377"/>
      <c r="I25" s="306"/>
      <c r="J25" s="378"/>
      <c r="K25" s="351"/>
      <c r="L25" s="351"/>
      <c r="M25" s="390"/>
      <c r="N25" s="347">
        <f>MateriaisPainel[[#This Row],[UNIT S/IPI S/DESC]]-MateriaisPainel[[#This Row],[UNIT S/IPI S/DESC]]*MateriaisPainel[[#This Row],[DESC%]]</f>
        <v>0</v>
      </c>
      <c r="O25" s="248" t="s">
        <v>295</v>
      </c>
      <c r="P25" s="271" t="s">
        <v>155</v>
      </c>
      <c r="Q25" s="249">
        <v>1.6500000000000001E-2</v>
      </c>
      <c r="R25" s="249">
        <v>7.5999999999999998E-2</v>
      </c>
      <c r="S25" s="107">
        <f>MateriaisPainel[[#This Row],[UNIT S/ IP + DIF ICMS]]*MateriaisPainel[[#This Row],[QUANTIDADE]]</f>
        <v>0</v>
      </c>
      <c r="T25" s="307">
        <f>MateriaisPainel[[#This Row],[TOTAL S/ IPI]]+(MateriaisPainel[[#This Row],[TOTAL S/ IPI]]*MateriaisPainel[[#This Row],[IPI %]])</f>
        <v>0</v>
      </c>
      <c r="U25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5" s="308">
        <f>MateriaisPainel[[#This Row],[UNIT S/ IPI C/DESC]]*MateriaisPainel[[#This Row],[ICMS %]]</f>
        <v>0</v>
      </c>
      <c r="W25" s="308">
        <f>(MateriaisPainel[[#This Row],[PIS]]*MateriaisPainel[[#This Row],[UNIT S/ IPI C/DESC]])/2</f>
        <v>0</v>
      </c>
      <c r="X25" s="308">
        <f>(MateriaisPainel[[#This Row],[COFINS]]*MateriaisPainel[[#This Row],[UNIT S/ IPI C/DESC]])/2</f>
        <v>0</v>
      </c>
      <c r="Y25" s="308">
        <f>MateriaisPainel[[#This Row],[ICMS $]]*MateriaisPainel[[#This Row],[QUANTIDADE]]</f>
        <v>0</v>
      </c>
      <c r="Z25" s="309">
        <f>MateriaisPainel[[#This Row],[UNIT S/ IPI C/DESC]]+MateriaisPainel[[#This Row],[DIFERENCIAL ICMS]]</f>
        <v>0</v>
      </c>
      <c r="AA25" s="307">
        <f>MateriaisPainel[[#This Row],[UNIT S/ IP + DIF ICMS]]+(MateriaisPainel[[#This Row],[UNIT S/ IP + DIF ICMS]]*MateriaisPainel[[#This Row],[IPI %]])</f>
        <v>0</v>
      </c>
      <c r="AB25" s="361">
        <f>_xlfn.XLOOKUP(MateriaisPainel[[#This Row],[FATURAMENTO]],BASE!$U$48:$U$50,BASE!$W$48:$W$50,0,0,1)</f>
        <v>0.79709863947533133</v>
      </c>
      <c r="AC25" s="362" t="str">
        <f>RESUMO!$E$71</f>
        <v>SIM</v>
      </c>
      <c r="AD25" s="362" t="str">
        <f>RESUMO!$E$72</f>
        <v>SIM</v>
      </c>
      <c r="AE25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5" s="364">
        <f>MateriaisPainel[[#This Row],[UNIT CRED]]*MateriaisPainel[[#This Row],[QUANTIDADE]]</f>
        <v>0</v>
      </c>
      <c r="AG25" s="307">
        <f>MateriaisPainel[[#This Row],[TOT CRED]]</f>
        <v>0</v>
      </c>
      <c r="AH25" s="365">
        <f>IF(MateriaisPainel[[#This Row],[QUANTIDADE]]&lt;&gt;0,((MateriaisPainel[[#This Row],[TOT CUSTO]]/MateriaisPainel[[#This Row],[QUANTIDADE]])/MateriaisPainel[[#This Row],[MARK-UP]]),0)</f>
        <v>0</v>
      </c>
      <c r="AI25" s="105">
        <f>MateriaisPainel[[#This Row],[UNIT VENDA]]*MateriaisPainel[[#This Row],[QUANTIDADE]]</f>
        <v>0</v>
      </c>
      <c r="AJ25" s="105">
        <f>IFERROR(MateriaisPainel[[#This Row],[VENDA]]*(RESUMO!$F$70/RESUMO!$F$60),0)</f>
        <v>0</v>
      </c>
      <c r="AK25" s="105">
        <f>IFERROR(MateriaisPainel[[#This Row],[VENDA]]*(RESUMO!$F$73/RESUMO!$F$60),0)</f>
        <v>0</v>
      </c>
      <c r="AL25" s="234">
        <f>IF(MateriaisPainel[[#This Row],[FATURAMENTO]]="NORMAL",MateriaisPainel[[#This Row],[VENDA]],0)</f>
        <v>0</v>
      </c>
      <c r="AM25" s="27"/>
      <c r="AP25" s="267"/>
      <c r="AQ25" s="267"/>
      <c r="AR25" s="267"/>
    </row>
    <row r="26" spans="1:44" x14ac:dyDescent="0.35">
      <c r="A26" s="100"/>
      <c r="B26" s="104"/>
      <c r="C26" s="305"/>
      <c r="D26" s="100"/>
      <c r="E26" s="119"/>
      <c r="F26" s="119">
        <f t="shared" si="0"/>
        <v>0</v>
      </c>
      <c r="G26" s="104"/>
      <c r="H26" s="377"/>
      <c r="I26" s="306"/>
      <c r="J26" s="378"/>
      <c r="K26" s="351"/>
      <c r="L26" s="351"/>
      <c r="M26" s="390"/>
      <c r="N26" s="347">
        <f>MateriaisPainel[[#This Row],[UNIT S/IPI S/DESC]]-MateriaisPainel[[#This Row],[UNIT S/IPI S/DESC]]*MateriaisPainel[[#This Row],[DESC%]]</f>
        <v>0</v>
      </c>
      <c r="O26" s="248" t="s">
        <v>295</v>
      </c>
      <c r="P26" s="271" t="s">
        <v>155</v>
      </c>
      <c r="Q26" s="249">
        <v>1.6500000000000001E-2</v>
      </c>
      <c r="R26" s="249">
        <v>7.5999999999999998E-2</v>
      </c>
      <c r="S26" s="107">
        <f>MateriaisPainel[[#This Row],[UNIT S/ IP + DIF ICMS]]*MateriaisPainel[[#This Row],[QUANTIDADE]]</f>
        <v>0</v>
      </c>
      <c r="T26" s="307">
        <f>MateriaisPainel[[#This Row],[TOTAL S/ IPI]]+(MateriaisPainel[[#This Row],[TOTAL S/ IPI]]*MateriaisPainel[[#This Row],[IPI %]])</f>
        <v>0</v>
      </c>
      <c r="U26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6" s="308">
        <f>MateriaisPainel[[#This Row],[UNIT S/ IPI C/DESC]]*MateriaisPainel[[#This Row],[ICMS %]]</f>
        <v>0</v>
      </c>
      <c r="W26" s="308">
        <f>(MateriaisPainel[[#This Row],[PIS]]*MateriaisPainel[[#This Row],[UNIT S/ IPI C/DESC]])/2</f>
        <v>0</v>
      </c>
      <c r="X26" s="308">
        <f>(MateriaisPainel[[#This Row],[COFINS]]*MateriaisPainel[[#This Row],[UNIT S/ IPI C/DESC]])/2</f>
        <v>0</v>
      </c>
      <c r="Y26" s="308">
        <f>MateriaisPainel[[#This Row],[ICMS $]]*MateriaisPainel[[#This Row],[QUANTIDADE]]</f>
        <v>0</v>
      </c>
      <c r="Z26" s="309">
        <f>MateriaisPainel[[#This Row],[UNIT S/ IPI C/DESC]]+MateriaisPainel[[#This Row],[DIFERENCIAL ICMS]]</f>
        <v>0</v>
      </c>
      <c r="AA26" s="307">
        <f>MateriaisPainel[[#This Row],[UNIT S/ IP + DIF ICMS]]+(MateriaisPainel[[#This Row],[UNIT S/ IP + DIF ICMS]]*MateriaisPainel[[#This Row],[IPI %]])</f>
        <v>0</v>
      </c>
      <c r="AB26" s="361">
        <f>_xlfn.XLOOKUP(MateriaisPainel[[#This Row],[FATURAMENTO]],BASE!$U$48:$U$50,BASE!$W$48:$W$50,0,0,1)</f>
        <v>0.79709863947533133</v>
      </c>
      <c r="AC26" s="362" t="str">
        <f>RESUMO!$E$71</f>
        <v>SIM</v>
      </c>
      <c r="AD26" s="362" t="str">
        <f>RESUMO!$E$72</f>
        <v>SIM</v>
      </c>
      <c r="AE26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6" s="364">
        <f>MateriaisPainel[[#This Row],[UNIT CRED]]*MateriaisPainel[[#This Row],[QUANTIDADE]]</f>
        <v>0</v>
      </c>
      <c r="AG26" s="307">
        <f>MateriaisPainel[[#This Row],[TOT CRED]]</f>
        <v>0</v>
      </c>
      <c r="AH26" s="365">
        <f>IF(MateriaisPainel[[#This Row],[QUANTIDADE]]&lt;&gt;0,((MateriaisPainel[[#This Row],[TOT CUSTO]]/MateriaisPainel[[#This Row],[QUANTIDADE]])/MateriaisPainel[[#This Row],[MARK-UP]]),0)</f>
        <v>0</v>
      </c>
      <c r="AI26" s="105">
        <f>MateriaisPainel[[#This Row],[UNIT VENDA]]*MateriaisPainel[[#This Row],[QUANTIDADE]]</f>
        <v>0</v>
      </c>
      <c r="AJ26" s="105">
        <f>IFERROR(MateriaisPainel[[#This Row],[VENDA]]*(RESUMO!$F$70/RESUMO!$F$60),0)</f>
        <v>0</v>
      </c>
      <c r="AK26" s="105">
        <f>IFERROR(MateriaisPainel[[#This Row],[VENDA]]*(RESUMO!$F$73/RESUMO!$F$60),0)</f>
        <v>0</v>
      </c>
      <c r="AL26" s="234">
        <f>IF(MateriaisPainel[[#This Row],[FATURAMENTO]]="NORMAL",MateriaisPainel[[#This Row],[VENDA]],0)</f>
        <v>0</v>
      </c>
      <c r="AM26" s="27"/>
      <c r="AP26" s="267"/>
      <c r="AQ26" s="267"/>
      <c r="AR26" s="267"/>
    </row>
    <row r="27" spans="1:44" x14ac:dyDescent="0.35">
      <c r="A27" s="100"/>
      <c r="B27" s="104"/>
      <c r="C27" s="305"/>
      <c r="D27" s="100"/>
      <c r="E27" s="119"/>
      <c r="F27" s="119">
        <f t="shared" si="0"/>
        <v>0</v>
      </c>
      <c r="G27" s="104"/>
      <c r="H27" s="377"/>
      <c r="I27" s="306"/>
      <c r="J27" s="378"/>
      <c r="K27" s="351"/>
      <c r="L27" s="351"/>
      <c r="M27" s="390"/>
      <c r="N27" s="347">
        <f>MateriaisPainel[[#This Row],[UNIT S/IPI S/DESC]]-MateriaisPainel[[#This Row],[UNIT S/IPI S/DESC]]*MateriaisPainel[[#This Row],[DESC%]]</f>
        <v>0</v>
      </c>
      <c r="O27" s="248" t="s">
        <v>295</v>
      </c>
      <c r="P27" s="271" t="s">
        <v>155</v>
      </c>
      <c r="Q27" s="249">
        <v>1.6500000000000001E-2</v>
      </c>
      <c r="R27" s="249">
        <v>7.5999999999999998E-2</v>
      </c>
      <c r="S27" s="107">
        <f>MateriaisPainel[[#This Row],[UNIT S/ IP + DIF ICMS]]*MateriaisPainel[[#This Row],[QUANTIDADE]]</f>
        <v>0</v>
      </c>
      <c r="T27" s="307">
        <f>MateriaisPainel[[#This Row],[TOTAL S/ IPI]]+(MateriaisPainel[[#This Row],[TOTAL S/ IPI]]*MateriaisPainel[[#This Row],[IPI %]])</f>
        <v>0</v>
      </c>
      <c r="U27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7" s="308">
        <f>MateriaisPainel[[#This Row],[UNIT S/ IPI C/DESC]]*MateriaisPainel[[#This Row],[ICMS %]]</f>
        <v>0</v>
      </c>
      <c r="W27" s="308">
        <f>(MateriaisPainel[[#This Row],[PIS]]*MateriaisPainel[[#This Row],[UNIT S/ IPI C/DESC]])/2</f>
        <v>0</v>
      </c>
      <c r="X27" s="308">
        <f>(MateriaisPainel[[#This Row],[COFINS]]*MateriaisPainel[[#This Row],[UNIT S/ IPI C/DESC]])/2</f>
        <v>0</v>
      </c>
      <c r="Y27" s="308">
        <f>MateriaisPainel[[#This Row],[ICMS $]]*MateriaisPainel[[#This Row],[QUANTIDADE]]</f>
        <v>0</v>
      </c>
      <c r="Z27" s="309">
        <f>MateriaisPainel[[#This Row],[UNIT S/ IPI C/DESC]]+MateriaisPainel[[#This Row],[DIFERENCIAL ICMS]]</f>
        <v>0</v>
      </c>
      <c r="AA27" s="307">
        <f>MateriaisPainel[[#This Row],[UNIT S/ IP + DIF ICMS]]+(MateriaisPainel[[#This Row],[UNIT S/ IP + DIF ICMS]]*MateriaisPainel[[#This Row],[IPI %]])</f>
        <v>0</v>
      </c>
      <c r="AB27" s="361">
        <f>_xlfn.XLOOKUP(MateriaisPainel[[#This Row],[FATURAMENTO]],BASE!$U$48:$U$50,BASE!$W$48:$W$50,0,0,1)</f>
        <v>0.79709863947533133</v>
      </c>
      <c r="AC27" s="362" t="str">
        <f>RESUMO!$E$71</f>
        <v>SIM</v>
      </c>
      <c r="AD27" s="362" t="str">
        <f>RESUMO!$E$72</f>
        <v>SIM</v>
      </c>
      <c r="AE27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7" s="364">
        <f>MateriaisPainel[[#This Row],[UNIT CRED]]*MateriaisPainel[[#This Row],[QUANTIDADE]]</f>
        <v>0</v>
      </c>
      <c r="AG27" s="307">
        <f>MateriaisPainel[[#This Row],[TOT CRED]]</f>
        <v>0</v>
      </c>
      <c r="AH27" s="365">
        <f>IF(MateriaisPainel[[#This Row],[QUANTIDADE]]&lt;&gt;0,((MateriaisPainel[[#This Row],[TOT CUSTO]]/MateriaisPainel[[#This Row],[QUANTIDADE]])/MateriaisPainel[[#This Row],[MARK-UP]]),0)</f>
        <v>0</v>
      </c>
      <c r="AI27" s="105">
        <f>MateriaisPainel[[#This Row],[UNIT VENDA]]*MateriaisPainel[[#This Row],[QUANTIDADE]]</f>
        <v>0</v>
      </c>
      <c r="AJ27" s="105">
        <f>IFERROR(MateriaisPainel[[#This Row],[VENDA]]*(RESUMO!$F$70/RESUMO!$F$60),0)</f>
        <v>0</v>
      </c>
      <c r="AK27" s="105">
        <f>IFERROR(MateriaisPainel[[#This Row],[VENDA]]*(RESUMO!$F$73/RESUMO!$F$60),0)</f>
        <v>0</v>
      </c>
      <c r="AL27" s="234">
        <f>IF(MateriaisPainel[[#This Row],[FATURAMENTO]]="NORMAL",MateriaisPainel[[#This Row],[VENDA]],0)</f>
        <v>0</v>
      </c>
      <c r="AM27" s="27"/>
      <c r="AP27" s="267"/>
      <c r="AQ27" s="267"/>
      <c r="AR27" s="267"/>
    </row>
    <row r="28" spans="1:44" x14ac:dyDescent="0.35">
      <c r="A28" s="100"/>
      <c r="B28" s="104"/>
      <c r="C28" s="305"/>
      <c r="D28" s="100"/>
      <c r="E28" s="119"/>
      <c r="F28" s="119">
        <f t="shared" si="0"/>
        <v>0</v>
      </c>
      <c r="G28" s="104"/>
      <c r="H28" s="377"/>
      <c r="I28" s="306"/>
      <c r="J28" s="378"/>
      <c r="K28" s="351"/>
      <c r="L28" s="351"/>
      <c r="M28" s="390"/>
      <c r="N28" s="347">
        <f>MateriaisPainel[[#This Row],[UNIT S/IPI S/DESC]]-MateriaisPainel[[#This Row],[UNIT S/IPI S/DESC]]*MateriaisPainel[[#This Row],[DESC%]]</f>
        <v>0</v>
      </c>
      <c r="O28" s="248" t="s">
        <v>295</v>
      </c>
      <c r="P28" s="271" t="s">
        <v>155</v>
      </c>
      <c r="Q28" s="249">
        <v>1.6500000000000001E-2</v>
      </c>
      <c r="R28" s="249">
        <v>7.5999999999999998E-2</v>
      </c>
      <c r="S28" s="107">
        <f>MateriaisPainel[[#This Row],[UNIT S/ IP + DIF ICMS]]*MateriaisPainel[[#This Row],[QUANTIDADE]]</f>
        <v>0</v>
      </c>
      <c r="T28" s="307">
        <f>MateriaisPainel[[#This Row],[TOTAL S/ IPI]]+(MateriaisPainel[[#This Row],[TOTAL S/ IPI]]*MateriaisPainel[[#This Row],[IPI %]])</f>
        <v>0</v>
      </c>
      <c r="U28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8" s="308">
        <f>MateriaisPainel[[#This Row],[UNIT S/ IPI C/DESC]]*MateriaisPainel[[#This Row],[ICMS %]]</f>
        <v>0</v>
      </c>
      <c r="W28" s="308">
        <f>(MateriaisPainel[[#This Row],[PIS]]*MateriaisPainel[[#This Row],[UNIT S/ IPI C/DESC]])/2</f>
        <v>0</v>
      </c>
      <c r="X28" s="308">
        <f>(MateriaisPainel[[#This Row],[COFINS]]*MateriaisPainel[[#This Row],[UNIT S/ IPI C/DESC]])/2</f>
        <v>0</v>
      </c>
      <c r="Y28" s="308">
        <f>MateriaisPainel[[#This Row],[ICMS $]]*MateriaisPainel[[#This Row],[QUANTIDADE]]</f>
        <v>0</v>
      </c>
      <c r="Z28" s="309">
        <f>MateriaisPainel[[#This Row],[UNIT S/ IPI C/DESC]]+MateriaisPainel[[#This Row],[DIFERENCIAL ICMS]]</f>
        <v>0</v>
      </c>
      <c r="AA28" s="307">
        <f>MateriaisPainel[[#This Row],[UNIT S/ IP + DIF ICMS]]+(MateriaisPainel[[#This Row],[UNIT S/ IP + DIF ICMS]]*MateriaisPainel[[#This Row],[IPI %]])</f>
        <v>0</v>
      </c>
      <c r="AB28" s="361">
        <f>_xlfn.XLOOKUP(MateriaisPainel[[#This Row],[FATURAMENTO]],BASE!$U$48:$U$50,BASE!$W$48:$W$50,0,0,1)</f>
        <v>0.79709863947533133</v>
      </c>
      <c r="AC28" s="362" t="str">
        <f>RESUMO!$E$71</f>
        <v>SIM</v>
      </c>
      <c r="AD28" s="362" t="str">
        <f>RESUMO!$E$72</f>
        <v>SIM</v>
      </c>
      <c r="AE28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8" s="364">
        <f>MateriaisPainel[[#This Row],[UNIT CRED]]*MateriaisPainel[[#This Row],[QUANTIDADE]]</f>
        <v>0</v>
      </c>
      <c r="AG28" s="307">
        <f>MateriaisPainel[[#This Row],[TOT CRED]]</f>
        <v>0</v>
      </c>
      <c r="AH28" s="365">
        <f>IF(MateriaisPainel[[#This Row],[QUANTIDADE]]&lt;&gt;0,((MateriaisPainel[[#This Row],[TOT CUSTO]]/MateriaisPainel[[#This Row],[QUANTIDADE]])/MateriaisPainel[[#This Row],[MARK-UP]]),0)</f>
        <v>0</v>
      </c>
      <c r="AI28" s="105">
        <f>MateriaisPainel[[#This Row],[UNIT VENDA]]*MateriaisPainel[[#This Row],[QUANTIDADE]]</f>
        <v>0</v>
      </c>
      <c r="AJ28" s="105">
        <f>IFERROR(MateriaisPainel[[#This Row],[VENDA]]*(RESUMO!$F$70/RESUMO!$F$60),0)</f>
        <v>0</v>
      </c>
      <c r="AK28" s="105">
        <f>IFERROR(MateriaisPainel[[#This Row],[VENDA]]*(RESUMO!$F$73/RESUMO!$F$60),0)</f>
        <v>0</v>
      </c>
      <c r="AL28" s="234">
        <f>IF(MateriaisPainel[[#This Row],[FATURAMENTO]]="NORMAL",MateriaisPainel[[#This Row],[VENDA]],0)</f>
        <v>0</v>
      </c>
      <c r="AM28" s="27"/>
      <c r="AP28" s="267"/>
      <c r="AQ28" s="267"/>
      <c r="AR28" s="267"/>
    </row>
    <row r="29" spans="1:44" x14ac:dyDescent="0.35">
      <c r="A29" s="100"/>
      <c r="B29" s="104"/>
      <c r="C29" s="305"/>
      <c r="D29" s="100"/>
      <c r="E29" s="119"/>
      <c r="F29" s="119">
        <f t="shared" si="0"/>
        <v>0</v>
      </c>
      <c r="G29" s="104"/>
      <c r="H29" s="377"/>
      <c r="I29" s="306"/>
      <c r="J29" s="378"/>
      <c r="K29" s="351"/>
      <c r="L29" s="351"/>
      <c r="M29" s="390"/>
      <c r="N29" s="347">
        <f>MateriaisPainel[[#This Row],[UNIT S/IPI S/DESC]]-MateriaisPainel[[#This Row],[UNIT S/IPI S/DESC]]*MateriaisPainel[[#This Row],[DESC%]]</f>
        <v>0</v>
      </c>
      <c r="O29" s="248" t="s">
        <v>295</v>
      </c>
      <c r="P29" s="271" t="s">
        <v>155</v>
      </c>
      <c r="Q29" s="249">
        <v>1.6500000000000001E-2</v>
      </c>
      <c r="R29" s="249">
        <v>7.5999999999999998E-2</v>
      </c>
      <c r="S29" s="107">
        <f>MateriaisPainel[[#This Row],[UNIT S/ IP + DIF ICMS]]*MateriaisPainel[[#This Row],[QUANTIDADE]]</f>
        <v>0</v>
      </c>
      <c r="T29" s="307">
        <f>MateriaisPainel[[#This Row],[TOTAL S/ IPI]]+(MateriaisPainel[[#This Row],[TOTAL S/ IPI]]*MateriaisPainel[[#This Row],[IPI %]])</f>
        <v>0</v>
      </c>
      <c r="U29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29" s="308">
        <f>MateriaisPainel[[#This Row],[UNIT S/ IPI C/DESC]]*MateriaisPainel[[#This Row],[ICMS %]]</f>
        <v>0</v>
      </c>
      <c r="W29" s="308">
        <f>(MateriaisPainel[[#This Row],[PIS]]*MateriaisPainel[[#This Row],[UNIT S/ IPI C/DESC]])/2</f>
        <v>0</v>
      </c>
      <c r="X29" s="308">
        <f>(MateriaisPainel[[#This Row],[COFINS]]*MateriaisPainel[[#This Row],[UNIT S/ IPI C/DESC]])/2</f>
        <v>0</v>
      </c>
      <c r="Y29" s="308">
        <f>MateriaisPainel[[#This Row],[ICMS $]]*MateriaisPainel[[#This Row],[QUANTIDADE]]</f>
        <v>0</v>
      </c>
      <c r="Z29" s="309">
        <f>MateriaisPainel[[#This Row],[UNIT S/ IPI C/DESC]]+MateriaisPainel[[#This Row],[DIFERENCIAL ICMS]]</f>
        <v>0</v>
      </c>
      <c r="AA29" s="307">
        <f>MateriaisPainel[[#This Row],[UNIT S/ IP + DIF ICMS]]+(MateriaisPainel[[#This Row],[UNIT S/ IP + DIF ICMS]]*MateriaisPainel[[#This Row],[IPI %]])</f>
        <v>0</v>
      </c>
      <c r="AB29" s="361">
        <f>_xlfn.XLOOKUP(MateriaisPainel[[#This Row],[FATURAMENTO]],BASE!$U$48:$U$50,BASE!$W$48:$W$50,0,0,1)</f>
        <v>0.79709863947533133</v>
      </c>
      <c r="AC29" s="362" t="str">
        <f>RESUMO!$E$71</f>
        <v>SIM</v>
      </c>
      <c r="AD29" s="362" t="str">
        <f>RESUMO!$E$72</f>
        <v>SIM</v>
      </c>
      <c r="AE29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29" s="364">
        <f>MateriaisPainel[[#This Row],[UNIT CRED]]*MateriaisPainel[[#This Row],[QUANTIDADE]]</f>
        <v>0</v>
      </c>
      <c r="AG29" s="307">
        <f>MateriaisPainel[[#This Row],[TOT CRED]]</f>
        <v>0</v>
      </c>
      <c r="AH29" s="365">
        <f>IF(MateriaisPainel[[#This Row],[QUANTIDADE]]&lt;&gt;0,((MateriaisPainel[[#This Row],[TOT CUSTO]]/MateriaisPainel[[#This Row],[QUANTIDADE]])/MateriaisPainel[[#This Row],[MARK-UP]]),0)</f>
        <v>0</v>
      </c>
      <c r="AI29" s="105">
        <f>MateriaisPainel[[#This Row],[UNIT VENDA]]*MateriaisPainel[[#This Row],[QUANTIDADE]]</f>
        <v>0</v>
      </c>
      <c r="AJ29" s="105">
        <f>IFERROR(MateriaisPainel[[#This Row],[VENDA]]*(RESUMO!$F$70/RESUMO!$F$60),0)</f>
        <v>0</v>
      </c>
      <c r="AK29" s="105">
        <f>IFERROR(MateriaisPainel[[#This Row],[VENDA]]*(RESUMO!$F$73/RESUMO!$F$60),0)</f>
        <v>0</v>
      </c>
      <c r="AL29" s="234">
        <f>IF(MateriaisPainel[[#This Row],[FATURAMENTO]]="NORMAL",MateriaisPainel[[#This Row],[VENDA]],0)</f>
        <v>0</v>
      </c>
      <c r="AM29" s="27"/>
      <c r="AP29" s="267"/>
      <c r="AQ29" s="267"/>
      <c r="AR29" s="267"/>
    </row>
    <row r="30" spans="1:44" x14ac:dyDescent="0.35">
      <c r="A30" s="100"/>
      <c r="B30" s="104"/>
      <c r="C30" s="305"/>
      <c r="D30" s="100"/>
      <c r="E30" s="119"/>
      <c r="F30" s="119">
        <f t="shared" si="0"/>
        <v>0</v>
      </c>
      <c r="G30" s="104"/>
      <c r="H30" s="377"/>
      <c r="I30" s="306"/>
      <c r="J30" s="378"/>
      <c r="K30" s="351"/>
      <c r="L30" s="351"/>
      <c r="M30" s="390"/>
      <c r="N30" s="347">
        <f>MateriaisPainel[[#This Row],[UNIT S/IPI S/DESC]]-MateriaisPainel[[#This Row],[UNIT S/IPI S/DESC]]*MateriaisPainel[[#This Row],[DESC%]]</f>
        <v>0</v>
      </c>
      <c r="O30" s="248" t="s">
        <v>295</v>
      </c>
      <c r="P30" s="271" t="s">
        <v>155</v>
      </c>
      <c r="Q30" s="249">
        <v>1.6500000000000001E-2</v>
      </c>
      <c r="R30" s="249">
        <v>7.5999999999999998E-2</v>
      </c>
      <c r="S30" s="107">
        <f>MateriaisPainel[[#This Row],[UNIT S/ IP + DIF ICMS]]*MateriaisPainel[[#This Row],[QUANTIDADE]]</f>
        <v>0</v>
      </c>
      <c r="T30" s="307">
        <f>MateriaisPainel[[#This Row],[TOTAL S/ IPI]]+(MateriaisPainel[[#This Row],[TOTAL S/ IPI]]*MateriaisPainel[[#This Row],[IPI %]])</f>
        <v>0</v>
      </c>
      <c r="U30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0" s="308">
        <f>MateriaisPainel[[#This Row],[UNIT S/ IPI C/DESC]]*MateriaisPainel[[#This Row],[ICMS %]]</f>
        <v>0</v>
      </c>
      <c r="W30" s="308">
        <f>(MateriaisPainel[[#This Row],[PIS]]*MateriaisPainel[[#This Row],[UNIT S/ IPI C/DESC]])/2</f>
        <v>0</v>
      </c>
      <c r="X30" s="308">
        <f>(MateriaisPainel[[#This Row],[COFINS]]*MateriaisPainel[[#This Row],[UNIT S/ IPI C/DESC]])/2</f>
        <v>0</v>
      </c>
      <c r="Y30" s="308">
        <f>MateriaisPainel[[#This Row],[ICMS $]]*MateriaisPainel[[#This Row],[QUANTIDADE]]</f>
        <v>0</v>
      </c>
      <c r="Z30" s="309">
        <f>MateriaisPainel[[#This Row],[UNIT S/ IPI C/DESC]]+MateriaisPainel[[#This Row],[DIFERENCIAL ICMS]]</f>
        <v>0</v>
      </c>
      <c r="AA30" s="307">
        <f>MateriaisPainel[[#This Row],[UNIT S/ IP + DIF ICMS]]+(MateriaisPainel[[#This Row],[UNIT S/ IP + DIF ICMS]]*MateriaisPainel[[#This Row],[IPI %]])</f>
        <v>0</v>
      </c>
      <c r="AB30" s="361">
        <f>_xlfn.XLOOKUP(MateriaisPainel[[#This Row],[FATURAMENTO]],BASE!$U$48:$U$50,BASE!$W$48:$W$50,0,0,1)</f>
        <v>0.79709863947533133</v>
      </c>
      <c r="AC30" s="362" t="str">
        <f>RESUMO!$E$71</f>
        <v>SIM</v>
      </c>
      <c r="AD30" s="362" t="str">
        <f>RESUMO!$E$72</f>
        <v>SIM</v>
      </c>
      <c r="AE30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0" s="364">
        <f>MateriaisPainel[[#This Row],[UNIT CRED]]*MateriaisPainel[[#This Row],[QUANTIDADE]]</f>
        <v>0</v>
      </c>
      <c r="AG30" s="307">
        <f>MateriaisPainel[[#This Row],[TOT CRED]]</f>
        <v>0</v>
      </c>
      <c r="AH30" s="365">
        <f>IF(MateriaisPainel[[#This Row],[QUANTIDADE]]&lt;&gt;0,((MateriaisPainel[[#This Row],[TOT CUSTO]]/MateriaisPainel[[#This Row],[QUANTIDADE]])/MateriaisPainel[[#This Row],[MARK-UP]]),0)</f>
        <v>0</v>
      </c>
      <c r="AI30" s="105">
        <f>MateriaisPainel[[#This Row],[UNIT VENDA]]*MateriaisPainel[[#This Row],[QUANTIDADE]]</f>
        <v>0</v>
      </c>
      <c r="AJ30" s="105">
        <f>IFERROR(MateriaisPainel[[#This Row],[VENDA]]*(RESUMO!$F$70/RESUMO!$F$60),0)</f>
        <v>0</v>
      </c>
      <c r="AK30" s="105">
        <f>IFERROR(MateriaisPainel[[#This Row],[VENDA]]*(RESUMO!$F$73/RESUMO!$F$60),0)</f>
        <v>0</v>
      </c>
      <c r="AL30" s="234">
        <f>IF(MateriaisPainel[[#This Row],[FATURAMENTO]]="NORMAL",MateriaisPainel[[#This Row],[VENDA]],0)</f>
        <v>0</v>
      </c>
      <c r="AM30" s="27"/>
      <c r="AP30" s="267"/>
      <c r="AQ30" s="267"/>
      <c r="AR30" s="267"/>
    </row>
    <row r="31" spans="1:44" x14ac:dyDescent="0.35">
      <c r="A31" s="100"/>
      <c r="B31" s="104"/>
      <c r="C31" s="305"/>
      <c r="D31" s="100"/>
      <c r="E31" s="119"/>
      <c r="F31" s="119">
        <f t="shared" si="0"/>
        <v>0</v>
      </c>
      <c r="G31" s="104"/>
      <c r="H31" s="377"/>
      <c r="I31" s="306"/>
      <c r="J31" s="378"/>
      <c r="K31" s="351"/>
      <c r="L31" s="351"/>
      <c r="M31" s="390"/>
      <c r="N31" s="347">
        <f>MateriaisPainel[[#This Row],[UNIT S/IPI S/DESC]]-MateriaisPainel[[#This Row],[UNIT S/IPI S/DESC]]*MateriaisPainel[[#This Row],[DESC%]]</f>
        <v>0</v>
      </c>
      <c r="O31" s="248" t="s">
        <v>295</v>
      </c>
      <c r="P31" s="271" t="s">
        <v>155</v>
      </c>
      <c r="Q31" s="249">
        <v>1.6500000000000001E-2</v>
      </c>
      <c r="R31" s="249">
        <v>7.5999999999999998E-2</v>
      </c>
      <c r="S31" s="107">
        <f>MateriaisPainel[[#This Row],[UNIT S/ IP + DIF ICMS]]*MateriaisPainel[[#This Row],[QUANTIDADE]]</f>
        <v>0</v>
      </c>
      <c r="T31" s="307">
        <f>MateriaisPainel[[#This Row],[TOTAL S/ IPI]]+(MateriaisPainel[[#This Row],[TOTAL S/ IPI]]*MateriaisPainel[[#This Row],[IPI %]])</f>
        <v>0</v>
      </c>
      <c r="U31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1" s="308">
        <f>MateriaisPainel[[#This Row],[UNIT S/ IPI C/DESC]]*MateriaisPainel[[#This Row],[ICMS %]]</f>
        <v>0</v>
      </c>
      <c r="W31" s="308">
        <f>(MateriaisPainel[[#This Row],[PIS]]*MateriaisPainel[[#This Row],[UNIT S/ IPI C/DESC]])/2</f>
        <v>0</v>
      </c>
      <c r="X31" s="308">
        <f>(MateriaisPainel[[#This Row],[COFINS]]*MateriaisPainel[[#This Row],[UNIT S/ IPI C/DESC]])/2</f>
        <v>0</v>
      </c>
      <c r="Y31" s="308">
        <f>MateriaisPainel[[#This Row],[ICMS $]]*MateriaisPainel[[#This Row],[QUANTIDADE]]</f>
        <v>0</v>
      </c>
      <c r="Z31" s="309">
        <f>MateriaisPainel[[#This Row],[UNIT S/ IPI C/DESC]]+MateriaisPainel[[#This Row],[DIFERENCIAL ICMS]]</f>
        <v>0</v>
      </c>
      <c r="AA31" s="307">
        <f>MateriaisPainel[[#This Row],[UNIT S/ IP + DIF ICMS]]+(MateriaisPainel[[#This Row],[UNIT S/ IP + DIF ICMS]]*MateriaisPainel[[#This Row],[IPI %]])</f>
        <v>0</v>
      </c>
      <c r="AB31" s="361">
        <f>_xlfn.XLOOKUP(MateriaisPainel[[#This Row],[FATURAMENTO]],BASE!$U$48:$U$50,BASE!$W$48:$W$50,0,0,1)</f>
        <v>0.79709863947533133</v>
      </c>
      <c r="AC31" s="362" t="str">
        <f>RESUMO!$E$71</f>
        <v>SIM</v>
      </c>
      <c r="AD31" s="362" t="str">
        <f>RESUMO!$E$72</f>
        <v>SIM</v>
      </c>
      <c r="AE31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1" s="364">
        <f>MateriaisPainel[[#This Row],[UNIT CRED]]*MateriaisPainel[[#This Row],[QUANTIDADE]]</f>
        <v>0</v>
      </c>
      <c r="AG31" s="307">
        <f>MateriaisPainel[[#This Row],[TOT CRED]]</f>
        <v>0</v>
      </c>
      <c r="AH31" s="365">
        <f>IF(MateriaisPainel[[#This Row],[QUANTIDADE]]&lt;&gt;0,((MateriaisPainel[[#This Row],[TOT CUSTO]]/MateriaisPainel[[#This Row],[QUANTIDADE]])/MateriaisPainel[[#This Row],[MARK-UP]]),0)</f>
        <v>0</v>
      </c>
      <c r="AI31" s="105">
        <f>MateriaisPainel[[#This Row],[UNIT VENDA]]*MateriaisPainel[[#This Row],[QUANTIDADE]]</f>
        <v>0</v>
      </c>
      <c r="AJ31" s="105">
        <f>IFERROR(MateriaisPainel[[#This Row],[VENDA]]*(RESUMO!$F$70/RESUMO!$F$60),0)</f>
        <v>0</v>
      </c>
      <c r="AK31" s="105">
        <f>IFERROR(MateriaisPainel[[#This Row],[VENDA]]*(RESUMO!$F$73/RESUMO!$F$60),0)</f>
        <v>0</v>
      </c>
      <c r="AL31" s="234">
        <f>IF(MateriaisPainel[[#This Row],[FATURAMENTO]]="NORMAL",MateriaisPainel[[#This Row],[VENDA]],0)</f>
        <v>0</v>
      </c>
      <c r="AM31" s="27"/>
      <c r="AP31" s="267"/>
      <c r="AQ31" s="267"/>
      <c r="AR31" s="267"/>
    </row>
    <row r="32" spans="1:44" s="26" customFormat="1" x14ac:dyDescent="0.35">
      <c r="A32" s="100"/>
      <c r="B32" s="104"/>
      <c r="C32" s="305"/>
      <c r="D32" s="100"/>
      <c r="E32" s="119"/>
      <c r="F32" s="119">
        <f t="shared" si="0"/>
        <v>0</v>
      </c>
      <c r="G32" s="104"/>
      <c r="H32" s="377"/>
      <c r="I32" s="306"/>
      <c r="J32" s="378"/>
      <c r="K32" s="351"/>
      <c r="L32" s="351"/>
      <c r="M32" s="390"/>
      <c r="N32" s="347">
        <f>MateriaisPainel[[#This Row],[UNIT S/IPI S/DESC]]-MateriaisPainel[[#This Row],[UNIT S/IPI S/DESC]]*MateriaisPainel[[#This Row],[DESC%]]</f>
        <v>0</v>
      </c>
      <c r="O32" s="248" t="s">
        <v>295</v>
      </c>
      <c r="P32" s="271" t="s">
        <v>155</v>
      </c>
      <c r="Q32" s="249">
        <v>1.6500000000000001E-2</v>
      </c>
      <c r="R32" s="249">
        <v>7.5999999999999998E-2</v>
      </c>
      <c r="S32" s="107">
        <f>MateriaisPainel[[#This Row],[UNIT S/ IP + DIF ICMS]]*MateriaisPainel[[#This Row],[QUANTIDADE]]</f>
        <v>0</v>
      </c>
      <c r="T32" s="307">
        <f>MateriaisPainel[[#This Row],[TOTAL S/ IPI]]+(MateriaisPainel[[#This Row],[TOTAL S/ IPI]]*MateriaisPainel[[#This Row],[IPI %]])</f>
        <v>0</v>
      </c>
      <c r="U32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2" s="308">
        <f>MateriaisPainel[[#This Row],[UNIT S/ IPI C/DESC]]*MateriaisPainel[[#This Row],[ICMS %]]</f>
        <v>0</v>
      </c>
      <c r="W32" s="308">
        <f>(MateriaisPainel[[#This Row],[PIS]]*MateriaisPainel[[#This Row],[UNIT S/ IPI C/DESC]])/2</f>
        <v>0</v>
      </c>
      <c r="X32" s="308">
        <f>(MateriaisPainel[[#This Row],[COFINS]]*MateriaisPainel[[#This Row],[UNIT S/ IPI C/DESC]])/2</f>
        <v>0</v>
      </c>
      <c r="Y32" s="308">
        <f>MateriaisPainel[[#This Row],[ICMS $]]*MateriaisPainel[[#This Row],[QUANTIDADE]]</f>
        <v>0</v>
      </c>
      <c r="Z32" s="309">
        <f>MateriaisPainel[[#This Row],[UNIT S/ IPI C/DESC]]+MateriaisPainel[[#This Row],[DIFERENCIAL ICMS]]</f>
        <v>0</v>
      </c>
      <c r="AA32" s="307">
        <f>MateriaisPainel[[#This Row],[UNIT S/ IP + DIF ICMS]]+(MateriaisPainel[[#This Row],[UNIT S/ IP + DIF ICMS]]*MateriaisPainel[[#This Row],[IPI %]])</f>
        <v>0</v>
      </c>
      <c r="AB32" s="361">
        <f>_xlfn.XLOOKUP(MateriaisPainel[[#This Row],[FATURAMENTO]],BASE!$U$48:$U$50,BASE!$W$48:$W$50,0,0,1)</f>
        <v>0.79709863947533133</v>
      </c>
      <c r="AC32" s="362" t="str">
        <f>RESUMO!$E$71</f>
        <v>SIM</v>
      </c>
      <c r="AD32" s="362" t="str">
        <f>RESUMO!$E$72</f>
        <v>SIM</v>
      </c>
      <c r="AE32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2" s="364">
        <f>MateriaisPainel[[#This Row],[UNIT CRED]]*MateriaisPainel[[#This Row],[QUANTIDADE]]</f>
        <v>0</v>
      </c>
      <c r="AG32" s="307">
        <f>MateriaisPainel[[#This Row],[TOT CRED]]</f>
        <v>0</v>
      </c>
      <c r="AH32" s="365">
        <f>IF(MateriaisPainel[[#This Row],[QUANTIDADE]]&lt;&gt;0,((MateriaisPainel[[#This Row],[TOT CUSTO]]/MateriaisPainel[[#This Row],[QUANTIDADE]])/MateriaisPainel[[#This Row],[MARK-UP]]),0)</f>
        <v>0</v>
      </c>
      <c r="AI32" s="105">
        <f>MateriaisPainel[[#This Row],[UNIT VENDA]]*MateriaisPainel[[#This Row],[QUANTIDADE]]</f>
        <v>0</v>
      </c>
      <c r="AJ32" s="105">
        <f>IFERROR(MateriaisPainel[[#This Row],[VENDA]]*(RESUMO!$F$70/RESUMO!$F$60),0)</f>
        <v>0</v>
      </c>
      <c r="AK32" s="105">
        <f>IFERROR(MateriaisPainel[[#This Row],[VENDA]]*(RESUMO!$F$73/RESUMO!$F$60),0)</f>
        <v>0</v>
      </c>
      <c r="AL32" s="234">
        <f>IF(MateriaisPainel[[#This Row],[FATURAMENTO]]="NORMAL",MateriaisPainel[[#This Row],[VENDA]],0)</f>
        <v>0</v>
      </c>
      <c r="AP32" s="267"/>
      <c r="AQ32" s="267"/>
      <c r="AR32" s="267"/>
    </row>
    <row r="33" spans="1:44" x14ac:dyDescent="0.35">
      <c r="A33" s="100"/>
      <c r="B33" s="104"/>
      <c r="C33" s="305"/>
      <c r="D33" s="100"/>
      <c r="E33" s="119"/>
      <c r="F33" s="119">
        <f t="shared" si="0"/>
        <v>0</v>
      </c>
      <c r="G33" s="104"/>
      <c r="H33" s="377"/>
      <c r="I33" s="306"/>
      <c r="J33" s="378"/>
      <c r="K33" s="351"/>
      <c r="L33" s="351"/>
      <c r="M33" s="390"/>
      <c r="N33" s="347">
        <f>MateriaisPainel[[#This Row],[UNIT S/IPI S/DESC]]-MateriaisPainel[[#This Row],[UNIT S/IPI S/DESC]]*MateriaisPainel[[#This Row],[DESC%]]</f>
        <v>0</v>
      </c>
      <c r="O33" s="248" t="s">
        <v>295</v>
      </c>
      <c r="P33" s="271" t="s">
        <v>155</v>
      </c>
      <c r="Q33" s="249">
        <v>1.6500000000000001E-2</v>
      </c>
      <c r="R33" s="249">
        <v>7.5999999999999998E-2</v>
      </c>
      <c r="S33" s="107">
        <f>MateriaisPainel[[#This Row],[UNIT S/ IP + DIF ICMS]]*MateriaisPainel[[#This Row],[QUANTIDADE]]</f>
        <v>0</v>
      </c>
      <c r="T33" s="307">
        <f>MateriaisPainel[[#This Row],[TOTAL S/ IPI]]+(MateriaisPainel[[#This Row],[TOTAL S/ IPI]]*MateriaisPainel[[#This Row],[IPI %]])</f>
        <v>0</v>
      </c>
      <c r="U33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3" s="308">
        <f>MateriaisPainel[[#This Row],[UNIT S/ IPI C/DESC]]*MateriaisPainel[[#This Row],[ICMS %]]</f>
        <v>0</v>
      </c>
      <c r="W33" s="308">
        <f>(MateriaisPainel[[#This Row],[PIS]]*MateriaisPainel[[#This Row],[UNIT S/ IPI C/DESC]])/2</f>
        <v>0</v>
      </c>
      <c r="X33" s="308">
        <f>(MateriaisPainel[[#This Row],[COFINS]]*MateriaisPainel[[#This Row],[UNIT S/ IPI C/DESC]])/2</f>
        <v>0</v>
      </c>
      <c r="Y33" s="308">
        <f>MateriaisPainel[[#This Row],[ICMS $]]*MateriaisPainel[[#This Row],[QUANTIDADE]]</f>
        <v>0</v>
      </c>
      <c r="Z33" s="309">
        <f>MateriaisPainel[[#This Row],[UNIT S/ IPI C/DESC]]+MateriaisPainel[[#This Row],[DIFERENCIAL ICMS]]</f>
        <v>0</v>
      </c>
      <c r="AA33" s="307">
        <f>MateriaisPainel[[#This Row],[UNIT S/ IP + DIF ICMS]]+(MateriaisPainel[[#This Row],[UNIT S/ IP + DIF ICMS]]*MateriaisPainel[[#This Row],[IPI %]])</f>
        <v>0</v>
      </c>
      <c r="AB33" s="361">
        <f>_xlfn.XLOOKUP(MateriaisPainel[[#This Row],[FATURAMENTO]],BASE!$U$48:$U$50,BASE!$W$48:$W$50,0,0,1)</f>
        <v>0.79709863947533133</v>
      </c>
      <c r="AC33" s="362" t="str">
        <f>RESUMO!$E$71</f>
        <v>SIM</v>
      </c>
      <c r="AD33" s="362" t="str">
        <f>RESUMO!$E$72</f>
        <v>SIM</v>
      </c>
      <c r="AE33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3" s="364">
        <f>MateriaisPainel[[#This Row],[UNIT CRED]]*MateriaisPainel[[#This Row],[QUANTIDADE]]</f>
        <v>0</v>
      </c>
      <c r="AG33" s="307">
        <f>MateriaisPainel[[#This Row],[TOT CRED]]</f>
        <v>0</v>
      </c>
      <c r="AH33" s="365">
        <f>IF(MateriaisPainel[[#This Row],[QUANTIDADE]]&lt;&gt;0,((MateriaisPainel[[#This Row],[TOT CUSTO]]/MateriaisPainel[[#This Row],[QUANTIDADE]])/MateriaisPainel[[#This Row],[MARK-UP]]),0)</f>
        <v>0</v>
      </c>
      <c r="AI33" s="105">
        <f>MateriaisPainel[[#This Row],[UNIT VENDA]]*MateriaisPainel[[#This Row],[QUANTIDADE]]</f>
        <v>0</v>
      </c>
      <c r="AJ33" s="105">
        <f>IFERROR(MateriaisPainel[[#This Row],[VENDA]]*(RESUMO!$F$70/RESUMO!$F$60),0)</f>
        <v>0</v>
      </c>
      <c r="AK33" s="105">
        <f>IFERROR(MateriaisPainel[[#This Row],[VENDA]]*(RESUMO!$F$73/RESUMO!$F$60),0)</f>
        <v>0</v>
      </c>
      <c r="AL33" s="234">
        <f>IF(MateriaisPainel[[#This Row],[FATURAMENTO]]="NORMAL",MateriaisPainel[[#This Row],[VENDA]],0)</f>
        <v>0</v>
      </c>
      <c r="AM33" s="27"/>
      <c r="AP33" s="267"/>
      <c r="AQ33" s="267"/>
      <c r="AR33" s="267"/>
    </row>
    <row r="34" spans="1:44" x14ac:dyDescent="0.35">
      <c r="A34" s="100"/>
      <c r="B34" s="104"/>
      <c r="C34" s="305"/>
      <c r="D34" s="100"/>
      <c r="E34" s="119"/>
      <c r="F34" s="119">
        <f t="shared" si="0"/>
        <v>0</v>
      </c>
      <c r="G34" s="104"/>
      <c r="H34" s="377"/>
      <c r="I34" s="306"/>
      <c r="J34" s="378"/>
      <c r="K34" s="351"/>
      <c r="L34" s="351"/>
      <c r="M34" s="390"/>
      <c r="N34" s="347">
        <f>MateriaisPainel[[#This Row],[UNIT S/IPI S/DESC]]-MateriaisPainel[[#This Row],[UNIT S/IPI S/DESC]]*MateriaisPainel[[#This Row],[DESC%]]</f>
        <v>0</v>
      </c>
      <c r="O34" s="248" t="s">
        <v>295</v>
      </c>
      <c r="P34" s="271" t="s">
        <v>155</v>
      </c>
      <c r="Q34" s="249">
        <v>1.6500000000000001E-2</v>
      </c>
      <c r="R34" s="249">
        <v>7.5999999999999998E-2</v>
      </c>
      <c r="S34" s="107">
        <f>MateriaisPainel[[#This Row],[UNIT S/ IP + DIF ICMS]]*MateriaisPainel[[#This Row],[QUANTIDADE]]</f>
        <v>0</v>
      </c>
      <c r="T34" s="307">
        <f>MateriaisPainel[[#This Row],[TOTAL S/ IPI]]+(MateriaisPainel[[#This Row],[TOTAL S/ IPI]]*MateriaisPainel[[#This Row],[IPI %]])</f>
        <v>0</v>
      </c>
      <c r="U34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4" s="308">
        <f>MateriaisPainel[[#This Row],[UNIT S/ IPI C/DESC]]*MateriaisPainel[[#This Row],[ICMS %]]</f>
        <v>0</v>
      </c>
      <c r="W34" s="308">
        <f>(MateriaisPainel[[#This Row],[PIS]]*MateriaisPainel[[#This Row],[UNIT S/ IPI C/DESC]])/2</f>
        <v>0</v>
      </c>
      <c r="X34" s="308">
        <f>(MateriaisPainel[[#This Row],[COFINS]]*MateriaisPainel[[#This Row],[UNIT S/ IPI C/DESC]])/2</f>
        <v>0</v>
      </c>
      <c r="Y34" s="308">
        <f>MateriaisPainel[[#This Row],[ICMS $]]*MateriaisPainel[[#This Row],[QUANTIDADE]]</f>
        <v>0</v>
      </c>
      <c r="Z34" s="309">
        <f>MateriaisPainel[[#This Row],[UNIT S/ IPI C/DESC]]+MateriaisPainel[[#This Row],[DIFERENCIAL ICMS]]</f>
        <v>0</v>
      </c>
      <c r="AA34" s="307">
        <f>MateriaisPainel[[#This Row],[UNIT S/ IP + DIF ICMS]]+(MateriaisPainel[[#This Row],[UNIT S/ IP + DIF ICMS]]*MateriaisPainel[[#This Row],[IPI %]])</f>
        <v>0</v>
      </c>
      <c r="AB34" s="361">
        <f>_xlfn.XLOOKUP(MateriaisPainel[[#This Row],[FATURAMENTO]],BASE!$U$48:$U$50,BASE!$W$48:$W$50,0,0,1)</f>
        <v>0.79709863947533133</v>
      </c>
      <c r="AC34" s="362" t="str">
        <f>RESUMO!$E$71</f>
        <v>SIM</v>
      </c>
      <c r="AD34" s="362" t="str">
        <f>RESUMO!$E$72</f>
        <v>SIM</v>
      </c>
      <c r="AE34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4" s="364">
        <f>MateriaisPainel[[#This Row],[UNIT CRED]]*MateriaisPainel[[#This Row],[QUANTIDADE]]</f>
        <v>0</v>
      </c>
      <c r="AG34" s="307">
        <f>MateriaisPainel[[#This Row],[TOT CRED]]</f>
        <v>0</v>
      </c>
      <c r="AH34" s="365">
        <f>IF(MateriaisPainel[[#This Row],[QUANTIDADE]]&lt;&gt;0,((MateriaisPainel[[#This Row],[TOT CUSTO]]/MateriaisPainel[[#This Row],[QUANTIDADE]])/MateriaisPainel[[#This Row],[MARK-UP]]),0)</f>
        <v>0</v>
      </c>
      <c r="AI34" s="105">
        <f>MateriaisPainel[[#This Row],[UNIT VENDA]]*MateriaisPainel[[#This Row],[QUANTIDADE]]</f>
        <v>0</v>
      </c>
      <c r="AJ34" s="105">
        <f>IFERROR(MateriaisPainel[[#This Row],[VENDA]]*(RESUMO!$F$70/RESUMO!$F$60),0)</f>
        <v>0</v>
      </c>
      <c r="AK34" s="105">
        <f>IFERROR(MateriaisPainel[[#This Row],[VENDA]]*(RESUMO!$F$73/RESUMO!$F$60),0)</f>
        <v>0</v>
      </c>
      <c r="AL34" s="234">
        <f>IF(MateriaisPainel[[#This Row],[FATURAMENTO]]="NORMAL",MateriaisPainel[[#This Row],[VENDA]],0)</f>
        <v>0</v>
      </c>
      <c r="AM34" s="27"/>
      <c r="AP34" s="267"/>
      <c r="AQ34" s="267"/>
      <c r="AR34" s="267"/>
    </row>
    <row r="35" spans="1:44" x14ac:dyDescent="0.25">
      <c r="A35" s="100"/>
      <c r="B35" s="104"/>
      <c r="C35" s="305"/>
      <c r="D35" s="100"/>
      <c r="E35" s="119"/>
      <c r="F35" s="119">
        <f t="shared" si="0"/>
        <v>0</v>
      </c>
      <c r="G35" s="104"/>
      <c r="H35" s="377"/>
      <c r="I35" s="306"/>
      <c r="J35" s="378"/>
      <c r="K35" s="351"/>
      <c r="L35" s="351"/>
      <c r="M35" s="390"/>
      <c r="N35" s="347">
        <f>MateriaisPainel[[#This Row],[UNIT S/IPI S/DESC]]-MateriaisPainel[[#This Row],[UNIT S/IPI S/DESC]]*MateriaisPainel[[#This Row],[DESC%]]</f>
        <v>0</v>
      </c>
      <c r="O35" s="248" t="s">
        <v>295</v>
      </c>
      <c r="P35" s="271" t="s">
        <v>155</v>
      </c>
      <c r="Q35" s="249">
        <v>1.6500000000000001E-2</v>
      </c>
      <c r="R35" s="249">
        <v>7.5999999999999998E-2</v>
      </c>
      <c r="S35" s="107">
        <f>MateriaisPainel[[#This Row],[UNIT S/ IP + DIF ICMS]]*MateriaisPainel[[#This Row],[QUANTIDADE]]</f>
        <v>0</v>
      </c>
      <c r="T35" s="307">
        <f>MateriaisPainel[[#This Row],[TOTAL S/ IPI]]+(MateriaisPainel[[#This Row],[TOTAL S/ IPI]]*MateriaisPainel[[#This Row],[IPI %]])</f>
        <v>0</v>
      </c>
      <c r="U35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5" s="308">
        <f>MateriaisPainel[[#This Row],[UNIT S/ IPI C/DESC]]*MateriaisPainel[[#This Row],[ICMS %]]</f>
        <v>0</v>
      </c>
      <c r="W35" s="308">
        <f>(MateriaisPainel[[#This Row],[PIS]]*MateriaisPainel[[#This Row],[UNIT S/ IPI C/DESC]])/2</f>
        <v>0</v>
      </c>
      <c r="X35" s="308">
        <f>(MateriaisPainel[[#This Row],[COFINS]]*MateriaisPainel[[#This Row],[UNIT S/ IPI C/DESC]])/2</f>
        <v>0</v>
      </c>
      <c r="Y35" s="308">
        <f>MateriaisPainel[[#This Row],[ICMS $]]*MateriaisPainel[[#This Row],[QUANTIDADE]]</f>
        <v>0</v>
      </c>
      <c r="Z35" s="309">
        <f>MateriaisPainel[[#This Row],[UNIT S/ IPI C/DESC]]+MateriaisPainel[[#This Row],[DIFERENCIAL ICMS]]</f>
        <v>0</v>
      </c>
      <c r="AA35" s="307">
        <f>MateriaisPainel[[#This Row],[UNIT S/ IP + DIF ICMS]]+(MateriaisPainel[[#This Row],[UNIT S/ IP + DIF ICMS]]*MateriaisPainel[[#This Row],[IPI %]])</f>
        <v>0</v>
      </c>
      <c r="AB35" s="361">
        <f>_xlfn.XLOOKUP(MateriaisPainel[[#This Row],[FATURAMENTO]],BASE!$U$48:$U$50,BASE!$W$48:$W$50,0,0,1)</f>
        <v>0.79709863947533133</v>
      </c>
      <c r="AC35" s="362" t="str">
        <f>RESUMO!$E$71</f>
        <v>SIM</v>
      </c>
      <c r="AD35" s="362" t="str">
        <f>RESUMO!$E$72</f>
        <v>SIM</v>
      </c>
      <c r="AE35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5" s="364">
        <f>MateriaisPainel[[#This Row],[UNIT CRED]]*MateriaisPainel[[#This Row],[QUANTIDADE]]</f>
        <v>0</v>
      </c>
      <c r="AG35" s="307">
        <f>MateriaisPainel[[#This Row],[TOT CRED]]</f>
        <v>0</v>
      </c>
      <c r="AH35" s="365">
        <f>IF(MateriaisPainel[[#This Row],[QUANTIDADE]]&lt;&gt;0,((MateriaisPainel[[#This Row],[TOT CUSTO]]/MateriaisPainel[[#This Row],[QUANTIDADE]])/MateriaisPainel[[#This Row],[MARK-UP]]),0)</f>
        <v>0</v>
      </c>
      <c r="AI35" s="105">
        <f>MateriaisPainel[[#This Row],[UNIT VENDA]]*MateriaisPainel[[#This Row],[QUANTIDADE]]</f>
        <v>0</v>
      </c>
      <c r="AJ35" s="105">
        <f>IFERROR(MateriaisPainel[[#This Row],[VENDA]]*(RESUMO!$F$70/RESUMO!$F$60),0)</f>
        <v>0</v>
      </c>
      <c r="AK35" s="105">
        <f>IFERROR(MateriaisPainel[[#This Row],[VENDA]]*(RESUMO!$F$73/RESUMO!$F$60),0)</f>
        <v>0</v>
      </c>
      <c r="AL35" s="234">
        <f>IF(MateriaisPainel[[#This Row],[FATURAMENTO]]="NORMAL",MateriaisPainel[[#This Row],[VENDA]],0)</f>
        <v>0</v>
      </c>
      <c r="AM35" s="27"/>
    </row>
    <row r="36" spans="1:44" s="26" customFormat="1" x14ac:dyDescent="0.35">
      <c r="A36" s="100"/>
      <c r="B36" s="104"/>
      <c r="C36" s="305"/>
      <c r="D36" s="100"/>
      <c r="E36" s="119"/>
      <c r="F36" s="119">
        <f t="shared" si="0"/>
        <v>0</v>
      </c>
      <c r="G36" s="104"/>
      <c r="H36" s="377"/>
      <c r="I36" s="306"/>
      <c r="J36" s="378"/>
      <c r="K36" s="351"/>
      <c r="L36" s="351"/>
      <c r="M36" s="390"/>
      <c r="N36" s="347">
        <f>MateriaisPainel[[#This Row],[UNIT S/IPI S/DESC]]-MateriaisPainel[[#This Row],[UNIT S/IPI S/DESC]]*MateriaisPainel[[#This Row],[DESC%]]</f>
        <v>0</v>
      </c>
      <c r="O36" s="248" t="s">
        <v>295</v>
      </c>
      <c r="P36" s="271" t="s">
        <v>155</v>
      </c>
      <c r="Q36" s="249">
        <v>1.6500000000000001E-2</v>
      </c>
      <c r="R36" s="249">
        <v>7.5999999999999998E-2</v>
      </c>
      <c r="S36" s="107">
        <f>MateriaisPainel[[#This Row],[UNIT S/ IP + DIF ICMS]]*MateriaisPainel[[#This Row],[QUANTIDADE]]</f>
        <v>0</v>
      </c>
      <c r="T36" s="307">
        <f>MateriaisPainel[[#This Row],[TOTAL S/ IPI]]+(MateriaisPainel[[#This Row],[TOTAL S/ IPI]]*MateriaisPainel[[#This Row],[IPI %]])</f>
        <v>0</v>
      </c>
      <c r="U36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6" s="308">
        <f>MateriaisPainel[[#This Row],[UNIT S/ IPI C/DESC]]*MateriaisPainel[[#This Row],[ICMS %]]</f>
        <v>0</v>
      </c>
      <c r="W36" s="308">
        <f>(MateriaisPainel[[#This Row],[PIS]]*MateriaisPainel[[#This Row],[UNIT S/ IPI C/DESC]])/2</f>
        <v>0</v>
      </c>
      <c r="X36" s="308">
        <f>(MateriaisPainel[[#This Row],[COFINS]]*MateriaisPainel[[#This Row],[UNIT S/ IPI C/DESC]])/2</f>
        <v>0</v>
      </c>
      <c r="Y36" s="308">
        <f>MateriaisPainel[[#This Row],[ICMS $]]*MateriaisPainel[[#This Row],[QUANTIDADE]]</f>
        <v>0</v>
      </c>
      <c r="Z36" s="309">
        <f>MateriaisPainel[[#This Row],[UNIT S/ IPI C/DESC]]+MateriaisPainel[[#This Row],[DIFERENCIAL ICMS]]</f>
        <v>0</v>
      </c>
      <c r="AA36" s="307">
        <f>MateriaisPainel[[#This Row],[UNIT S/ IP + DIF ICMS]]+(MateriaisPainel[[#This Row],[UNIT S/ IP + DIF ICMS]]*MateriaisPainel[[#This Row],[IPI %]])</f>
        <v>0</v>
      </c>
      <c r="AB36" s="361">
        <f>_xlfn.XLOOKUP(MateriaisPainel[[#This Row],[FATURAMENTO]],BASE!$U$48:$U$50,BASE!$W$48:$W$50,0,0,1)</f>
        <v>0.79709863947533133</v>
      </c>
      <c r="AC36" s="362" t="str">
        <f>RESUMO!$E$71</f>
        <v>SIM</v>
      </c>
      <c r="AD36" s="362" t="str">
        <f>RESUMO!$E$72</f>
        <v>SIM</v>
      </c>
      <c r="AE36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6" s="364">
        <f>MateriaisPainel[[#This Row],[UNIT CRED]]*MateriaisPainel[[#This Row],[QUANTIDADE]]</f>
        <v>0</v>
      </c>
      <c r="AG36" s="307">
        <f>MateriaisPainel[[#This Row],[TOT CRED]]</f>
        <v>0</v>
      </c>
      <c r="AH36" s="365">
        <f>IF(MateriaisPainel[[#This Row],[QUANTIDADE]]&lt;&gt;0,((MateriaisPainel[[#This Row],[TOT CUSTO]]/MateriaisPainel[[#This Row],[QUANTIDADE]])/MateriaisPainel[[#This Row],[MARK-UP]]),0)</f>
        <v>0</v>
      </c>
      <c r="AI36" s="105">
        <f>MateriaisPainel[[#This Row],[UNIT VENDA]]*MateriaisPainel[[#This Row],[QUANTIDADE]]</f>
        <v>0</v>
      </c>
      <c r="AJ36" s="105">
        <f>IFERROR(MateriaisPainel[[#This Row],[VENDA]]*(RESUMO!$F$70/RESUMO!$F$60),0)</f>
        <v>0</v>
      </c>
      <c r="AK36" s="105">
        <f>IFERROR(MateriaisPainel[[#This Row],[VENDA]]*(RESUMO!$F$73/RESUMO!$F$60),0)</f>
        <v>0</v>
      </c>
      <c r="AL36" s="234">
        <f>IF(MateriaisPainel[[#This Row],[FATURAMENTO]]="NORMAL",MateriaisPainel[[#This Row],[VENDA]],0)</f>
        <v>0</v>
      </c>
      <c r="AP36" s="267"/>
      <c r="AQ36" s="267"/>
      <c r="AR36" s="267"/>
    </row>
    <row r="37" spans="1:44" x14ac:dyDescent="0.25">
      <c r="A37" s="100"/>
      <c r="B37" s="104"/>
      <c r="C37" s="305"/>
      <c r="D37" s="100"/>
      <c r="E37" s="119"/>
      <c r="F37" s="119">
        <f t="shared" si="0"/>
        <v>0</v>
      </c>
      <c r="G37" s="104"/>
      <c r="H37" s="377"/>
      <c r="I37" s="306"/>
      <c r="J37" s="378"/>
      <c r="K37" s="351"/>
      <c r="L37" s="351"/>
      <c r="M37" s="390"/>
      <c r="N37" s="347">
        <f>MateriaisPainel[[#This Row],[UNIT S/IPI S/DESC]]-MateriaisPainel[[#This Row],[UNIT S/IPI S/DESC]]*MateriaisPainel[[#This Row],[DESC%]]</f>
        <v>0</v>
      </c>
      <c r="O37" s="248" t="s">
        <v>295</v>
      </c>
      <c r="P37" s="271" t="s">
        <v>155</v>
      </c>
      <c r="Q37" s="249">
        <v>1.6500000000000001E-2</v>
      </c>
      <c r="R37" s="249">
        <v>7.5999999999999998E-2</v>
      </c>
      <c r="S37" s="107">
        <f>MateriaisPainel[[#This Row],[UNIT S/ IP + DIF ICMS]]*MateriaisPainel[[#This Row],[QUANTIDADE]]</f>
        <v>0</v>
      </c>
      <c r="T37" s="307">
        <f>MateriaisPainel[[#This Row],[TOTAL S/ IPI]]+(MateriaisPainel[[#This Row],[TOTAL S/ IPI]]*MateriaisPainel[[#This Row],[IPI %]])</f>
        <v>0</v>
      </c>
      <c r="U37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7" s="308">
        <f>MateriaisPainel[[#This Row],[UNIT S/ IPI C/DESC]]*MateriaisPainel[[#This Row],[ICMS %]]</f>
        <v>0</v>
      </c>
      <c r="W37" s="308">
        <f>(MateriaisPainel[[#This Row],[PIS]]*MateriaisPainel[[#This Row],[UNIT S/ IPI C/DESC]])/2</f>
        <v>0</v>
      </c>
      <c r="X37" s="308">
        <f>(MateriaisPainel[[#This Row],[COFINS]]*MateriaisPainel[[#This Row],[UNIT S/ IPI C/DESC]])/2</f>
        <v>0</v>
      </c>
      <c r="Y37" s="308">
        <f>MateriaisPainel[[#This Row],[ICMS $]]*MateriaisPainel[[#This Row],[QUANTIDADE]]</f>
        <v>0</v>
      </c>
      <c r="Z37" s="309">
        <f>MateriaisPainel[[#This Row],[UNIT S/ IPI C/DESC]]+MateriaisPainel[[#This Row],[DIFERENCIAL ICMS]]</f>
        <v>0</v>
      </c>
      <c r="AA37" s="307">
        <f>MateriaisPainel[[#This Row],[UNIT S/ IP + DIF ICMS]]+(MateriaisPainel[[#This Row],[UNIT S/ IP + DIF ICMS]]*MateriaisPainel[[#This Row],[IPI %]])</f>
        <v>0</v>
      </c>
      <c r="AB37" s="361">
        <f>_xlfn.XLOOKUP(MateriaisPainel[[#This Row],[FATURAMENTO]],BASE!$U$48:$U$50,BASE!$W$48:$W$50,0,0,1)</f>
        <v>0.79709863947533133</v>
      </c>
      <c r="AC37" s="362" t="str">
        <f>RESUMO!$E$71</f>
        <v>SIM</v>
      </c>
      <c r="AD37" s="362" t="str">
        <f>RESUMO!$E$72</f>
        <v>SIM</v>
      </c>
      <c r="AE37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7" s="364">
        <f>MateriaisPainel[[#This Row],[UNIT CRED]]*MateriaisPainel[[#This Row],[QUANTIDADE]]</f>
        <v>0</v>
      </c>
      <c r="AG37" s="307">
        <f>MateriaisPainel[[#This Row],[TOT CRED]]</f>
        <v>0</v>
      </c>
      <c r="AH37" s="365">
        <f>IF(MateriaisPainel[[#This Row],[QUANTIDADE]]&lt;&gt;0,((MateriaisPainel[[#This Row],[TOT CUSTO]]/MateriaisPainel[[#This Row],[QUANTIDADE]])/MateriaisPainel[[#This Row],[MARK-UP]]),0)</f>
        <v>0</v>
      </c>
      <c r="AI37" s="105">
        <f>MateriaisPainel[[#This Row],[UNIT VENDA]]*MateriaisPainel[[#This Row],[QUANTIDADE]]</f>
        <v>0</v>
      </c>
      <c r="AJ37" s="105">
        <f>IFERROR(MateriaisPainel[[#This Row],[VENDA]]*(RESUMO!$F$70/RESUMO!$F$60),0)</f>
        <v>0</v>
      </c>
      <c r="AK37" s="105">
        <f>IFERROR(MateriaisPainel[[#This Row],[VENDA]]*(RESUMO!$F$73/RESUMO!$F$60),0)</f>
        <v>0</v>
      </c>
      <c r="AL37" s="234">
        <f>IF(MateriaisPainel[[#This Row],[FATURAMENTO]]="NORMAL",MateriaisPainel[[#This Row],[VENDA]],0)</f>
        <v>0</v>
      </c>
      <c r="AM37" s="27"/>
    </row>
    <row r="38" spans="1:44" x14ac:dyDescent="0.25">
      <c r="A38" s="100"/>
      <c r="B38" s="104"/>
      <c r="C38" s="305"/>
      <c r="D38" s="100"/>
      <c r="E38" s="119"/>
      <c r="F38" s="119">
        <f t="shared" si="0"/>
        <v>0</v>
      </c>
      <c r="G38" s="104"/>
      <c r="H38" s="101"/>
      <c r="I38" s="306"/>
      <c r="J38" s="378"/>
      <c r="K38" s="351"/>
      <c r="L38" s="351"/>
      <c r="M38" s="390"/>
      <c r="N38" s="347">
        <f>MateriaisPainel[[#This Row],[UNIT S/IPI S/DESC]]-MateriaisPainel[[#This Row],[UNIT S/IPI S/DESC]]*MateriaisPainel[[#This Row],[DESC%]]</f>
        <v>0</v>
      </c>
      <c r="O38" s="248" t="s">
        <v>295</v>
      </c>
      <c r="P38" s="271" t="s">
        <v>155</v>
      </c>
      <c r="Q38" s="249">
        <v>1.6500000000000001E-2</v>
      </c>
      <c r="R38" s="249">
        <v>7.5999999999999998E-2</v>
      </c>
      <c r="S38" s="107">
        <f>MateriaisPainel[[#This Row],[UNIT S/ IP + DIF ICMS]]*MateriaisPainel[[#This Row],[QUANTIDADE]]</f>
        <v>0</v>
      </c>
      <c r="T38" s="307">
        <f>MateriaisPainel[[#This Row],[TOTAL S/ IPI]]+(MateriaisPainel[[#This Row],[TOTAL S/ IPI]]*MateriaisPainel[[#This Row],[IPI %]])</f>
        <v>0</v>
      </c>
      <c r="U38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8" s="308">
        <f>MateriaisPainel[[#This Row],[UNIT S/ IPI C/DESC]]*MateriaisPainel[[#This Row],[ICMS %]]</f>
        <v>0</v>
      </c>
      <c r="W38" s="308">
        <f>(MateriaisPainel[[#This Row],[PIS]]*MateriaisPainel[[#This Row],[UNIT S/ IPI C/DESC]])/2</f>
        <v>0</v>
      </c>
      <c r="X38" s="308">
        <f>(MateriaisPainel[[#This Row],[COFINS]]*MateriaisPainel[[#This Row],[UNIT S/ IPI C/DESC]])/2</f>
        <v>0</v>
      </c>
      <c r="Y38" s="308">
        <f>MateriaisPainel[[#This Row],[ICMS $]]*MateriaisPainel[[#This Row],[QUANTIDADE]]</f>
        <v>0</v>
      </c>
      <c r="Z38" s="309">
        <f>MateriaisPainel[[#This Row],[UNIT S/ IPI C/DESC]]+MateriaisPainel[[#This Row],[DIFERENCIAL ICMS]]</f>
        <v>0</v>
      </c>
      <c r="AA38" s="307">
        <f>MateriaisPainel[[#This Row],[UNIT S/ IP + DIF ICMS]]+(MateriaisPainel[[#This Row],[UNIT S/ IP + DIF ICMS]]*MateriaisPainel[[#This Row],[IPI %]])</f>
        <v>0</v>
      </c>
      <c r="AB38" s="361">
        <f>_xlfn.XLOOKUP(MateriaisPainel[[#This Row],[FATURAMENTO]],BASE!$U$48:$U$50,BASE!$W$48:$W$50,0,0,1)</f>
        <v>0.79709863947533133</v>
      </c>
      <c r="AC38" s="362" t="str">
        <f>RESUMO!$E$71</f>
        <v>SIM</v>
      </c>
      <c r="AD38" s="362" t="str">
        <f>RESUMO!$E$72</f>
        <v>SIM</v>
      </c>
      <c r="AE38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8" s="364">
        <f>MateriaisPainel[[#This Row],[UNIT CRED]]*MateriaisPainel[[#This Row],[QUANTIDADE]]</f>
        <v>0</v>
      </c>
      <c r="AG38" s="307">
        <f>MateriaisPainel[[#This Row],[TOT CRED]]</f>
        <v>0</v>
      </c>
      <c r="AH38" s="365">
        <f>IF(MateriaisPainel[[#This Row],[QUANTIDADE]]&lt;&gt;0,((MateriaisPainel[[#This Row],[TOT CUSTO]]/MateriaisPainel[[#This Row],[QUANTIDADE]])/MateriaisPainel[[#This Row],[MARK-UP]]),0)</f>
        <v>0</v>
      </c>
      <c r="AI38" s="105">
        <f>MateriaisPainel[[#This Row],[UNIT VENDA]]*MateriaisPainel[[#This Row],[QUANTIDADE]]</f>
        <v>0</v>
      </c>
      <c r="AJ38" s="105">
        <f>IFERROR(MateriaisPainel[[#This Row],[VENDA]]*(RESUMO!$F$70/RESUMO!$F$60),0)</f>
        <v>0</v>
      </c>
      <c r="AK38" s="105">
        <f>IFERROR(MateriaisPainel[[#This Row],[VENDA]]*(RESUMO!$F$73/RESUMO!$F$60),0)</f>
        <v>0</v>
      </c>
      <c r="AL38" s="234">
        <f>IF(MateriaisPainel[[#This Row],[FATURAMENTO]]="NORMAL",MateriaisPainel[[#This Row],[VENDA]],0)</f>
        <v>0</v>
      </c>
      <c r="AM38" s="27"/>
    </row>
    <row r="39" spans="1:44" x14ac:dyDescent="0.25">
      <c r="A39" s="100"/>
      <c r="B39" s="104"/>
      <c r="C39" s="305"/>
      <c r="D39" s="100"/>
      <c r="E39" s="119"/>
      <c r="F39" s="119">
        <f t="shared" si="0"/>
        <v>0</v>
      </c>
      <c r="G39" s="104"/>
      <c r="H39" s="101"/>
      <c r="I39" s="306"/>
      <c r="J39" s="378"/>
      <c r="K39" s="351"/>
      <c r="L39" s="351"/>
      <c r="M39" s="390"/>
      <c r="N39" s="347">
        <f>MateriaisPainel[[#This Row],[UNIT S/IPI S/DESC]]-MateriaisPainel[[#This Row],[UNIT S/IPI S/DESC]]*MateriaisPainel[[#This Row],[DESC%]]</f>
        <v>0</v>
      </c>
      <c r="O39" s="248" t="s">
        <v>295</v>
      </c>
      <c r="P39" s="271" t="s">
        <v>155</v>
      </c>
      <c r="Q39" s="249">
        <v>1.6500000000000001E-2</v>
      </c>
      <c r="R39" s="249">
        <v>7.5999999999999998E-2</v>
      </c>
      <c r="S39" s="107">
        <f>MateriaisPainel[[#This Row],[UNIT S/ IP + DIF ICMS]]*MateriaisPainel[[#This Row],[QUANTIDADE]]</f>
        <v>0</v>
      </c>
      <c r="T39" s="307">
        <f>MateriaisPainel[[#This Row],[TOTAL S/ IPI]]+(MateriaisPainel[[#This Row],[TOTAL S/ IPI]]*MateriaisPainel[[#This Row],[IPI %]])</f>
        <v>0</v>
      </c>
      <c r="U39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39" s="308">
        <f>MateriaisPainel[[#This Row],[UNIT S/ IPI C/DESC]]*MateriaisPainel[[#This Row],[ICMS %]]</f>
        <v>0</v>
      </c>
      <c r="W39" s="308">
        <f>(MateriaisPainel[[#This Row],[PIS]]*MateriaisPainel[[#This Row],[UNIT S/ IPI C/DESC]])/2</f>
        <v>0</v>
      </c>
      <c r="X39" s="308">
        <f>(MateriaisPainel[[#This Row],[COFINS]]*MateriaisPainel[[#This Row],[UNIT S/ IPI C/DESC]])/2</f>
        <v>0</v>
      </c>
      <c r="Y39" s="308">
        <f>MateriaisPainel[[#This Row],[ICMS $]]*MateriaisPainel[[#This Row],[QUANTIDADE]]</f>
        <v>0</v>
      </c>
      <c r="Z39" s="309">
        <f>MateriaisPainel[[#This Row],[UNIT S/ IPI C/DESC]]+MateriaisPainel[[#This Row],[DIFERENCIAL ICMS]]</f>
        <v>0</v>
      </c>
      <c r="AA39" s="307">
        <f>MateriaisPainel[[#This Row],[UNIT S/ IP + DIF ICMS]]+(MateriaisPainel[[#This Row],[UNIT S/ IP + DIF ICMS]]*MateriaisPainel[[#This Row],[IPI %]])</f>
        <v>0</v>
      </c>
      <c r="AB39" s="361">
        <f>_xlfn.XLOOKUP(MateriaisPainel[[#This Row],[FATURAMENTO]],BASE!$U$48:$U$50,BASE!$W$48:$W$50,0,0,1)</f>
        <v>0.79709863947533133</v>
      </c>
      <c r="AC39" s="362" t="str">
        <f>RESUMO!$E$71</f>
        <v>SIM</v>
      </c>
      <c r="AD39" s="362" t="str">
        <f>RESUMO!$E$72</f>
        <v>SIM</v>
      </c>
      <c r="AE39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39" s="364">
        <f>MateriaisPainel[[#This Row],[UNIT CRED]]*MateriaisPainel[[#This Row],[QUANTIDADE]]</f>
        <v>0</v>
      </c>
      <c r="AG39" s="307">
        <f>MateriaisPainel[[#This Row],[TOT CRED]]</f>
        <v>0</v>
      </c>
      <c r="AH39" s="365">
        <f>IF(MateriaisPainel[[#This Row],[QUANTIDADE]]&lt;&gt;0,((MateriaisPainel[[#This Row],[TOT CUSTO]]/MateriaisPainel[[#This Row],[QUANTIDADE]])/MateriaisPainel[[#This Row],[MARK-UP]]),0)</f>
        <v>0</v>
      </c>
      <c r="AI39" s="105">
        <f>MateriaisPainel[[#This Row],[UNIT VENDA]]*MateriaisPainel[[#This Row],[QUANTIDADE]]</f>
        <v>0</v>
      </c>
      <c r="AJ39" s="105">
        <f>IFERROR(MateriaisPainel[[#This Row],[VENDA]]*(RESUMO!$F$70/RESUMO!$F$60),0)</f>
        <v>0</v>
      </c>
      <c r="AK39" s="105">
        <f>IFERROR(MateriaisPainel[[#This Row],[VENDA]]*(RESUMO!$F$73/RESUMO!$F$60),0)</f>
        <v>0</v>
      </c>
      <c r="AL39" s="234">
        <f>IF(MateriaisPainel[[#This Row],[FATURAMENTO]]="NORMAL",MateriaisPainel[[#This Row],[VENDA]],0)</f>
        <v>0</v>
      </c>
      <c r="AM39" s="27"/>
    </row>
    <row r="40" spans="1:44" x14ac:dyDescent="0.25">
      <c r="A40" s="100"/>
      <c r="B40" s="104"/>
      <c r="C40" s="305"/>
      <c r="D40" s="100"/>
      <c r="E40" s="119"/>
      <c r="F40" s="119">
        <f t="shared" si="0"/>
        <v>0</v>
      </c>
      <c r="G40" s="104"/>
      <c r="H40" s="101"/>
      <c r="I40" s="306"/>
      <c r="J40" s="378"/>
      <c r="K40" s="351"/>
      <c r="L40" s="351"/>
      <c r="M40" s="390"/>
      <c r="N40" s="347">
        <f>MateriaisPainel[[#This Row],[UNIT S/IPI S/DESC]]-MateriaisPainel[[#This Row],[UNIT S/IPI S/DESC]]*MateriaisPainel[[#This Row],[DESC%]]</f>
        <v>0</v>
      </c>
      <c r="O40" s="248" t="s">
        <v>295</v>
      </c>
      <c r="P40" s="271" t="s">
        <v>155</v>
      </c>
      <c r="Q40" s="249">
        <v>1.6500000000000001E-2</v>
      </c>
      <c r="R40" s="249">
        <v>7.5999999999999998E-2</v>
      </c>
      <c r="S40" s="107">
        <f>MateriaisPainel[[#This Row],[UNIT S/ IP + DIF ICMS]]*MateriaisPainel[[#This Row],[QUANTIDADE]]</f>
        <v>0</v>
      </c>
      <c r="T40" s="307">
        <f>MateriaisPainel[[#This Row],[TOTAL S/ IPI]]+(MateriaisPainel[[#This Row],[TOTAL S/ IPI]]*MateriaisPainel[[#This Row],[IPI %]])</f>
        <v>0</v>
      </c>
      <c r="U40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0" s="308">
        <f>MateriaisPainel[[#This Row],[UNIT S/ IPI C/DESC]]*MateriaisPainel[[#This Row],[ICMS %]]</f>
        <v>0</v>
      </c>
      <c r="W40" s="308">
        <f>(MateriaisPainel[[#This Row],[PIS]]*MateriaisPainel[[#This Row],[UNIT S/ IPI C/DESC]])/2</f>
        <v>0</v>
      </c>
      <c r="X40" s="308">
        <f>(MateriaisPainel[[#This Row],[COFINS]]*MateriaisPainel[[#This Row],[UNIT S/ IPI C/DESC]])/2</f>
        <v>0</v>
      </c>
      <c r="Y40" s="308">
        <f>MateriaisPainel[[#This Row],[ICMS $]]*MateriaisPainel[[#This Row],[QUANTIDADE]]</f>
        <v>0</v>
      </c>
      <c r="Z40" s="309">
        <f>MateriaisPainel[[#This Row],[UNIT S/ IPI C/DESC]]+MateriaisPainel[[#This Row],[DIFERENCIAL ICMS]]</f>
        <v>0</v>
      </c>
      <c r="AA40" s="307">
        <f>MateriaisPainel[[#This Row],[UNIT S/ IP + DIF ICMS]]+(MateriaisPainel[[#This Row],[UNIT S/ IP + DIF ICMS]]*MateriaisPainel[[#This Row],[IPI %]])</f>
        <v>0</v>
      </c>
      <c r="AB40" s="361">
        <f>_xlfn.XLOOKUP(MateriaisPainel[[#This Row],[FATURAMENTO]],BASE!$U$48:$U$50,BASE!$W$48:$W$50,0,0,1)</f>
        <v>0.79709863947533133</v>
      </c>
      <c r="AC40" s="362" t="str">
        <f>RESUMO!$E$71</f>
        <v>SIM</v>
      </c>
      <c r="AD40" s="362" t="str">
        <f>RESUMO!$E$72</f>
        <v>SIM</v>
      </c>
      <c r="AE40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0" s="364">
        <f>MateriaisPainel[[#This Row],[UNIT CRED]]*MateriaisPainel[[#This Row],[QUANTIDADE]]</f>
        <v>0</v>
      </c>
      <c r="AG40" s="307">
        <f>MateriaisPainel[[#This Row],[TOT CRED]]</f>
        <v>0</v>
      </c>
      <c r="AH40" s="365">
        <f>IF(MateriaisPainel[[#This Row],[QUANTIDADE]]&lt;&gt;0,((MateriaisPainel[[#This Row],[TOT CUSTO]]/MateriaisPainel[[#This Row],[QUANTIDADE]])/MateriaisPainel[[#This Row],[MARK-UP]]),0)</f>
        <v>0</v>
      </c>
      <c r="AI40" s="105">
        <f>MateriaisPainel[[#This Row],[UNIT VENDA]]*MateriaisPainel[[#This Row],[QUANTIDADE]]</f>
        <v>0</v>
      </c>
      <c r="AJ40" s="105">
        <f>IFERROR(MateriaisPainel[[#This Row],[VENDA]]*(RESUMO!$F$70/RESUMO!$F$60),0)</f>
        <v>0</v>
      </c>
      <c r="AK40" s="105">
        <f>IFERROR(MateriaisPainel[[#This Row],[VENDA]]*(RESUMO!$F$73/RESUMO!$F$60),0)</f>
        <v>0</v>
      </c>
      <c r="AL40" s="234">
        <f>IF(MateriaisPainel[[#This Row],[FATURAMENTO]]="NORMAL",MateriaisPainel[[#This Row],[VENDA]],0)</f>
        <v>0</v>
      </c>
    </row>
    <row r="41" spans="1:44" x14ac:dyDescent="0.25">
      <c r="A41" s="100"/>
      <c r="B41" s="104"/>
      <c r="C41" s="305"/>
      <c r="D41" s="100"/>
      <c r="E41" s="119"/>
      <c r="F41" s="119">
        <f t="shared" si="0"/>
        <v>0</v>
      </c>
      <c r="G41" s="104"/>
      <c r="H41" s="377"/>
      <c r="I41" s="306"/>
      <c r="J41" s="378"/>
      <c r="K41" s="351"/>
      <c r="L41" s="351"/>
      <c r="M41" s="390"/>
      <c r="N41" s="347">
        <f>MateriaisPainel[[#This Row],[UNIT S/IPI S/DESC]]-MateriaisPainel[[#This Row],[UNIT S/IPI S/DESC]]*MateriaisPainel[[#This Row],[DESC%]]</f>
        <v>0</v>
      </c>
      <c r="O41" s="248" t="s">
        <v>295</v>
      </c>
      <c r="P41" s="271" t="s">
        <v>155</v>
      </c>
      <c r="Q41" s="249">
        <v>1.6500000000000001E-2</v>
      </c>
      <c r="R41" s="249">
        <v>7.5999999999999998E-2</v>
      </c>
      <c r="S41" s="107">
        <f>MateriaisPainel[[#This Row],[UNIT S/ IP + DIF ICMS]]*MateriaisPainel[[#This Row],[QUANTIDADE]]</f>
        <v>0</v>
      </c>
      <c r="T41" s="307">
        <f>MateriaisPainel[[#This Row],[TOTAL S/ IPI]]+(MateriaisPainel[[#This Row],[TOTAL S/ IPI]]*MateriaisPainel[[#This Row],[IPI %]])</f>
        <v>0</v>
      </c>
      <c r="U41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1" s="308">
        <f>MateriaisPainel[[#This Row],[UNIT S/ IPI C/DESC]]*MateriaisPainel[[#This Row],[ICMS %]]</f>
        <v>0</v>
      </c>
      <c r="W41" s="308">
        <f>(MateriaisPainel[[#This Row],[PIS]]*MateriaisPainel[[#This Row],[UNIT S/ IPI C/DESC]])/2</f>
        <v>0</v>
      </c>
      <c r="X41" s="308">
        <f>(MateriaisPainel[[#This Row],[COFINS]]*MateriaisPainel[[#This Row],[UNIT S/ IPI C/DESC]])/2</f>
        <v>0</v>
      </c>
      <c r="Y41" s="308">
        <f>MateriaisPainel[[#This Row],[ICMS $]]*MateriaisPainel[[#This Row],[QUANTIDADE]]</f>
        <v>0</v>
      </c>
      <c r="Z41" s="309">
        <f>MateriaisPainel[[#This Row],[UNIT S/ IPI C/DESC]]+MateriaisPainel[[#This Row],[DIFERENCIAL ICMS]]</f>
        <v>0</v>
      </c>
      <c r="AA41" s="307">
        <f>MateriaisPainel[[#This Row],[UNIT S/ IP + DIF ICMS]]+(MateriaisPainel[[#This Row],[UNIT S/ IP + DIF ICMS]]*MateriaisPainel[[#This Row],[IPI %]])</f>
        <v>0</v>
      </c>
      <c r="AB41" s="361">
        <f>_xlfn.XLOOKUP(MateriaisPainel[[#This Row],[FATURAMENTO]],BASE!$U$48:$U$50,BASE!$W$48:$W$50,0,0,1)</f>
        <v>0.79709863947533133</v>
      </c>
      <c r="AC41" s="362" t="str">
        <f>RESUMO!$E$71</f>
        <v>SIM</v>
      </c>
      <c r="AD41" s="362" t="str">
        <f>RESUMO!$E$72</f>
        <v>SIM</v>
      </c>
      <c r="AE41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1" s="364">
        <f>MateriaisPainel[[#This Row],[UNIT CRED]]*MateriaisPainel[[#This Row],[QUANTIDADE]]</f>
        <v>0</v>
      </c>
      <c r="AG41" s="307">
        <f>MateriaisPainel[[#This Row],[TOT CRED]]</f>
        <v>0</v>
      </c>
      <c r="AH41" s="365">
        <f>IF(MateriaisPainel[[#This Row],[QUANTIDADE]]&lt;&gt;0,((MateriaisPainel[[#This Row],[TOT CUSTO]]/MateriaisPainel[[#This Row],[QUANTIDADE]])/MateriaisPainel[[#This Row],[MARK-UP]]),0)</f>
        <v>0</v>
      </c>
      <c r="AI41" s="105">
        <f>MateriaisPainel[[#This Row],[UNIT VENDA]]*MateriaisPainel[[#This Row],[QUANTIDADE]]</f>
        <v>0</v>
      </c>
      <c r="AJ41" s="105">
        <f>IFERROR(MateriaisPainel[[#This Row],[VENDA]]*(RESUMO!$F$70/RESUMO!$F$60),0)</f>
        <v>0</v>
      </c>
      <c r="AK41" s="105">
        <f>IFERROR(MateriaisPainel[[#This Row],[VENDA]]*(RESUMO!$F$73/RESUMO!$F$60),0)</f>
        <v>0</v>
      </c>
      <c r="AL41" s="234">
        <f>IF(MateriaisPainel[[#This Row],[FATURAMENTO]]="NORMAL",MateriaisPainel[[#This Row],[VENDA]],0)</f>
        <v>0</v>
      </c>
    </row>
    <row r="42" spans="1:44" s="26" customFormat="1" x14ac:dyDescent="0.35">
      <c r="A42" s="100"/>
      <c r="B42" s="104"/>
      <c r="C42" s="305"/>
      <c r="D42" s="100"/>
      <c r="E42" s="119"/>
      <c r="F42" s="119">
        <f t="shared" si="0"/>
        <v>0</v>
      </c>
      <c r="G42" s="104"/>
      <c r="H42" s="377"/>
      <c r="I42" s="306"/>
      <c r="J42" s="378"/>
      <c r="K42" s="351"/>
      <c r="L42" s="351"/>
      <c r="M42" s="390"/>
      <c r="N42" s="347">
        <f>MateriaisPainel[[#This Row],[UNIT S/IPI S/DESC]]-MateriaisPainel[[#This Row],[UNIT S/IPI S/DESC]]*MateriaisPainel[[#This Row],[DESC%]]</f>
        <v>0</v>
      </c>
      <c r="O42" s="248" t="s">
        <v>295</v>
      </c>
      <c r="P42" s="271" t="s">
        <v>155</v>
      </c>
      <c r="Q42" s="249">
        <v>1.6500000000000001E-2</v>
      </c>
      <c r="R42" s="249">
        <v>7.5999999999999998E-2</v>
      </c>
      <c r="S42" s="107">
        <f>MateriaisPainel[[#This Row],[UNIT S/ IP + DIF ICMS]]*MateriaisPainel[[#This Row],[QUANTIDADE]]</f>
        <v>0</v>
      </c>
      <c r="T42" s="307">
        <f>MateriaisPainel[[#This Row],[TOTAL S/ IPI]]+(MateriaisPainel[[#This Row],[TOTAL S/ IPI]]*MateriaisPainel[[#This Row],[IPI %]])</f>
        <v>0</v>
      </c>
      <c r="U42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2" s="308">
        <f>MateriaisPainel[[#This Row],[UNIT S/ IPI C/DESC]]*MateriaisPainel[[#This Row],[ICMS %]]</f>
        <v>0</v>
      </c>
      <c r="W42" s="308">
        <f>(MateriaisPainel[[#This Row],[PIS]]*MateriaisPainel[[#This Row],[UNIT S/ IPI C/DESC]])/2</f>
        <v>0</v>
      </c>
      <c r="X42" s="308">
        <f>(MateriaisPainel[[#This Row],[COFINS]]*MateriaisPainel[[#This Row],[UNIT S/ IPI C/DESC]])/2</f>
        <v>0</v>
      </c>
      <c r="Y42" s="308">
        <f>MateriaisPainel[[#This Row],[ICMS $]]*MateriaisPainel[[#This Row],[QUANTIDADE]]</f>
        <v>0</v>
      </c>
      <c r="Z42" s="309">
        <f>MateriaisPainel[[#This Row],[UNIT S/ IPI C/DESC]]+MateriaisPainel[[#This Row],[DIFERENCIAL ICMS]]</f>
        <v>0</v>
      </c>
      <c r="AA42" s="307">
        <f>MateriaisPainel[[#This Row],[UNIT S/ IP + DIF ICMS]]+(MateriaisPainel[[#This Row],[UNIT S/ IP + DIF ICMS]]*MateriaisPainel[[#This Row],[IPI %]])</f>
        <v>0</v>
      </c>
      <c r="AB42" s="361">
        <f>_xlfn.XLOOKUP(MateriaisPainel[[#This Row],[FATURAMENTO]],BASE!$U$48:$U$50,BASE!$W$48:$W$50,0,0,1)</f>
        <v>0.79709863947533133</v>
      </c>
      <c r="AC42" s="362" t="str">
        <f>RESUMO!$E$71</f>
        <v>SIM</v>
      </c>
      <c r="AD42" s="362" t="str">
        <f>RESUMO!$E$72</f>
        <v>SIM</v>
      </c>
      <c r="AE42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2" s="364">
        <f>MateriaisPainel[[#This Row],[UNIT CRED]]*MateriaisPainel[[#This Row],[QUANTIDADE]]</f>
        <v>0</v>
      </c>
      <c r="AG42" s="307">
        <f>MateriaisPainel[[#This Row],[TOT CRED]]</f>
        <v>0</v>
      </c>
      <c r="AH42" s="365">
        <f>IF(MateriaisPainel[[#This Row],[QUANTIDADE]]&lt;&gt;0,((MateriaisPainel[[#This Row],[TOT CUSTO]]/MateriaisPainel[[#This Row],[QUANTIDADE]])/MateriaisPainel[[#This Row],[MARK-UP]]),0)</f>
        <v>0</v>
      </c>
      <c r="AI42" s="105">
        <f>MateriaisPainel[[#This Row],[UNIT VENDA]]*MateriaisPainel[[#This Row],[QUANTIDADE]]</f>
        <v>0</v>
      </c>
      <c r="AJ42" s="105">
        <f>IFERROR(MateriaisPainel[[#This Row],[VENDA]]*(RESUMO!$F$70/RESUMO!$F$60),0)</f>
        <v>0</v>
      </c>
      <c r="AK42" s="105">
        <f>IFERROR(MateriaisPainel[[#This Row],[VENDA]]*(RESUMO!$F$73/RESUMO!$F$60),0)</f>
        <v>0</v>
      </c>
      <c r="AL42" s="234">
        <f>IF(MateriaisPainel[[#This Row],[FATURAMENTO]]="NORMAL",MateriaisPainel[[#This Row],[VENDA]],0)</f>
        <v>0</v>
      </c>
      <c r="AP42" s="267"/>
      <c r="AQ42" s="267"/>
      <c r="AR42" s="267"/>
    </row>
    <row r="43" spans="1:44" x14ac:dyDescent="0.25">
      <c r="A43" s="100"/>
      <c r="B43" s="104"/>
      <c r="C43" s="305"/>
      <c r="D43" s="100"/>
      <c r="E43" s="119"/>
      <c r="F43" s="119">
        <f t="shared" si="0"/>
        <v>0</v>
      </c>
      <c r="G43" s="104"/>
      <c r="H43" s="377"/>
      <c r="I43" s="306"/>
      <c r="J43" s="378"/>
      <c r="K43" s="351"/>
      <c r="L43" s="351"/>
      <c r="M43" s="390"/>
      <c r="N43" s="347">
        <f>MateriaisPainel[[#This Row],[UNIT S/IPI S/DESC]]-MateriaisPainel[[#This Row],[UNIT S/IPI S/DESC]]*MateriaisPainel[[#This Row],[DESC%]]</f>
        <v>0</v>
      </c>
      <c r="O43" s="248" t="s">
        <v>295</v>
      </c>
      <c r="P43" s="271" t="s">
        <v>155</v>
      </c>
      <c r="Q43" s="249">
        <v>1.6500000000000001E-2</v>
      </c>
      <c r="R43" s="249">
        <v>7.5999999999999998E-2</v>
      </c>
      <c r="S43" s="107">
        <f>MateriaisPainel[[#This Row],[UNIT S/ IP + DIF ICMS]]*MateriaisPainel[[#This Row],[QUANTIDADE]]</f>
        <v>0</v>
      </c>
      <c r="T43" s="307">
        <f>MateriaisPainel[[#This Row],[TOTAL S/ IPI]]+(MateriaisPainel[[#This Row],[TOTAL S/ IPI]]*MateriaisPainel[[#This Row],[IPI %]])</f>
        <v>0</v>
      </c>
      <c r="U43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3" s="308">
        <f>MateriaisPainel[[#This Row],[UNIT S/ IPI C/DESC]]*MateriaisPainel[[#This Row],[ICMS %]]</f>
        <v>0</v>
      </c>
      <c r="W43" s="308">
        <f>(MateriaisPainel[[#This Row],[PIS]]*MateriaisPainel[[#This Row],[UNIT S/ IPI C/DESC]])/2</f>
        <v>0</v>
      </c>
      <c r="X43" s="308">
        <f>(MateriaisPainel[[#This Row],[COFINS]]*MateriaisPainel[[#This Row],[UNIT S/ IPI C/DESC]])/2</f>
        <v>0</v>
      </c>
      <c r="Y43" s="308">
        <f>MateriaisPainel[[#This Row],[ICMS $]]*MateriaisPainel[[#This Row],[QUANTIDADE]]</f>
        <v>0</v>
      </c>
      <c r="Z43" s="309">
        <f>MateriaisPainel[[#This Row],[UNIT S/ IPI C/DESC]]+MateriaisPainel[[#This Row],[DIFERENCIAL ICMS]]</f>
        <v>0</v>
      </c>
      <c r="AA43" s="307">
        <f>MateriaisPainel[[#This Row],[UNIT S/ IP + DIF ICMS]]+(MateriaisPainel[[#This Row],[UNIT S/ IP + DIF ICMS]]*MateriaisPainel[[#This Row],[IPI %]])</f>
        <v>0</v>
      </c>
      <c r="AB43" s="361">
        <f>_xlfn.XLOOKUP(MateriaisPainel[[#This Row],[FATURAMENTO]],BASE!$U$48:$U$50,BASE!$W$48:$W$50,0,0,1)</f>
        <v>0.79709863947533133</v>
      </c>
      <c r="AC43" s="362" t="str">
        <f>RESUMO!$E$71</f>
        <v>SIM</v>
      </c>
      <c r="AD43" s="362" t="str">
        <f>RESUMO!$E$72</f>
        <v>SIM</v>
      </c>
      <c r="AE43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3" s="364">
        <f>MateriaisPainel[[#This Row],[UNIT CRED]]*MateriaisPainel[[#This Row],[QUANTIDADE]]</f>
        <v>0</v>
      </c>
      <c r="AG43" s="307">
        <f>MateriaisPainel[[#This Row],[TOT CRED]]</f>
        <v>0</v>
      </c>
      <c r="AH43" s="365">
        <f>IF(MateriaisPainel[[#This Row],[QUANTIDADE]]&lt;&gt;0,((MateriaisPainel[[#This Row],[TOT CUSTO]]/MateriaisPainel[[#This Row],[QUANTIDADE]])/MateriaisPainel[[#This Row],[MARK-UP]]),0)</f>
        <v>0</v>
      </c>
      <c r="AI43" s="105">
        <f>MateriaisPainel[[#This Row],[UNIT VENDA]]*MateriaisPainel[[#This Row],[QUANTIDADE]]</f>
        <v>0</v>
      </c>
      <c r="AJ43" s="105">
        <f>IFERROR(MateriaisPainel[[#This Row],[VENDA]]*(RESUMO!$F$70/RESUMO!$F$60),0)</f>
        <v>0</v>
      </c>
      <c r="AK43" s="105">
        <f>IFERROR(MateriaisPainel[[#This Row],[VENDA]]*(RESUMO!$F$73/RESUMO!$F$60),0)</f>
        <v>0</v>
      </c>
      <c r="AL43" s="234">
        <f>IF(MateriaisPainel[[#This Row],[FATURAMENTO]]="NORMAL",MateriaisPainel[[#This Row],[VENDA]],0)</f>
        <v>0</v>
      </c>
    </row>
    <row r="44" spans="1:44" x14ac:dyDescent="0.25">
      <c r="A44" s="100"/>
      <c r="B44" s="104"/>
      <c r="C44" s="305"/>
      <c r="D44" s="100"/>
      <c r="E44" s="119"/>
      <c r="F44" s="119">
        <f t="shared" si="0"/>
        <v>0</v>
      </c>
      <c r="G44" s="104"/>
      <c r="H44" s="377"/>
      <c r="I44" s="306"/>
      <c r="J44" s="378"/>
      <c r="K44" s="351"/>
      <c r="L44" s="351"/>
      <c r="M44" s="390"/>
      <c r="N44" s="347">
        <f>MateriaisPainel[[#This Row],[UNIT S/IPI S/DESC]]-MateriaisPainel[[#This Row],[UNIT S/IPI S/DESC]]*MateriaisPainel[[#This Row],[DESC%]]</f>
        <v>0</v>
      </c>
      <c r="O44" s="248" t="s">
        <v>295</v>
      </c>
      <c r="P44" s="271" t="s">
        <v>155</v>
      </c>
      <c r="Q44" s="249">
        <v>1.6500000000000001E-2</v>
      </c>
      <c r="R44" s="249">
        <v>7.5999999999999998E-2</v>
      </c>
      <c r="S44" s="107">
        <f>MateriaisPainel[[#This Row],[UNIT S/ IP + DIF ICMS]]*MateriaisPainel[[#This Row],[QUANTIDADE]]</f>
        <v>0</v>
      </c>
      <c r="T44" s="307">
        <f>MateriaisPainel[[#This Row],[TOTAL S/ IPI]]+(MateriaisPainel[[#This Row],[TOTAL S/ IPI]]*MateriaisPainel[[#This Row],[IPI %]])</f>
        <v>0</v>
      </c>
      <c r="U44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4" s="308">
        <f>MateriaisPainel[[#This Row],[UNIT S/ IPI C/DESC]]*MateriaisPainel[[#This Row],[ICMS %]]</f>
        <v>0</v>
      </c>
      <c r="W44" s="308">
        <f>(MateriaisPainel[[#This Row],[PIS]]*MateriaisPainel[[#This Row],[UNIT S/ IPI C/DESC]])/2</f>
        <v>0</v>
      </c>
      <c r="X44" s="308">
        <f>(MateriaisPainel[[#This Row],[COFINS]]*MateriaisPainel[[#This Row],[UNIT S/ IPI C/DESC]])/2</f>
        <v>0</v>
      </c>
      <c r="Y44" s="308">
        <f>MateriaisPainel[[#This Row],[ICMS $]]*MateriaisPainel[[#This Row],[QUANTIDADE]]</f>
        <v>0</v>
      </c>
      <c r="Z44" s="309">
        <f>MateriaisPainel[[#This Row],[UNIT S/ IPI C/DESC]]+MateriaisPainel[[#This Row],[DIFERENCIAL ICMS]]</f>
        <v>0</v>
      </c>
      <c r="AA44" s="307">
        <f>MateriaisPainel[[#This Row],[UNIT S/ IP + DIF ICMS]]+(MateriaisPainel[[#This Row],[UNIT S/ IP + DIF ICMS]]*MateriaisPainel[[#This Row],[IPI %]])</f>
        <v>0</v>
      </c>
      <c r="AB44" s="361">
        <f>_xlfn.XLOOKUP(MateriaisPainel[[#This Row],[FATURAMENTO]],BASE!$U$48:$U$50,BASE!$W$48:$W$50,0,0,1)</f>
        <v>0.79709863947533133</v>
      </c>
      <c r="AC44" s="362" t="str">
        <f>RESUMO!$E$71</f>
        <v>SIM</v>
      </c>
      <c r="AD44" s="362" t="str">
        <f>RESUMO!$E$72</f>
        <v>SIM</v>
      </c>
      <c r="AE44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4" s="364">
        <f>MateriaisPainel[[#This Row],[UNIT CRED]]*MateriaisPainel[[#This Row],[QUANTIDADE]]</f>
        <v>0</v>
      </c>
      <c r="AG44" s="307">
        <f>MateriaisPainel[[#This Row],[TOT CRED]]</f>
        <v>0</v>
      </c>
      <c r="AH44" s="365">
        <f>IF(MateriaisPainel[[#This Row],[QUANTIDADE]]&lt;&gt;0,((MateriaisPainel[[#This Row],[TOT CUSTO]]/MateriaisPainel[[#This Row],[QUANTIDADE]])/MateriaisPainel[[#This Row],[MARK-UP]]),0)</f>
        <v>0</v>
      </c>
      <c r="AI44" s="105">
        <f>MateriaisPainel[[#This Row],[UNIT VENDA]]*MateriaisPainel[[#This Row],[QUANTIDADE]]</f>
        <v>0</v>
      </c>
      <c r="AJ44" s="105">
        <f>IFERROR(MateriaisPainel[[#This Row],[VENDA]]*(RESUMO!$F$70/RESUMO!$F$60),0)</f>
        <v>0</v>
      </c>
      <c r="AK44" s="105">
        <f>IFERROR(MateriaisPainel[[#This Row],[VENDA]]*(RESUMO!$F$73/RESUMO!$F$60),0)</f>
        <v>0</v>
      </c>
      <c r="AL44" s="234">
        <f>IF(MateriaisPainel[[#This Row],[FATURAMENTO]]="NORMAL",MateriaisPainel[[#This Row],[VENDA]],0)</f>
        <v>0</v>
      </c>
    </row>
    <row r="45" spans="1:44" x14ac:dyDescent="0.25">
      <c r="A45" s="100"/>
      <c r="B45" s="104"/>
      <c r="C45" s="305"/>
      <c r="D45" s="100"/>
      <c r="E45" s="119"/>
      <c r="F45" s="119">
        <f t="shared" si="0"/>
        <v>0</v>
      </c>
      <c r="G45" s="104"/>
      <c r="H45" s="377"/>
      <c r="I45" s="306"/>
      <c r="J45" s="378"/>
      <c r="K45" s="351"/>
      <c r="L45" s="351"/>
      <c r="M45" s="390"/>
      <c r="N45" s="347">
        <f>MateriaisPainel[[#This Row],[UNIT S/IPI S/DESC]]-MateriaisPainel[[#This Row],[UNIT S/IPI S/DESC]]*MateriaisPainel[[#This Row],[DESC%]]</f>
        <v>0</v>
      </c>
      <c r="O45" s="248" t="s">
        <v>295</v>
      </c>
      <c r="P45" s="271" t="s">
        <v>155</v>
      </c>
      <c r="Q45" s="249">
        <v>1.6500000000000001E-2</v>
      </c>
      <c r="R45" s="249">
        <v>7.5999999999999998E-2</v>
      </c>
      <c r="S45" s="107">
        <f>MateriaisPainel[[#This Row],[UNIT S/ IP + DIF ICMS]]*MateriaisPainel[[#This Row],[QUANTIDADE]]</f>
        <v>0</v>
      </c>
      <c r="T45" s="307">
        <f>MateriaisPainel[[#This Row],[TOTAL S/ IPI]]+(MateriaisPainel[[#This Row],[TOTAL S/ IPI]]*MateriaisPainel[[#This Row],[IPI %]])</f>
        <v>0</v>
      </c>
      <c r="U45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5" s="308">
        <f>MateriaisPainel[[#This Row],[UNIT S/ IPI C/DESC]]*MateriaisPainel[[#This Row],[ICMS %]]</f>
        <v>0</v>
      </c>
      <c r="W45" s="308">
        <f>(MateriaisPainel[[#This Row],[PIS]]*MateriaisPainel[[#This Row],[UNIT S/ IPI C/DESC]])/2</f>
        <v>0</v>
      </c>
      <c r="X45" s="308">
        <f>(MateriaisPainel[[#This Row],[COFINS]]*MateriaisPainel[[#This Row],[UNIT S/ IPI C/DESC]])/2</f>
        <v>0</v>
      </c>
      <c r="Y45" s="308">
        <f>MateriaisPainel[[#This Row],[ICMS $]]*MateriaisPainel[[#This Row],[QUANTIDADE]]</f>
        <v>0</v>
      </c>
      <c r="Z45" s="309">
        <f>MateriaisPainel[[#This Row],[UNIT S/ IPI C/DESC]]+MateriaisPainel[[#This Row],[DIFERENCIAL ICMS]]</f>
        <v>0</v>
      </c>
      <c r="AA45" s="307">
        <f>MateriaisPainel[[#This Row],[UNIT S/ IP + DIF ICMS]]+(MateriaisPainel[[#This Row],[UNIT S/ IP + DIF ICMS]]*MateriaisPainel[[#This Row],[IPI %]])</f>
        <v>0</v>
      </c>
      <c r="AB45" s="361">
        <f>_xlfn.XLOOKUP(MateriaisPainel[[#This Row],[FATURAMENTO]],BASE!$U$48:$U$50,BASE!$W$48:$W$50,0,0,1)</f>
        <v>0.79709863947533133</v>
      </c>
      <c r="AC45" s="362" t="str">
        <f>RESUMO!$E$71</f>
        <v>SIM</v>
      </c>
      <c r="AD45" s="362" t="str">
        <f>RESUMO!$E$72</f>
        <v>SIM</v>
      </c>
      <c r="AE45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5" s="364">
        <f>MateriaisPainel[[#This Row],[UNIT CRED]]*MateriaisPainel[[#This Row],[QUANTIDADE]]</f>
        <v>0</v>
      </c>
      <c r="AG45" s="307">
        <f>MateriaisPainel[[#This Row],[TOT CRED]]</f>
        <v>0</v>
      </c>
      <c r="AH45" s="365">
        <f>IF(MateriaisPainel[[#This Row],[QUANTIDADE]]&lt;&gt;0,((MateriaisPainel[[#This Row],[TOT CUSTO]]/MateriaisPainel[[#This Row],[QUANTIDADE]])/MateriaisPainel[[#This Row],[MARK-UP]]),0)</f>
        <v>0</v>
      </c>
      <c r="AI45" s="105">
        <f>MateriaisPainel[[#This Row],[UNIT VENDA]]*MateriaisPainel[[#This Row],[QUANTIDADE]]</f>
        <v>0</v>
      </c>
      <c r="AJ45" s="105">
        <f>IFERROR(MateriaisPainel[[#This Row],[VENDA]]*(RESUMO!$F$70/RESUMO!$F$60),0)</f>
        <v>0</v>
      </c>
      <c r="AK45" s="105">
        <f>IFERROR(MateriaisPainel[[#This Row],[VENDA]]*(RESUMO!$F$73/RESUMO!$F$60),0)</f>
        <v>0</v>
      </c>
      <c r="AL45" s="234">
        <f>IF(MateriaisPainel[[#This Row],[FATURAMENTO]]="NORMAL",MateriaisPainel[[#This Row],[VENDA]],0)</f>
        <v>0</v>
      </c>
    </row>
    <row r="46" spans="1:44" x14ac:dyDescent="0.25">
      <c r="A46" s="100"/>
      <c r="B46" s="104"/>
      <c r="C46" s="305"/>
      <c r="D46" s="100"/>
      <c r="E46" s="119"/>
      <c r="F46" s="119">
        <f t="shared" si="0"/>
        <v>0</v>
      </c>
      <c r="G46" s="104"/>
      <c r="H46" s="377"/>
      <c r="I46" s="306"/>
      <c r="J46" s="378"/>
      <c r="K46" s="351"/>
      <c r="L46" s="351"/>
      <c r="M46" s="390"/>
      <c r="N46" s="347">
        <f>MateriaisPainel[[#This Row],[UNIT S/IPI S/DESC]]-MateriaisPainel[[#This Row],[UNIT S/IPI S/DESC]]*MateriaisPainel[[#This Row],[DESC%]]</f>
        <v>0</v>
      </c>
      <c r="O46" s="248" t="s">
        <v>295</v>
      </c>
      <c r="P46" s="271" t="s">
        <v>155</v>
      </c>
      <c r="Q46" s="249">
        <v>1.6500000000000001E-2</v>
      </c>
      <c r="R46" s="249">
        <v>7.5999999999999998E-2</v>
      </c>
      <c r="S46" s="107">
        <f>MateriaisPainel[[#This Row],[UNIT S/ IP + DIF ICMS]]*MateriaisPainel[[#This Row],[QUANTIDADE]]</f>
        <v>0</v>
      </c>
      <c r="T46" s="307">
        <f>MateriaisPainel[[#This Row],[TOTAL S/ IPI]]+(MateriaisPainel[[#This Row],[TOTAL S/ IPI]]*MateriaisPainel[[#This Row],[IPI %]])</f>
        <v>0</v>
      </c>
      <c r="U46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6" s="308">
        <f>MateriaisPainel[[#This Row],[UNIT S/ IPI C/DESC]]*MateriaisPainel[[#This Row],[ICMS %]]</f>
        <v>0</v>
      </c>
      <c r="W46" s="308">
        <f>(MateriaisPainel[[#This Row],[PIS]]*MateriaisPainel[[#This Row],[UNIT S/ IPI C/DESC]])/2</f>
        <v>0</v>
      </c>
      <c r="X46" s="308">
        <f>(MateriaisPainel[[#This Row],[COFINS]]*MateriaisPainel[[#This Row],[UNIT S/ IPI C/DESC]])/2</f>
        <v>0</v>
      </c>
      <c r="Y46" s="308">
        <f>MateriaisPainel[[#This Row],[ICMS $]]*MateriaisPainel[[#This Row],[QUANTIDADE]]</f>
        <v>0</v>
      </c>
      <c r="Z46" s="309">
        <f>MateriaisPainel[[#This Row],[UNIT S/ IPI C/DESC]]+MateriaisPainel[[#This Row],[DIFERENCIAL ICMS]]</f>
        <v>0</v>
      </c>
      <c r="AA46" s="307">
        <f>MateriaisPainel[[#This Row],[UNIT S/ IP + DIF ICMS]]+(MateriaisPainel[[#This Row],[UNIT S/ IP + DIF ICMS]]*MateriaisPainel[[#This Row],[IPI %]])</f>
        <v>0</v>
      </c>
      <c r="AB46" s="361">
        <f>_xlfn.XLOOKUP(MateriaisPainel[[#This Row],[FATURAMENTO]],BASE!$U$48:$U$50,BASE!$W$48:$W$50,0,0,1)</f>
        <v>0.79709863947533133</v>
      </c>
      <c r="AC46" s="362" t="str">
        <f>RESUMO!$E$71</f>
        <v>SIM</v>
      </c>
      <c r="AD46" s="362" t="str">
        <f>RESUMO!$E$72</f>
        <v>SIM</v>
      </c>
      <c r="AE46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6" s="364">
        <f>MateriaisPainel[[#This Row],[UNIT CRED]]*MateriaisPainel[[#This Row],[QUANTIDADE]]</f>
        <v>0</v>
      </c>
      <c r="AG46" s="307">
        <f>MateriaisPainel[[#This Row],[TOT CRED]]</f>
        <v>0</v>
      </c>
      <c r="AH46" s="365">
        <f>IF(MateriaisPainel[[#This Row],[QUANTIDADE]]&lt;&gt;0,((MateriaisPainel[[#This Row],[TOT CUSTO]]/MateriaisPainel[[#This Row],[QUANTIDADE]])/MateriaisPainel[[#This Row],[MARK-UP]]),0)</f>
        <v>0</v>
      </c>
      <c r="AI46" s="105">
        <f>MateriaisPainel[[#This Row],[UNIT VENDA]]*MateriaisPainel[[#This Row],[QUANTIDADE]]</f>
        <v>0</v>
      </c>
      <c r="AJ46" s="105">
        <f>IFERROR(MateriaisPainel[[#This Row],[VENDA]]*(RESUMO!$F$70/RESUMO!$F$60),0)</f>
        <v>0</v>
      </c>
      <c r="AK46" s="105">
        <f>IFERROR(MateriaisPainel[[#This Row],[VENDA]]*(RESUMO!$F$73/RESUMO!$F$60),0)</f>
        <v>0</v>
      </c>
      <c r="AL46" s="234">
        <f>IF(MateriaisPainel[[#This Row],[FATURAMENTO]]="NORMAL",MateriaisPainel[[#This Row],[VENDA]],0)</f>
        <v>0</v>
      </c>
    </row>
    <row r="47" spans="1:44" x14ac:dyDescent="0.25">
      <c r="A47" s="100"/>
      <c r="B47" s="104"/>
      <c r="C47" s="305"/>
      <c r="D47" s="100"/>
      <c r="E47" s="119"/>
      <c r="F47" s="119">
        <f t="shared" si="0"/>
        <v>0</v>
      </c>
      <c r="G47" s="104"/>
      <c r="H47" s="377"/>
      <c r="I47" s="306"/>
      <c r="J47" s="378"/>
      <c r="K47" s="351"/>
      <c r="L47" s="351"/>
      <c r="M47" s="390"/>
      <c r="N47" s="347">
        <f>MateriaisPainel[[#This Row],[UNIT S/IPI S/DESC]]-MateriaisPainel[[#This Row],[UNIT S/IPI S/DESC]]*MateriaisPainel[[#This Row],[DESC%]]</f>
        <v>0</v>
      </c>
      <c r="O47" s="248" t="s">
        <v>295</v>
      </c>
      <c r="P47" s="271" t="s">
        <v>155</v>
      </c>
      <c r="Q47" s="249">
        <v>1.6500000000000001E-2</v>
      </c>
      <c r="R47" s="249">
        <v>7.5999999999999998E-2</v>
      </c>
      <c r="S47" s="107">
        <f>MateriaisPainel[[#This Row],[UNIT S/ IP + DIF ICMS]]*MateriaisPainel[[#This Row],[QUANTIDADE]]</f>
        <v>0</v>
      </c>
      <c r="T47" s="307">
        <f>MateriaisPainel[[#This Row],[TOTAL S/ IPI]]+(MateriaisPainel[[#This Row],[TOTAL S/ IPI]]*MateriaisPainel[[#This Row],[IPI %]])</f>
        <v>0</v>
      </c>
      <c r="U47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7" s="308">
        <f>MateriaisPainel[[#This Row],[UNIT S/ IPI C/DESC]]*MateriaisPainel[[#This Row],[ICMS %]]</f>
        <v>0</v>
      </c>
      <c r="W47" s="308">
        <f>(MateriaisPainel[[#This Row],[PIS]]*MateriaisPainel[[#This Row],[UNIT S/ IPI C/DESC]])/2</f>
        <v>0</v>
      </c>
      <c r="X47" s="308">
        <f>(MateriaisPainel[[#This Row],[COFINS]]*MateriaisPainel[[#This Row],[UNIT S/ IPI C/DESC]])/2</f>
        <v>0</v>
      </c>
      <c r="Y47" s="308">
        <f>MateriaisPainel[[#This Row],[ICMS $]]*MateriaisPainel[[#This Row],[QUANTIDADE]]</f>
        <v>0</v>
      </c>
      <c r="Z47" s="309">
        <f>MateriaisPainel[[#This Row],[UNIT S/ IPI C/DESC]]+MateriaisPainel[[#This Row],[DIFERENCIAL ICMS]]</f>
        <v>0</v>
      </c>
      <c r="AA47" s="307">
        <f>MateriaisPainel[[#This Row],[UNIT S/ IP + DIF ICMS]]+(MateriaisPainel[[#This Row],[UNIT S/ IP + DIF ICMS]]*MateriaisPainel[[#This Row],[IPI %]])</f>
        <v>0</v>
      </c>
      <c r="AB47" s="361">
        <f>_xlfn.XLOOKUP(MateriaisPainel[[#This Row],[FATURAMENTO]],BASE!$U$48:$U$50,BASE!$W$48:$W$50,0,0,1)</f>
        <v>0.79709863947533133</v>
      </c>
      <c r="AC47" s="362" t="str">
        <f>RESUMO!$E$71</f>
        <v>SIM</v>
      </c>
      <c r="AD47" s="362" t="str">
        <f>RESUMO!$E$72</f>
        <v>SIM</v>
      </c>
      <c r="AE47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7" s="364">
        <f>MateriaisPainel[[#This Row],[UNIT CRED]]*MateriaisPainel[[#This Row],[QUANTIDADE]]</f>
        <v>0</v>
      </c>
      <c r="AG47" s="307">
        <f>MateriaisPainel[[#This Row],[TOT CRED]]</f>
        <v>0</v>
      </c>
      <c r="AH47" s="365">
        <f>IF(MateriaisPainel[[#This Row],[QUANTIDADE]]&lt;&gt;0,((MateriaisPainel[[#This Row],[TOT CUSTO]]/MateriaisPainel[[#This Row],[QUANTIDADE]])/MateriaisPainel[[#This Row],[MARK-UP]]),0)</f>
        <v>0</v>
      </c>
      <c r="AI47" s="105">
        <f>MateriaisPainel[[#This Row],[UNIT VENDA]]*MateriaisPainel[[#This Row],[QUANTIDADE]]</f>
        <v>0</v>
      </c>
      <c r="AJ47" s="105">
        <f>IFERROR(MateriaisPainel[[#This Row],[VENDA]]*(RESUMO!$F$70/RESUMO!$F$60),0)</f>
        <v>0</v>
      </c>
      <c r="AK47" s="105">
        <f>IFERROR(MateriaisPainel[[#This Row],[VENDA]]*(RESUMO!$F$73/RESUMO!$F$60),0)</f>
        <v>0</v>
      </c>
      <c r="AL47" s="234">
        <f>IF(MateriaisPainel[[#This Row],[FATURAMENTO]]="NORMAL",MateriaisPainel[[#This Row],[VENDA]],0)</f>
        <v>0</v>
      </c>
    </row>
    <row r="48" spans="1:44" x14ac:dyDescent="0.25">
      <c r="A48" s="100"/>
      <c r="B48" s="104"/>
      <c r="C48" s="305"/>
      <c r="D48" s="100"/>
      <c r="E48" s="119"/>
      <c r="F48" s="119">
        <f t="shared" si="0"/>
        <v>0</v>
      </c>
      <c r="G48" s="104"/>
      <c r="H48" s="377"/>
      <c r="I48" s="306"/>
      <c r="J48" s="378"/>
      <c r="K48" s="351"/>
      <c r="L48" s="351"/>
      <c r="M48" s="390"/>
      <c r="N48" s="347">
        <f>MateriaisPainel[[#This Row],[UNIT S/IPI S/DESC]]-MateriaisPainel[[#This Row],[UNIT S/IPI S/DESC]]*MateriaisPainel[[#This Row],[DESC%]]</f>
        <v>0</v>
      </c>
      <c r="O48" s="248" t="s">
        <v>295</v>
      </c>
      <c r="P48" s="271" t="s">
        <v>155</v>
      </c>
      <c r="Q48" s="249">
        <v>1.6500000000000001E-2</v>
      </c>
      <c r="R48" s="249">
        <v>7.5999999999999998E-2</v>
      </c>
      <c r="S48" s="107">
        <f>MateriaisPainel[[#This Row],[UNIT S/ IP + DIF ICMS]]*MateriaisPainel[[#This Row],[QUANTIDADE]]</f>
        <v>0</v>
      </c>
      <c r="T48" s="307">
        <f>MateriaisPainel[[#This Row],[TOTAL S/ IPI]]+(MateriaisPainel[[#This Row],[TOTAL S/ IPI]]*MateriaisPainel[[#This Row],[IPI %]])</f>
        <v>0</v>
      </c>
      <c r="U48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8" s="308">
        <f>MateriaisPainel[[#This Row],[UNIT S/ IPI C/DESC]]*MateriaisPainel[[#This Row],[ICMS %]]</f>
        <v>0</v>
      </c>
      <c r="W48" s="308">
        <f>(MateriaisPainel[[#This Row],[PIS]]*MateriaisPainel[[#This Row],[UNIT S/ IPI C/DESC]])/2</f>
        <v>0</v>
      </c>
      <c r="X48" s="308">
        <f>(MateriaisPainel[[#This Row],[COFINS]]*MateriaisPainel[[#This Row],[UNIT S/ IPI C/DESC]])/2</f>
        <v>0</v>
      </c>
      <c r="Y48" s="308">
        <f>MateriaisPainel[[#This Row],[ICMS $]]*MateriaisPainel[[#This Row],[QUANTIDADE]]</f>
        <v>0</v>
      </c>
      <c r="Z48" s="309">
        <f>MateriaisPainel[[#This Row],[UNIT S/ IPI C/DESC]]+MateriaisPainel[[#This Row],[DIFERENCIAL ICMS]]</f>
        <v>0</v>
      </c>
      <c r="AA48" s="307">
        <f>MateriaisPainel[[#This Row],[UNIT S/ IP + DIF ICMS]]+(MateriaisPainel[[#This Row],[UNIT S/ IP + DIF ICMS]]*MateriaisPainel[[#This Row],[IPI %]])</f>
        <v>0</v>
      </c>
      <c r="AB48" s="361">
        <f>_xlfn.XLOOKUP(MateriaisPainel[[#This Row],[FATURAMENTO]],BASE!$U$48:$U$50,BASE!$W$48:$W$50,0,0,1)</f>
        <v>0.79709863947533133</v>
      </c>
      <c r="AC48" s="362" t="str">
        <f>RESUMO!$E$71</f>
        <v>SIM</v>
      </c>
      <c r="AD48" s="362" t="str">
        <f>RESUMO!$E$72</f>
        <v>SIM</v>
      </c>
      <c r="AE48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8" s="364">
        <f>MateriaisPainel[[#This Row],[UNIT CRED]]*MateriaisPainel[[#This Row],[QUANTIDADE]]</f>
        <v>0</v>
      </c>
      <c r="AG48" s="307">
        <f>MateriaisPainel[[#This Row],[TOT CRED]]</f>
        <v>0</v>
      </c>
      <c r="AH48" s="365">
        <f>IF(MateriaisPainel[[#This Row],[QUANTIDADE]]&lt;&gt;0,((MateriaisPainel[[#This Row],[TOT CUSTO]]/MateriaisPainel[[#This Row],[QUANTIDADE]])/MateriaisPainel[[#This Row],[MARK-UP]]),0)</f>
        <v>0</v>
      </c>
      <c r="AI48" s="105">
        <f>MateriaisPainel[[#This Row],[UNIT VENDA]]*MateriaisPainel[[#This Row],[QUANTIDADE]]</f>
        <v>0</v>
      </c>
      <c r="AJ48" s="105">
        <f>IFERROR(MateriaisPainel[[#This Row],[VENDA]]*(RESUMO!$F$70/RESUMO!$F$60),0)</f>
        <v>0</v>
      </c>
      <c r="AK48" s="105">
        <f>IFERROR(MateriaisPainel[[#This Row],[VENDA]]*(RESUMO!$F$73/RESUMO!$F$60),0)</f>
        <v>0</v>
      </c>
      <c r="AL48" s="234">
        <f>IF(MateriaisPainel[[#This Row],[FATURAMENTO]]="NORMAL",MateriaisPainel[[#This Row],[VENDA]],0)</f>
        <v>0</v>
      </c>
    </row>
    <row r="49" spans="1:44" x14ac:dyDescent="0.25">
      <c r="A49" s="100"/>
      <c r="B49" s="104"/>
      <c r="C49" s="305"/>
      <c r="D49" s="100"/>
      <c r="E49" s="119"/>
      <c r="F49" s="119">
        <f t="shared" si="0"/>
        <v>0</v>
      </c>
      <c r="G49" s="104"/>
      <c r="H49" s="377"/>
      <c r="I49" s="306"/>
      <c r="J49" s="378"/>
      <c r="K49" s="351"/>
      <c r="L49" s="351"/>
      <c r="M49" s="390"/>
      <c r="N49" s="347">
        <f>MateriaisPainel[[#This Row],[UNIT S/IPI S/DESC]]-MateriaisPainel[[#This Row],[UNIT S/IPI S/DESC]]*MateriaisPainel[[#This Row],[DESC%]]</f>
        <v>0</v>
      </c>
      <c r="O49" s="248" t="s">
        <v>295</v>
      </c>
      <c r="P49" s="271" t="s">
        <v>155</v>
      </c>
      <c r="Q49" s="249">
        <v>1.6500000000000001E-2</v>
      </c>
      <c r="R49" s="249">
        <v>7.5999999999999998E-2</v>
      </c>
      <c r="S49" s="107">
        <f>MateriaisPainel[[#This Row],[UNIT S/ IP + DIF ICMS]]*MateriaisPainel[[#This Row],[QUANTIDADE]]</f>
        <v>0</v>
      </c>
      <c r="T49" s="307">
        <f>MateriaisPainel[[#This Row],[TOTAL S/ IPI]]+(MateriaisPainel[[#This Row],[TOTAL S/ IPI]]*MateriaisPainel[[#This Row],[IPI %]])</f>
        <v>0</v>
      </c>
      <c r="U49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49" s="308">
        <f>MateriaisPainel[[#This Row],[UNIT S/ IPI C/DESC]]*MateriaisPainel[[#This Row],[ICMS %]]</f>
        <v>0</v>
      </c>
      <c r="W49" s="308">
        <f>(MateriaisPainel[[#This Row],[PIS]]*MateriaisPainel[[#This Row],[UNIT S/ IPI C/DESC]])/2</f>
        <v>0</v>
      </c>
      <c r="X49" s="308">
        <f>(MateriaisPainel[[#This Row],[COFINS]]*MateriaisPainel[[#This Row],[UNIT S/ IPI C/DESC]])/2</f>
        <v>0</v>
      </c>
      <c r="Y49" s="308">
        <f>MateriaisPainel[[#This Row],[ICMS $]]*MateriaisPainel[[#This Row],[QUANTIDADE]]</f>
        <v>0</v>
      </c>
      <c r="Z49" s="309">
        <f>MateriaisPainel[[#This Row],[UNIT S/ IPI C/DESC]]+MateriaisPainel[[#This Row],[DIFERENCIAL ICMS]]</f>
        <v>0</v>
      </c>
      <c r="AA49" s="307">
        <f>MateriaisPainel[[#This Row],[UNIT S/ IP + DIF ICMS]]+(MateriaisPainel[[#This Row],[UNIT S/ IP + DIF ICMS]]*MateriaisPainel[[#This Row],[IPI %]])</f>
        <v>0</v>
      </c>
      <c r="AB49" s="361">
        <f>_xlfn.XLOOKUP(MateriaisPainel[[#This Row],[FATURAMENTO]],BASE!$U$48:$U$50,BASE!$W$48:$W$50,0,0,1)</f>
        <v>0.79709863947533133</v>
      </c>
      <c r="AC49" s="362" t="str">
        <f>RESUMO!$E$71</f>
        <v>SIM</v>
      </c>
      <c r="AD49" s="362" t="str">
        <f>RESUMO!$E$72</f>
        <v>SIM</v>
      </c>
      <c r="AE49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49" s="364">
        <f>MateriaisPainel[[#This Row],[UNIT CRED]]*MateriaisPainel[[#This Row],[QUANTIDADE]]</f>
        <v>0</v>
      </c>
      <c r="AG49" s="307">
        <f>MateriaisPainel[[#This Row],[TOT CRED]]</f>
        <v>0</v>
      </c>
      <c r="AH49" s="365">
        <f>IF(MateriaisPainel[[#This Row],[QUANTIDADE]]&lt;&gt;0,((MateriaisPainel[[#This Row],[TOT CUSTO]]/MateriaisPainel[[#This Row],[QUANTIDADE]])/MateriaisPainel[[#This Row],[MARK-UP]]),0)</f>
        <v>0</v>
      </c>
      <c r="AI49" s="105">
        <f>MateriaisPainel[[#This Row],[UNIT VENDA]]*MateriaisPainel[[#This Row],[QUANTIDADE]]</f>
        <v>0</v>
      </c>
      <c r="AJ49" s="105">
        <f>IFERROR(MateriaisPainel[[#This Row],[VENDA]]*(RESUMO!$F$70/RESUMO!$F$60),0)</f>
        <v>0</v>
      </c>
      <c r="AK49" s="105">
        <f>IFERROR(MateriaisPainel[[#This Row],[VENDA]]*(RESUMO!$F$73/RESUMO!$F$60),0)</f>
        <v>0</v>
      </c>
      <c r="AL49" s="234">
        <f>IF(MateriaisPainel[[#This Row],[FATURAMENTO]]="NORMAL",MateriaisPainel[[#This Row],[VENDA]],0)</f>
        <v>0</v>
      </c>
    </row>
    <row r="50" spans="1:44" x14ac:dyDescent="0.25">
      <c r="A50" s="100"/>
      <c r="B50" s="104"/>
      <c r="C50" s="305"/>
      <c r="D50" s="100"/>
      <c r="E50" s="119"/>
      <c r="F50" s="119">
        <f t="shared" si="0"/>
        <v>0</v>
      </c>
      <c r="G50" s="104"/>
      <c r="H50" s="377"/>
      <c r="I50" s="306"/>
      <c r="J50" s="378"/>
      <c r="K50" s="351"/>
      <c r="L50" s="351"/>
      <c r="M50" s="390"/>
      <c r="N50" s="347">
        <f>MateriaisPainel[[#This Row],[UNIT S/IPI S/DESC]]-MateriaisPainel[[#This Row],[UNIT S/IPI S/DESC]]*MateriaisPainel[[#This Row],[DESC%]]</f>
        <v>0</v>
      </c>
      <c r="O50" s="248" t="s">
        <v>295</v>
      </c>
      <c r="P50" s="271" t="s">
        <v>155</v>
      </c>
      <c r="Q50" s="249">
        <v>1.6500000000000001E-2</v>
      </c>
      <c r="R50" s="249">
        <v>7.5999999999999998E-2</v>
      </c>
      <c r="S50" s="107">
        <f>MateriaisPainel[[#This Row],[UNIT S/ IP + DIF ICMS]]*MateriaisPainel[[#This Row],[QUANTIDADE]]</f>
        <v>0</v>
      </c>
      <c r="T50" s="307">
        <f>MateriaisPainel[[#This Row],[TOTAL S/ IPI]]+(MateriaisPainel[[#This Row],[TOTAL S/ IPI]]*MateriaisPainel[[#This Row],[IPI %]])</f>
        <v>0</v>
      </c>
      <c r="U50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0" s="308">
        <f>MateriaisPainel[[#This Row],[UNIT S/ IPI C/DESC]]*MateriaisPainel[[#This Row],[ICMS %]]</f>
        <v>0</v>
      </c>
      <c r="W50" s="308">
        <f>(MateriaisPainel[[#This Row],[PIS]]*MateriaisPainel[[#This Row],[UNIT S/ IPI C/DESC]])/2</f>
        <v>0</v>
      </c>
      <c r="X50" s="308">
        <f>(MateriaisPainel[[#This Row],[COFINS]]*MateriaisPainel[[#This Row],[UNIT S/ IPI C/DESC]])/2</f>
        <v>0</v>
      </c>
      <c r="Y50" s="308">
        <f>MateriaisPainel[[#This Row],[ICMS $]]*MateriaisPainel[[#This Row],[QUANTIDADE]]</f>
        <v>0</v>
      </c>
      <c r="Z50" s="309">
        <f>MateriaisPainel[[#This Row],[UNIT S/ IPI C/DESC]]+MateriaisPainel[[#This Row],[DIFERENCIAL ICMS]]</f>
        <v>0</v>
      </c>
      <c r="AA50" s="307">
        <f>MateriaisPainel[[#This Row],[UNIT S/ IP + DIF ICMS]]+(MateriaisPainel[[#This Row],[UNIT S/ IP + DIF ICMS]]*MateriaisPainel[[#This Row],[IPI %]])</f>
        <v>0</v>
      </c>
      <c r="AB50" s="361">
        <f>_xlfn.XLOOKUP(MateriaisPainel[[#This Row],[FATURAMENTO]],BASE!$U$48:$U$50,BASE!$W$48:$W$50,0,0,1)</f>
        <v>0.79709863947533133</v>
      </c>
      <c r="AC50" s="362" t="str">
        <f>RESUMO!$E$71</f>
        <v>SIM</v>
      </c>
      <c r="AD50" s="362" t="str">
        <f>RESUMO!$E$72</f>
        <v>SIM</v>
      </c>
      <c r="AE50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0" s="364">
        <f>MateriaisPainel[[#This Row],[UNIT CRED]]*MateriaisPainel[[#This Row],[QUANTIDADE]]</f>
        <v>0</v>
      </c>
      <c r="AG50" s="307">
        <f>MateriaisPainel[[#This Row],[TOT CRED]]</f>
        <v>0</v>
      </c>
      <c r="AH50" s="365">
        <f>IF(MateriaisPainel[[#This Row],[QUANTIDADE]]&lt;&gt;0,((MateriaisPainel[[#This Row],[TOT CUSTO]]/MateriaisPainel[[#This Row],[QUANTIDADE]])/MateriaisPainel[[#This Row],[MARK-UP]]),0)</f>
        <v>0</v>
      </c>
      <c r="AI50" s="105">
        <f>MateriaisPainel[[#This Row],[UNIT VENDA]]*MateriaisPainel[[#This Row],[QUANTIDADE]]</f>
        <v>0</v>
      </c>
      <c r="AJ50" s="105">
        <f>IFERROR(MateriaisPainel[[#This Row],[VENDA]]*(RESUMO!$F$70/RESUMO!$F$60),0)</f>
        <v>0</v>
      </c>
      <c r="AK50" s="105">
        <f>IFERROR(MateriaisPainel[[#This Row],[VENDA]]*(RESUMO!$F$73/RESUMO!$F$60),0)</f>
        <v>0</v>
      </c>
      <c r="AL50" s="234">
        <f>IF(MateriaisPainel[[#This Row],[FATURAMENTO]]="NORMAL",MateriaisPainel[[#This Row],[VENDA]],0)</f>
        <v>0</v>
      </c>
    </row>
    <row r="51" spans="1:44" x14ac:dyDescent="0.25">
      <c r="A51" s="100"/>
      <c r="B51" s="104"/>
      <c r="C51" s="305"/>
      <c r="D51" s="100"/>
      <c r="E51" s="119"/>
      <c r="F51" s="119">
        <f t="shared" si="0"/>
        <v>0</v>
      </c>
      <c r="G51" s="104"/>
      <c r="H51" s="377"/>
      <c r="I51" s="306"/>
      <c r="J51" s="378"/>
      <c r="K51" s="351"/>
      <c r="L51" s="351"/>
      <c r="M51" s="390"/>
      <c r="N51" s="347">
        <f>MateriaisPainel[[#This Row],[UNIT S/IPI S/DESC]]-MateriaisPainel[[#This Row],[UNIT S/IPI S/DESC]]*MateriaisPainel[[#This Row],[DESC%]]</f>
        <v>0</v>
      </c>
      <c r="O51" s="248" t="s">
        <v>295</v>
      </c>
      <c r="P51" s="271" t="s">
        <v>155</v>
      </c>
      <c r="Q51" s="249">
        <v>1.6500000000000001E-2</v>
      </c>
      <c r="R51" s="249">
        <v>7.5999999999999998E-2</v>
      </c>
      <c r="S51" s="107">
        <f>MateriaisPainel[[#This Row],[UNIT S/ IP + DIF ICMS]]*MateriaisPainel[[#This Row],[QUANTIDADE]]</f>
        <v>0</v>
      </c>
      <c r="T51" s="307">
        <f>MateriaisPainel[[#This Row],[TOTAL S/ IPI]]+(MateriaisPainel[[#This Row],[TOTAL S/ IPI]]*MateriaisPainel[[#This Row],[IPI %]])</f>
        <v>0</v>
      </c>
      <c r="U51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1" s="308">
        <f>MateriaisPainel[[#This Row],[UNIT S/ IPI C/DESC]]*MateriaisPainel[[#This Row],[ICMS %]]</f>
        <v>0</v>
      </c>
      <c r="W51" s="308">
        <f>(MateriaisPainel[[#This Row],[PIS]]*MateriaisPainel[[#This Row],[UNIT S/ IPI C/DESC]])/2</f>
        <v>0</v>
      </c>
      <c r="X51" s="308">
        <f>(MateriaisPainel[[#This Row],[COFINS]]*MateriaisPainel[[#This Row],[UNIT S/ IPI C/DESC]])/2</f>
        <v>0</v>
      </c>
      <c r="Y51" s="308">
        <f>MateriaisPainel[[#This Row],[ICMS $]]*MateriaisPainel[[#This Row],[QUANTIDADE]]</f>
        <v>0</v>
      </c>
      <c r="Z51" s="309">
        <f>MateriaisPainel[[#This Row],[UNIT S/ IPI C/DESC]]+MateriaisPainel[[#This Row],[DIFERENCIAL ICMS]]</f>
        <v>0</v>
      </c>
      <c r="AA51" s="307">
        <f>MateriaisPainel[[#This Row],[UNIT S/ IP + DIF ICMS]]+(MateriaisPainel[[#This Row],[UNIT S/ IP + DIF ICMS]]*MateriaisPainel[[#This Row],[IPI %]])</f>
        <v>0</v>
      </c>
      <c r="AB51" s="361">
        <f>_xlfn.XLOOKUP(MateriaisPainel[[#This Row],[FATURAMENTO]],BASE!$U$48:$U$50,BASE!$W$48:$W$50,0,0,1)</f>
        <v>0.79709863947533133</v>
      </c>
      <c r="AC51" s="362" t="str">
        <f>RESUMO!$E$71</f>
        <v>SIM</v>
      </c>
      <c r="AD51" s="362" t="str">
        <f>RESUMO!$E$72</f>
        <v>SIM</v>
      </c>
      <c r="AE51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1" s="364">
        <f>MateriaisPainel[[#This Row],[UNIT CRED]]*MateriaisPainel[[#This Row],[QUANTIDADE]]</f>
        <v>0</v>
      </c>
      <c r="AG51" s="307">
        <f>MateriaisPainel[[#This Row],[TOT CRED]]</f>
        <v>0</v>
      </c>
      <c r="AH51" s="365">
        <f>IF(MateriaisPainel[[#This Row],[QUANTIDADE]]&lt;&gt;0,((MateriaisPainel[[#This Row],[TOT CUSTO]]/MateriaisPainel[[#This Row],[QUANTIDADE]])/MateriaisPainel[[#This Row],[MARK-UP]]),0)</f>
        <v>0</v>
      </c>
      <c r="AI51" s="105">
        <f>MateriaisPainel[[#This Row],[UNIT VENDA]]*MateriaisPainel[[#This Row],[QUANTIDADE]]</f>
        <v>0</v>
      </c>
      <c r="AJ51" s="105">
        <f>IFERROR(MateriaisPainel[[#This Row],[VENDA]]*(RESUMO!$F$70/RESUMO!$F$60),0)</f>
        <v>0</v>
      </c>
      <c r="AK51" s="105">
        <f>IFERROR(MateriaisPainel[[#This Row],[VENDA]]*(RESUMO!$F$73/RESUMO!$F$60),0)</f>
        <v>0</v>
      </c>
      <c r="AL51" s="234">
        <f>IF(MateriaisPainel[[#This Row],[FATURAMENTO]]="NORMAL",MateriaisPainel[[#This Row],[VENDA]],0)</f>
        <v>0</v>
      </c>
    </row>
    <row r="52" spans="1:44" x14ac:dyDescent="0.25">
      <c r="A52" s="100"/>
      <c r="B52" s="104"/>
      <c r="C52" s="305"/>
      <c r="D52" s="100"/>
      <c r="E52" s="119"/>
      <c r="F52" s="119">
        <f t="shared" si="0"/>
        <v>0</v>
      </c>
      <c r="G52" s="104"/>
      <c r="H52" s="377"/>
      <c r="I52" s="306"/>
      <c r="J52" s="378"/>
      <c r="K52" s="351"/>
      <c r="L52" s="351"/>
      <c r="M52" s="390"/>
      <c r="N52" s="347">
        <f>MateriaisPainel[[#This Row],[UNIT S/IPI S/DESC]]-MateriaisPainel[[#This Row],[UNIT S/IPI S/DESC]]*MateriaisPainel[[#This Row],[DESC%]]</f>
        <v>0</v>
      </c>
      <c r="O52" s="248" t="s">
        <v>295</v>
      </c>
      <c r="P52" s="271" t="s">
        <v>155</v>
      </c>
      <c r="Q52" s="249">
        <v>1.6500000000000001E-2</v>
      </c>
      <c r="R52" s="249">
        <v>7.5999999999999998E-2</v>
      </c>
      <c r="S52" s="107">
        <f>MateriaisPainel[[#This Row],[UNIT S/ IP + DIF ICMS]]*MateriaisPainel[[#This Row],[QUANTIDADE]]</f>
        <v>0</v>
      </c>
      <c r="T52" s="307">
        <f>MateriaisPainel[[#This Row],[TOTAL S/ IPI]]+(MateriaisPainel[[#This Row],[TOTAL S/ IPI]]*MateriaisPainel[[#This Row],[IPI %]])</f>
        <v>0</v>
      </c>
      <c r="U52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2" s="308">
        <f>MateriaisPainel[[#This Row],[UNIT S/ IPI C/DESC]]*MateriaisPainel[[#This Row],[ICMS %]]</f>
        <v>0</v>
      </c>
      <c r="W52" s="308">
        <f>(MateriaisPainel[[#This Row],[PIS]]*MateriaisPainel[[#This Row],[UNIT S/ IPI C/DESC]])/2</f>
        <v>0</v>
      </c>
      <c r="X52" s="308">
        <f>(MateriaisPainel[[#This Row],[COFINS]]*MateriaisPainel[[#This Row],[UNIT S/ IPI C/DESC]])/2</f>
        <v>0</v>
      </c>
      <c r="Y52" s="308">
        <f>MateriaisPainel[[#This Row],[ICMS $]]*MateriaisPainel[[#This Row],[QUANTIDADE]]</f>
        <v>0</v>
      </c>
      <c r="Z52" s="309">
        <f>MateriaisPainel[[#This Row],[UNIT S/ IPI C/DESC]]+MateriaisPainel[[#This Row],[DIFERENCIAL ICMS]]</f>
        <v>0</v>
      </c>
      <c r="AA52" s="307">
        <f>MateriaisPainel[[#This Row],[UNIT S/ IP + DIF ICMS]]+(MateriaisPainel[[#This Row],[UNIT S/ IP + DIF ICMS]]*MateriaisPainel[[#This Row],[IPI %]])</f>
        <v>0</v>
      </c>
      <c r="AB52" s="361">
        <f>_xlfn.XLOOKUP(MateriaisPainel[[#This Row],[FATURAMENTO]],BASE!$U$48:$U$50,BASE!$W$48:$W$50,0,0,1)</f>
        <v>0.79709863947533133</v>
      </c>
      <c r="AC52" s="362" t="str">
        <f>RESUMO!$E$71</f>
        <v>SIM</v>
      </c>
      <c r="AD52" s="362" t="str">
        <f>RESUMO!$E$72</f>
        <v>SIM</v>
      </c>
      <c r="AE52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2" s="364">
        <f>MateriaisPainel[[#This Row],[UNIT CRED]]*MateriaisPainel[[#This Row],[QUANTIDADE]]</f>
        <v>0</v>
      </c>
      <c r="AG52" s="307">
        <f>MateriaisPainel[[#This Row],[TOT CRED]]</f>
        <v>0</v>
      </c>
      <c r="AH52" s="365">
        <f>IF(MateriaisPainel[[#This Row],[QUANTIDADE]]&lt;&gt;0,((MateriaisPainel[[#This Row],[TOT CUSTO]]/MateriaisPainel[[#This Row],[QUANTIDADE]])/MateriaisPainel[[#This Row],[MARK-UP]]),0)</f>
        <v>0</v>
      </c>
      <c r="AI52" s="105">
        <f>MateriaisPainel[[#This Row],[UNIT VENDA]]*MateriaisPainel[[#This Row],[QUANTIDADE]]</f>
        <v>0</v>
      </c>
      <c r="AJ52" s="105">
        <f>IFERROR(MateriaisPainel[[#This Row],[VENDA]]*(RESUMO!$F$70/RESUMO!$F$60),0)</f>
        <v>0</v>
      </c>
      <c r="AK52" s="105">
        <f>IFERROR(MateriaisPainel[[#This Row],[VENDA]]*(RESUMO!$F$73/RESUMO!$F$60),0)</f>
        <v>0</v>
      </c>
      <c r="AL52" s="234">
        <f>IF(MateriaisPainel[[#This Row],[FATURAMENTO]]="NORMAL",MateriaisPainel[[#This Row],[VENDA]],0)</f>
        <v>0</v>
      </c>
    </row>
    <row r="53" spans="1:44" x14ac:dyDescent="0.25">
      <c r="A53" s="100"/>
      <c r="B53" s="104"/>
      <c r="C53" s="305"/>
      <c r="D53" s="100"/>
      <c r="E53" s="119"/>
      <c r="F53" s="119">
        <f t="shared" si="0"/>
        <v>0</v>
      </c>
      <c r="G53" s="104"/>
      <c r="H53" s="377"/>
      <c r="I53" s="306"/>
      <c r="J53" s="378"/>
      <c r="K53" s="351"/>
      <c r="L53" s="351"/>
      <c r="M53" s="390"/>
      <c r="N53" s="347">
        <f>MateriaisPainel[[#This Row],[UNIT S/IPI S/DESC]]-MateriaisPainel[[#This Row],[UNIT S/IPI S/DESC]]*MateriaisPainel[[#This Row],[DESC%]]</f>
        <v>0</v>
      </c>
      <c r="O53" s="248" t="s">
        <v>295</v>
      </c>
      <c r="P53" s="271" t="s">
        <v>155</v>
      </c>
      <c r="Q53" s="249">
        <v>1.6500000000000001E-2</v>
      </c>
      <c r="R53" s="249">
        <v>7.5999999999999998E-2</v>
      </c>
      <c r="S53" s="107">
        <f>MateriaisPainel[[#This Row],[UNIT S/ IP + DIF ICMS]]*MateriaisPainel[[#This Row],[QUANTIDADE]]</f>
        <v>0</v>
      </c>
      <c r="T53" s="307">
        <f>MateriaisPainel[[#This Row],[TOTAL S/ IPI]]+(MateriaisPainel[[#This Row],[TOTAL S/ IPI]]*MateriaisPainel[[#This Row],[IPI %]])</f>
        <v>0</v>
      </c>
      <c r="U53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3" s="308">
        <f>MateriaisPainel[[#This Row],[UNIT S/ IPI C/DESC]]*MateriaisPainel[[#This Row],[ICMS %]]</f>
        <v>0</v>
      </c>
      <c r="W53" s="308">
        <f>(MateriaisPainel[[#This Row],[PIS]]*MateriaisPainel[[#This Row],[UNIT S/ IPI C/DESC]])/2</f>
        <v>0</v>
      </c>
      <c r="X53" s="308">
        <f>(MateriaisPainel[[#This Row],[COFINS]]*MateriaisPainel[[#This Row],[UNIT S/ IPI C/DESC]])/2</f>
        <v>0</v>
      </c>
      <c r="Y53" s="308">
        <f>MateriaisPainel[[#This Row],[ICMS $]]*MateriaisPainel[[#This Row],[QUANTIDADE]]</f>
        <v>0</v>
      </c>
      <c r="Z53" s="309">
        <f>MateriaisPainel[[#This Row],[UNIT S/ IPI C/DESC]]+MateriaisPainel[[#This Row],[DIFERENCIAL ICMS]]</f>
        <v>0</v>
      </c>
      <c r="AA53" s="307">
        <f>MateriaisPainel[[#This Row],[UNIT S/ IP + DIF ICMS]]+(MateriaisPainel[[#This Row],[UNIT S/ IP + DIF ICMS]]*MateriaisPainel[[#This Row],[IPI %]])</f>
        <v>0</v>
      </c>
      <c r="AB53" s="361">
        <f>_xlfn.XLOOKUP(MateriaisPainel[[#This Row],[FATURAMENTO]],BASE!$U$48:$U$50,BASE!$W$48:$W$50,0,0,1)</f>
        <v>0.79709863947533133</v>
      </c>
      <c r="AC53" s="362" t="str">
        <f>RESUMO!$E$71</f>
        <v>SIM</v>
      </c>
      <c r="AD53" s="362" t="str">
        <f>RESUMO!$E$72</f>
        <v>SIM</v>
      </c>
      <c r="AE53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3" s="364">
        <f>MateriaisPainel[[#This Row],[UNIT CRED]]*MateriaisPainel[[#This Row],[QUANTIDADE]]</f>
        <v>0</v>
      </c>
      <c r="AG53" s="307">
        <f>MateriaisPainel[[#This Row],[TOT CRED]]</f>
        <v>0</v>
      </c>
      <c r="AH53" s="365">
        <f>IF(MateriaisPainel[[#This Row],[QUANTIDADE]]&lt;&gt;0,((MateriaisPainel[[#This Row],[TOT CUSTO]]/MateriaisPainel[[#This Row],[QUANTIDADE]])/MateriaisPainel[[#This Row],[MARK-UP]]),0)</f>
        <v>0</v>
      </c>
      <c r="AI53" s="105">
        <f>MateriaisPainel[[#This Row],[UNIT VENDA]]*MateriaisPainel[[#This Row],[QUANTIDADE]]</f>
        <v>0</v>
      </c>
      <c r="AJ53" s="105">
        <f>IFERROR(MateriaisPainel[[#This Row],[VENDA]]*(RESUMO!$F$70/RESUMO!$F$60),0)</f>
        <v>0</v>
      </c>
      <c r="AK53" s="105">
        <f>IFERROR(MateriaisPainel[[#This Row],[VENDA]]*(RESUMO!$F$73/RESUMO!$F$60),0)</f>
        <v>0</v>
      </c>
      <c r="AL53" s="234">
        <f>IF(MateriaisPainel[[#This Row],[FATURAMENTO]]="NORMAL",MateriaisPainel[[#This Row],[VENDA]],0)</f>
        <v>0</v>
      </c>
    </row>
    <row r="54" spans="1:44" x14ac:dyDescent="0.25">
      <c r="A54" s="100"/>
      <c r="B54" s="104"/>
      <c r="C54" s="305"/>
      <c r="D54" s="100"/>
      <c r="E54" s="119"/>
      <c r="F54" s="119">
        <f t="shared" si="0"/>
        <v>0</v>
      </c>
      <c r="G54" s="104"/>
      <c r="H54" s="377"/>
      <c r="I54" s="306"/>
      <c r="J54" s="378"/>
      <c r="K54" s="351"/>
      <c r="L54" s="351"/>
      <c r="M54" s="390"/>
      <c r="N54" s="347">
        <f>MateriaisPainel[[#This Row],[UNIT S/IPI S/DESC]]-MateriaisPainel[[#This Row],[UNIT S/IPI S/DESC]]*MateriaisPainel[[#This Row],[DESC%]]</f>
        <v>0</v>
      </c>
      <c r="O54" s="248" t="s">
        <v>295</v>
      </c>
      <c r="P54" s="271" t="s">
        <v>155</v>
      </c>
      <c r="Q54" s="249">
        <v>1.6500000000000001E-2</v>
      </c>
      <c r="R54" s="249">
        <v>7.5999999999999998E-2</v>
      </c>
      <c r="S54" s="107">
        <f>MateriaisPainel[[#This Row],[UNIT S/ IP + DIF ICMS]]*MateriaisPainel[[#This Row],[QUANTIDADE]]</f>
        <v>0</v>
      </c>
      <c r="T54" s="307">
        <f>MateriaisPainel[[#This Row],[TOTAL S/ IPI]]+(MateriaisPainel[[#This Row],[TOTAL S/ IPI]]*MateriaisPainel[[#This Row],[IPI %]])</f>
        <v>0</v>
      </c>
      <c r="U54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4" s="308">
        <f>MateriaisPainel[[#This Row],[UNIT S/ IPI C/DESC]]*MateriaisPainel[[#This Row],[ICMS %]]</f>
        <v>0</v>
      </c>
      <c r="W54" s="308">
        <f>(MateriaisPainel[[#This Row],[PIS]]*MateriaisPainel[[#This Row],[UNIT S/ IPI C/DESC]])/2</f>
        <v>0</v>
      </c>
      <c r="X54" s="308">
        <f>(MateriaisPainel[[#This Row],[COFINS]]*MateriaisPainel[[#This Row],[UNIT S/ IPI C/DESC]])/2</f>
        <v>0</v>
      </c>
      <c r="Y54" s="308">
        <f>MateriaisPainel[[#This Row],[ICMS $]]*MateriaisPainel[[#This Row],[QUANTIDADE]]</f>
        <v>0</v>
      </c>
      <c r="Z54" s="309">
        <f>MateriaisPainel[[#This Row],[UNIT S/ IPI C/DESC]]+MateriaisPainel[[#This Row],[DIFERENCIAL ICMS]]</f>
        <v>0</v>
      </c>
      <c r="AA54" s="307">
        <f>MateriaisPainel[[#This Row],[UNIT S/ IP + DIF ICMS]]+(MateriaisPainel[[#This Row],[UNIT S/ IP + DIF ICMS]]*MateriaisPainel[[#This Row],[IPI %]])</f>
        <v>0</v>
      </c>
      <c r="AB54" s="361">
        <f>_xlfn.XLOOKUP(MateriaisPainel[[#This Row],[FATURAMENTO]],BASE!$U$48:$U$50,BASE!$W$48:$W$50,0,0,1)</f>
        <v>0.79709863947533133</v>
      </c>
      <c r="AC54" s="362" t="str">
        <f>RESUMO!$E$71</f>
        <v>SIM</v>
      </c>
      <c r="AD54" s="362" t="str">
        <f>RESUMO!$E$72</f>
        <v>SIM</v>
      </c>
      <c r="AE54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4" s="364">
        <f>MateriaisPainel[[#This Row],[UNIT CRED]]*MateriaisPainel[[#This Row],[QUANTIDADE]]</f>
        <v>0</v>
      </c>
      <c r="AG54" s="307">
        <f>MateriaisPainel[[#This Row],[TOT CRED]]</f>
        <v>0</v>
      </c>
      <c r="AH54" s="365">
        <f>IF(MateriaisPainel[[#This Row],[QUANTIDADE]]&lt;&gt;0,((MateriaisPainel[[#This Row],[TOT CUSTO]]/MateriaisPainel[[#This Row],[QUANTIDADE]])/MateriaisPainel[[#This Row],[MARK-UP]]),0)</f>
        <v>0</v>
      </c>
      <c r="AI54" s="105">
        <f>MateriaisPainel[[#This Row],[UNIT VENDA]]*MateriaisPainel[[#This Row],[QUANTIDADE]]</f>
        <v>0</v>
      </c>
      <c r="AJ54" s="105">
        <f>IFERROR(MateriaisPainel[[#This Row],[VENDA]]*(RESUMO!$F$70/RESUMO!$F$60),0)</f>
        <v>0</v>
      </c>
      <c r="AK54" s="105">
        <f>IFERROR(MateriaisPainel[[#This Row],[VENDA]]*(RESUMO!$F$73/RESUMO!$F$60),0)</f>
        <v>0</v>
      </c>
      <c r="AL54" s="234">
        <f>IF(MateriaisPainel[[#This Row],[FATURAMENTO]]="NORMAL",MateriaisPainel[[#This Row],[VENDA]],0)</f>
        <v>0</v>
      </c>
    </row>
    <row r="55" spans="1:44" s="26" customFormat="1" x14ac:dyDescent="0.35">
      <c r="A55" s="100"/>
      <c r="B55" s="104"/>
      <c r="C55" s="305"/>
      <c r="D55" s="100"/>
      <c r="E55" s="119"/>
      <c r="F55" s="119">
        <f t="shared" si="0"/>
        <v>0</v>
      </c>
      <c r="G55" s="104"/>
      <c r="H55" s="377"/>
      <c r="I55" s="306"/>
      <c r="J55" s="378"/>
      <c r="K55" s="351"/>
      <c r="L55" s="351"/>
      <c r="M55" s="390"/>
      <c r="N55" s="347">
        <f>MateriaisPainel[[#This Row],[UNIT S/IPI S/DESC]]-MateriaisPainel[[#This Row],[UNIT S/IPI S/DESC]]*MateriaisPainel[[#This Row],[DESC%]]</f>
        <v>0</v>
      </c>
      <c r="O55" s="248" t="s">
        <v>295</v>
      </c>
      <c r="P55" s="271" t="s">
        <v>155</v>
      </c>
      <c r="Q55" s="249">
        <v>1.6500000000000001E-2</v>
      </c>
      <c r="R55" s="249">
        <v>7.5999999999999998E-2</v>
      </c>
      <c r="S55" s="107">
        <f>MateriaisPainel[[#This Row],[UNIT S/ IP + DIF ICMS]]*MateriaisPainel[[#This Row],[QUANTIDADE]]</f>
        <v>0</v>
      </c>
      <c r="T55" s="307">
        <f>MateriaisPainel[[#This Row],[TOTAL S/ IPI]]+(MateriaisPainel[[#This Row],[TOTAL S/ IPI]]*MateriaisPainel[[#This Row],[IPI %]])</f>
        <v>0</v>
      </c>
      <c r="U55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5" s="308">
        <f>MateriaisPainel[[#This Row],[UNIT S/ IPI C/DESC]]*MateriaisPainel[[#This Row],[ICMS %]]</f>
        <v>0</v>
      </c>
      <c r="W55" s="308">
        <f>(MateriaisPainel[[#This Row],[PIS]]*MateriaisPainel[[#This Row],[UNIT S/ IPI C/DESC]])/2</f>
        <v>0</v>
      </c>
      <c r="X55" s="308">
        <f>(MateriaisPainel[[#This Row],[COFINS]]*MateriaisPainel[[#This Row],[UNIT S/ IPI C/DESC]])/2</f>
        <v>0</v>
      </c>
      <c r="Y55" s="308">
        <f>MateriaisPainel[[#This Row],[ICMS $]]*MateriaisPainel[[#This Row],[QUANTIDADE]]</f>
        <v>0</v>
      </c>
      <c r="Z55" s="309">
        <f>MateriaisPainel[[#This Row],[UNIT S/ IPI C/DESC]]+MateriaisPainel[[#This Row],[DIFERENCIAL ICMS]]</f>
        <v>0</v>
      </c>
      <c r="AA55" s="307">
        <f>MateriaisPainel[[#This Row],[UNIT S/ IP + DIF ICMS]]+(MateriaisPainel[[#This Row],[UNIT S/ IP + DIF ICMS]]*MateriaisPainel[[#This Row],[IPI %]])</f>
        <v>0</v>
      </c>
      <c r="AB55" s="361">
        <f>_xlfn.XLOOKUP(MateriaisPainel[[#This Row],[FATURAMENTO]],BASE!$U$48:$U$50,BASE!$W$48:$W$50,0,0,1)</f>
        <v>0.79709863947533133</v>
      </c>
      <c r="AC55" s="362" t="str">
        <f>RESUMO!$E$71</f>
        <v>SIM</v>
      </c>
      <c r="AD55" s="362" t="str">
        <f>RESUMO!$E$72</f>
        <v>SIM</v>
      </c>
      <c r="AE55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5" s="364">
        <f>MateriaisPainel[[#This Row],[UNIT CRED]]*MateriaisPainel[[#This Row],[QUANTIDADE]]</f>
        <v>0</v>
      </c>
      <c r="AG55" s="307">
        <f>MateriaisPainel[[#This Row],[TOT CRED]]</f>
        <v>0</v>
      </c>
      <c r="AH55" s="365">
        <f>IF(MateriaisPainel[[#This Row],[QUANTIDADE]]&lt;&gt;0,((MateriaisPainel[[#This Row],[TOT CUSTO]]/MateriaisPainel[[#This Row],[QUANTIDADE]])/MateriaisPainel[[#This Row],[MARK-UP]]),0)</f>
        <v>0</v>
      </c>
      <c r="AI55" s="105">
        <f>MateriaisPainel[[#This Row],[UNIT VENDA]]*MateriaisPainel[[#This Row],[QUANTIDADE]]</f>
        <v>0</v>
      </c>
      <c r="AJ55" s="105">
        <f>IFERROR(MateriaisPainel[[#This Row],[VENDA]]*(RESUMO!$F$70/RESUMO!$F$60),0)</f>
        <v>0</v>
      </c>
      <c r="AK55" s="105">
        <f>IFERROR(MateriaisPainel[[#This Row],[VENDA]]*(RESUMO!$F$73/RESUMO!$F$60),0)</f>
        <v>0</v>
      </c>
      <c r="AL55" s="234">
        <f>IF(MateriaisPainel[[#This Row],[FATURAMENTO]]="NORMAL",MateriaisPainel[[#This Row],[VENDA]],0)</f>
        <v>0</v>
      </c>
      <c r="AP55" s="267"/>
      <c r="AQ55" s="267"/>
      <c r="AR55" s="267"/>
    </row>
    <row r="56" spans="1:44" x14ac:dyDescent="0.25">
      <c r="A56" s="100"/>
      <c r="B56" s="104"/>
      <c r="C56" s="305"/>
      <c r="D56" s="100"/>
      <c r="E56" s="119"/>
      <c r="F56" s="119">
        <f t="shared" si="0"/>
        <v>0</v>
      </c>
      <c r="G56" s="104"/>
      <c r="H56" s="377"/>
      <c r="I56" s="306"/>
      <c r="J56" s="378"/>
      <c r="K56" s="351"/>
      <c r="L56" s="351"/>
      <c r="M56" s="390"/>
      <c r="N56" s="347">
        <f>MateriaisPainel[[#This Row],[UNIT S/IPI S/DESC]]-MateriaisPainel[[#This Row],[UNIT S/IPI S/DESC]]*MateriaisPainel[[#This Row],[DESC%]]</f>
        <v>0</v>
      </c>
      <c r="O56" s="248" t="s">
        <v>295</v>
      </c>
      <c r="P56" s="271" t="s">
        <v>155</v>
      </c>
      <c r="Q56" s="249">
        <v>1.6500000000000001E-2</v>
      </c>
      <c r="R56" s="249">
        <v>7.5999999999999998E-2</v>
      </c>
      <c r="S56" s="107">
        <f>MateriaisPainel[[#This Row],[UNIT S/ IP + DIF ICMS]]*MateriaisPainel[[#This Row],[QUANTIDADE]]</f>
        <v>0</v>
      </c>
      <c r="T56" s="307">
        <f>MateriaisPainel[[#This Row],[TOTAL S/ IPI]]+(MateriaisPainel[[#This Row],[TOTAL S/ IPI]]*MateriaisPainel[[#This Row],[IPI %]])</f>
        <v>0</v>
      </c>
      <c r="U56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6" s="308">
        <f>MateriaisPainel[[#This Row],[UNIT S/ IPI C/DESC]]*MateriaisPainel[[#This Row],[ICMS %]]</f>
        <v>0</v>
      </c>
      <c r="W56" s="308">
        <f>(MateriaisPainel[[#This Row],[PIS]]*MateriaisPainel[[#This Row],[UNIT S/ IPI C/DESC]])/2</f>
        <v>0</v>
      </c>
      <c r="X56" s="308">
        <f>(MateriaisPainel[[#This Row],[COFINS]]*MateriaisPainel[[#This Row],[UNIT S/ IPI C/DESC]])/2</f>
        <v>0</v>
      </c>
      <c r="Y56" s="308">
        <f>MateriaisPainel[[#This Row],[ICMS $]]*MateriaisPainel[[#This Row],[QUANTIDADE]]</f>
        <v>0</v>
      </c>
      <c r="Z56" s="309">
        <f>MateriaisPainel[[#This Row],[UNIT S/ IPI C/DESC]]+MateriaisPainel[[#This Row],[DIFERENCIAL ICMS]]</f>
        <v>0</v>
      </c>
      <c r="AA56" s="307">
        <f>MateriaisPainel[[#This Row],[UNIT S/ IP + DIF ICMS]]+(MateriaisPainel[[#This Row],[UNIT S/ IP + DIF ICMS]]*MateriaisPainel[[#This Row],[IPI %]])</f>
        <v>0</v>
      </c>
      <c r="AB56" s="361">
        <f>_xlfn.XLOOKUP(MateriaisPainel[[#This Row],[FATURAMENTO]],BASE!$U$48:$U$50,BASE!$W$48:$W$50,0,0,1)</f>
        <v>0.79709863947533133</v>
      </c>
      <c r="AC56" s="362" t="str">
        <f>RESUMO!$E$71</f>
        <v>SIM</v>
      </c>
      <c r="AD56" s="362" t="str">
        <f>RESUMO!$E$72</f>
        <v>SIM</v>
      </c>
      <c r="AE56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6" s="364">
        <f>MateriaisPainel[[#This Row],[UNIT CRED]]*MateriaisPainel[[#This Row],[QUANTIDADE]]</f>
        <v>0</v>
      </c>
      <c r="AG56" s="307">
        <f>MateriaisPainel[[#This Row],[TOT CRED]]</f>
        <v>0</v>
      </c>
      <c r="AH56" s="365">
        <f>IF(MateriaisPainel[[#This Row],[QUANTIDADE]]&lt;&gt;0,((MateriaisPainel[[#This Row],[TOT CUSTO]]/MateriaisPainel[[#This Row],[QUANTIDADE]])/MateriaisPainel[[#This Row],[MARK-UP]]),0)</f>
        <v>0</v>
      </c>
      <c r="AI56" s="105">
        <f>MateriaisPainel[[#This Row],[UNIT VENDA]]*MateriaisPainel[[#This Row],[QUANTIDADE]]</f>
        <v>0</v>
      </c>
      <c r="AJ56" s="105">
        <f>IFERROR(MateriaisPainel[[#This Row],[VENDA]]*(RESUMO!$F$70/RESUMO!$F$60),0)</f>
        <v>0</v>
      </c>
      <c r="AK56" s="105">
        <f>IFERROR(MateriaisPainel[[#This Row],[VENDA]]*(RESUMO!$F$73/RESUMO!$F$60),0)</f>
        <v>0</v>
      </c>
      <c r="AL56" s="234">
        <f>IF(MateriaisPainel[[#This Row],[FATURAMENTO]]="NORMAL",MateriaisPainel[[#This Row],[VENDA]],0)</f>
        <v>0</v>
      </c>
    </row>
    <row r="57" spans="1:44" x14ac:dyDescent="0.25">
      <c r="A57" s="100"/>
      <c r="B57" s="104"/>
      <c r="C57" s="305"/>
      <c r="D57" s="100"/>
      <c r="E57" s="119"/>
      <c r="F57" s="119">
        <f t="shared" si="0"/>
        <v>0</v>
      </c>
      <c r="G57" s="104"/>
      <c r="H57" s="377"/>
      <c r="I57" s="306"/>
      <c r="J57" s="378"/>
      <c r="K57" s="351"/>
      <c r="L57" s="351"/>
      <c r="M57" s="390"/>
      <c r="N57" s="347">
        <f>MateriaisPainel[[#This Row],[UNIT S/IPI S/DESC]]-MateriaisPainel[[#This Row],[UNIT S/IPI S/DESC]]*MateriaisPainel[[#This Row],[DESC%]]</f>
        <v>0</v>
      </c>
      <c r="O57" s="248" t="s">
        <v>295</v>
      </c>
      <c r="P57" s="271" t="s">
        <v>155</v>
      </c>
      <c r="Q57" s="249">
        <v>1.6500000000000001E-2</v>
      </c>
      <c r="R57" s="249">
        <v>7.5999999999999998E-2</v>
      </c>
      <c r="S57" s="107">
        <f>MateriaisPainel[[#This Row],[UNIT S/ IP + DIF ICMS]]*MateriaisPainel[[#This Row],[QUANTIDADE]]</f>
        <v>0</v>
      </c>
      <c r="T57" s="307">
        <f>MateriaisPainel[[#This Row],[TOTAL S/ IPI]]+(MateriaisPainel[[#This Row],[TOTAL S/ IPI]]*MateriaisPainel[[#This Row],[IPI %]])</f>
        <v>0</v>
      </c>
      <c r="U57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7" s="308">
        <f>MateriaisPainel[[#This Row],[UNIT S/ IPI C/DESC]]*MateriaisPainel[[#This Row],[ICMS %]]</f>
        <v>0</v>
      </c>
      <c r="W57" s="308">
        <f>(MateriaisPainel[[#This Row],[PIS]]*MateriaisPainel[[#This Row],[UNIT S/ IPI C/DESC]])/2</f>
        <v>0</v>
      </c>
      <c r="X57" s="308">
        <f>(MateriaisPainel[[#This Row],[COFINS]]*MateriaisPainel[[#This Row],[UNIT S/ IPI C/DESC]])/2</f>
        <v>0</v>
      </c>
      <c r="Y57" s="308">
        <f>MateriaisPainel[[#This Row],[ICMS $]]*MateriaisPainel[[#This Row],[QUANTIDADE]]</f>
        <v>0</v>
      </c>
      <c r="Z57" s="309">
        <f>MateriaisPainel[[#This Row],[UNIT S/ IPI C/DESC]]+MateriaisPainel[[#This Row],[DIFERENCIAL ICMS]]</f>
        <v>0</v>
      </c>
      <c r="AA57" s="307">
        <f>MateriaisPainel[[#This Row],[UNIT S/ IP + DIF ICMS]]+(MateriaisPainel[[#This Row],[UNIT S/ IP + DIF ICMS]]*MateriaisPainel[[#This Row],[IPI %]])</f>
        <v>0</v>
      </c>
      <c r="AB57" s="361">
        <f>_xlfn.XLOOKUP(MateriaisPainel[[#This Row],[FATURAMENTO]],BASE!$U$48:$U$50,BASE!$W$48:$W$50,0,0,1)</f>
        <v>0.79709863947533133</v>
      </c>
      <c r="AC57" s="362" t="str">
        <f>RESUMO!$E$71</f>
        <v>SIM</v>
      </c>
      <c r="AD57" s="362" t="str">
        <f>RESUMO!$E$72</f>
        <v>SIM</v>
      </c>
      <c r="AE57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7" s="364">
        <f>MateriaisPainel[[#This Row],[UNIT CRED]]*MateriaisPainel[[#This Row],[QUANTIDADE]]</f>
        <v>0</v>
      </c>
      <c r="AG57" s="307">
        <f>MateriaisPainel[[#This Row],[TOT CRED]]</f>
        <v>0</v>
      </c>
      <c r="AH57" s="365">
        <f>IF(MateriaisPainel[[#This Row],[QUANTIDADE]]&lt;&gt;0,((MateriaisPainel[[#This Row],[TOT CUSTO]]/MateriaisPainel[[#This Row],[QUANTIDADE]])/MateriaisPainel[[#This Row],[MARK-UP]]),0)</f>
        <v>0</v>
      </c>
      <c r="AI57" s="105">
        <f>MateriaisPainel[[#This Row],[UNIT VENDA]]*MateriaisPainel[[#This Row],[QUANTIDADE]]</f>
        <v>0</v>
      </c>
      <c r="AJ57" s="105">
        <f>IFERROR(MateriaisPainel[[#This Row],[VENDA]]*(RESUMO!$F$70/RESUMO!$F$60),0)</f>
        <v>0</v>
      </c>
      <c r="AK57" s="105">
        <f>IFERROR(MateriaisPainel[[#This Row],[VENDA]]*(RESUMO!$F$73/RESUMO!$F$60),0)</f>
        <v>0</v>
      </c>
      <c r="AL57" s="234">
        <f>IF(MateriaisPainel[[#This Row],[FATURAMENTO]]="NORMAL",MateriaisPainel[[#This Row],[VENDA]],0)</f>
        <v>0</v>
      </c>
    </row>
    <row r="58" spans="1:44" x14ac:dyDescent="0.25">
      <c r="A58" s="100"/>
      <c r="B58" s="104"/>
      <c r="C58" s="305"/>
      <c r="D58" s="100"/>
      <c r="E58" s="119"/>
      <c r="F58" s="119">
        <f t="shared" si="0"/>
        <v>0</v>
      </c>
      <c r="G58" s="104"/>
      <c r="H58" s="101"/>
      <c r="I58" s="306"/>
      <c r="J58" s="378"/>
      <c r="K58" s="351"/>
      <c r="L58" s="351"/>
      <c r="M58" s="390"/>
      <c r="N58" s="347">
        <f>MateriaisPainel[[#This Row],[UNIT S/IPI S/DESC]]-MateriaisPainel[[#This Row],[UNIT S/IPI S/DESC]]*MateriaisPainel[[#This Row],[DESC%]]</f>
        <v>0</v>
      </c>
      <c r="O58" s="248" t="s">
        <v>295</v>
      </c>
      <c r="P58" s="271" t="s">
        <v>155</v>
      </c>
      <c r="Q58" s="249">
        <v>1.6500000000000001E-2</v>
      </c>
      <c r="R58" s="249">
        <v>7.5999999999999998E-2</v>
      </c>
      <c r="S58" s="107">
        <f>MateriaisPainel[[#This Row],[UNIT S/ IP + DIF ICMS]]*MateriaisPainel[[#This Row],[QUANTIDADE]]</f>
        <v>0</v>
      </c>
      <c r="T58" s="307">
        <f>MateriaisPainel[[#This Row],[TOTAL S/ IPI]]+(MateriaisPainel[[#This Row],[TOTAL S/ IPI]]*MateriaisPainel[[#This Row],[IPI %]])</f>
        <v>0</v>
      </c>
      <c r="U58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8" s="308">
        <f>MateriaisPainel[[#This Row],[UNIT S/ IPI C/DESC]]*MateriaisPainel[[#This Row],[ICMS %]]</f>
        <v>0</v>
      </c>
      <c r="W58" s="308">
        <f>(MateriaisPainel[[#This Row],[PIS]]*MateriaisPainel[[#This Row],[UNIT S/ IPI C/DESC]])/2</f>
        <v>0</v>
      </c>
      <c r="X58" s="308">
        <f>(MateriaisPainel[[#This Row],[COFINS]]*MateriaisPainel[[#This Row],[UNIT S/ IPI C/DESC]])/2</f>
        <v>0</v>
      </c>
      <c r="Y58" s="308">
        <f>MateriaisPainel[[#This Row],[ICMS $]]*MateriaisPainel[[#This Row],[QUANTIDADE]]</f>
        <v>0</v>
      </c>
      <c r="Z58" s="309">
        <f>MateriaisPainel[[#This Row],[UNIT S/ IPI C/DESC]]+MateriaisPainel[[#This Row],[DIFERENCIAL ICMS]]</f>
        <v>0</v>
      </c>
      <c r="AA58" s="307">
        <f>MateriaisPainel[[#This Row],[UNIT S/ IP + DIF ICMS]]+(MateriaisPainel[[#This Row],[UNIT S/ IP + DIF ICMS]]*MateriaisPainel[[#This Row],[IPI %]])</f>
        <v>0</v>
      </c>
      <c r="AB58" s="361">
        <f>_xlfn.XLOOKUP(MateriaisPainel[[#This Row],[FATURAMENTO]],BASE!$U$48:$U$50,BASE!$W$48:$W$50,0,0,1)</f>
        <v>0.79709863947533133</v>
      </c>
      <c r="AC58" s="362" t="str">
        <f>RESUMO!$E$71</f>
        <v>SIM</v>
      </c>
      <c r="AD58" s="362" t="str">
        <f>RESUMO!$E$72</f>
        <v>SIM</v>
      </c>
      <c r="AE58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8" s="364">
        <f>MateriaisPainel[[#This Row],[UNIT CRED]]*MateriaisPainel[[#This Row],[QUANTIDADE]]</f>
        <v>0</v>
      </c>
      <c r="AG58" s="307">
        <f>MateriaisPainel[[#This Row],[TOT CRED]]</f>
        <v>0</v>
      </c>
      <c r="AH58" s="365">
        <f>IF(MateriaisPainel[[#This Row],[QUANTIDADE]]&lt;&gt;0,((MateriaisPainel[[#This Row],[TOT CUSTO]]/MateriaisPainel[[#This Row],[QUANTIDADE]])/MateriaisPainel[[#This Row],[MARK-UP]]),0)</f>
        <v>0</v>
      </c>
      <c r="AI58" s="105">
        <f>MateriaisPainel[[#This Row],[UNIT VENDA]]*MateriaisPainel[[#This Row],[QUANTIDADE]]</f>
        <v>0</v>
      </c>
      <c r="AJ58" s="105">
        <f>IFERROR(MateriaisPainel[[#This Row],[VENDA]]*(RESUMO!$F$70/RESUMO!$F$60),0)</f>
        <v>0</v>
      </c>
      <c r="AK58" s="105">
        <f>IFERROR(MateriaisPainel[[#This Row],[VENDA]]*(RESUMO!$F$73/RESUMO!$F$60),0)</f>
        <v>0</v>
      </c>
      <c r="AL58" s="234">
        <f>IF(MateriaisPainel[[#This Row],[FATURAMENTO]]="NORMAL",MateriaisPainel[[#This Row],[VENDA]],0)</f>
        <v>0</v>
      </c>
    </row>
    <row r="59" spans="1:44" x14ac:dyDescent="0.25">
      <c r="A59" s="100"/>
      <c r="B59" s="104"/>
      <c r="C59" s="305"/>
      <c r="D59" s="100"/>
      <c r="E59" s="119"/>
      <c r="F59" s="119">
        <f t="shared" si="0"/>
        <v>0</v>
      </c>
      <c r="G59" s="104"/>
      <c r="H59" s="101"/>
      <c r="I59" s="306"/>
      <c r="J59" s="378"/>
      <c r="K59" s="351"/>
      <c r="L59" s="351"/>
      <c r="M59" s="390"/>
      <c r="N59" s="347">
        <f>MateriaisPainel[[#This Row],[UNIT S/IPI S/DESC]]-MateriaisPainel[[#This Row],[UNIT S/IPI S/DESC]]*MateriaisPainel[[#This Row],[DESC%]]</f>
        <v>0</v>
      </c>
      <c r="O59" s="248" t="s">
        <v>295</v>
      </c>
      <c r="P59" s="271" t="s">
        <v>155</v>
      </c>
      <c r="Q59" s="249">
        <v>1.6500000000000001E-2</v>
      </c>
      <c r="R59" s="249">
        <v>7.5999999999999998E-2</v>
      </c>
      <c r="S59" s="107">
        <f>MateriaisPainel[[#This Row],[UNIT S/ IP + DIF ICMS]]*MateriaisPainel[[#This Row],[QUANTIDADE]]</f>
        <v>0</v>
      </c>
      <c r="T59" s="307">
        <f>MateriaisPainel[[#This Row],[TOTAL S/ IPI]]+(MateriaisPainel[[#This Row],[TOTAL S/ IPI]]*MateriaisPainel[[#This Row],[IPI %]])</f>
        <v>0</v>
      </c>
      <c r="U59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59" s="308">
        <f>MateriaisPainel[[#This Row],[UNIT S/ IPI C/DESC]]*MateriaisPainel[[#This Row],[ICMS %]]</f>
        <v>0</v>
      </c>
      <c r="W59" s="308">
        <f>(MateriaisPainel[[#This Row],[PIS]]*MateriaisPainel[[#This Row],[UNIT S/ IPI C/DESC]])/2</f>
        <v>0</v>
      </c>
      <c r="X59" s="308">
        <f>(MateriaisPainel[[#This Row],[COFINS]]*MateriaisPainel[[#This Row],[UNIT S/ IPI C/DESC]])/2</f>
        <v>0</v>
      </c>
      <c r="Y59" s="308">
        <f>MateriaisPainel[[#This Row],[ICMS $]]*MateriaisPainel[[#This Row],[QUANTIDADE]]</f>
        <v>0</v>
      </c>
      <c r="Z59" s="309">
        <f>MateriaisPainel[[#This Row],[UNIT S/ IPI C/DESC]]+MateriaisPainel[[#This Row],[DIFERENCIAL ICMS]]</f>
        <v>0</v>
      </c>
      <c r="AA59" s="307">
        <f>MateriaisPainel[[#This Row],[UNIT S/ IP + DIF ICMS]]+(MateriaisPainel[[#This Row],[UNIT S/ IP + DIF ICMS]]*MateriaisPainel[[#This Row],[IPI %]])</f>
        <v>0</v>
      </c>
      <c r="AB59" s="361">
        <f>_xlfn.XLOOKUP(MateriaisPainel[[#This Row],[FATURAMENTO]],BASE!$U$48:$U$50,BASE!$W$48:$W$50,0,0,1)</f>
        <v>0.79709863947533133</v>
      </c>
      <c r="AC59" s="362" t="str">
        <f>RESUMO!$E$71</f>
        <v>SIM</v>
      </c>
      <c r="AD59" s="362" t="str">
        <f>RESUMO!$E$72</f>
        <v>SIM</v>
      </c>
      <c r="AE59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59" s="364">
        <f>MateriaisPainel[[#This Row],[UNIT CRED]]*MateriaisPainel[[#This Row],[QUANTIDADE]]</f>
        <v>0</v>
      </c>
      <c r="AG59" s="307">
        <f>MateriaisPainel[[#This Row],[TOT CRED]]</f>
        <v>0</v>
      </c>
      <c r="AH59" s="365">
        <f>IF(MateriaisPainel[[#This Row],[QUANTIDADE]]&lt;&gt;0,((MateriaisPainel[[#This Row],[TOT CUSTO]]/MateriaisPainel[[#This Row],[QUANTIDADE]])/MateriaisPainel[[#This Row],[MARK-UP]]),0)</f>
        <v>0</v>
      </c>
      <c r="AI59" s="105">
        <f>MateriaisPainel[[#This Row],[UNIT VENDA]]*MateriaisPainel[[#This Row],[QUANTIDADE]]</f>
        <v>0</v>
      </c>
      <c r="AJ59" s="105">
        <f>IFERROR(MateriaisPainel[[#This Row],[VENDA]]*(RESUMO!$F$70/RESUMO!$F$60),0)</f>
        <v>0</v>
      </c>
      <c r="AK59" s="105">
        <f>IFERROR(MateriaisPainel[[#This Row],[VENDA]]*(RESUMO!$F$73/RESUMO!$F$60),0)</f>
        <v>0</v>
      </c>
      <c r="AL59" s="234">
        <f>IF(MateriaisPainel[[#This Row],[FATURAMENTO]]="NORMAL",MateriaisPainel[[#This Row],[VENDA]],0)</f>
        <v>0</v>
      </c>
    </row>
    <row r="60" spans="1:44" x14ac:dyDescent="0.25">
      <c r="A60" s="100"/>
      <c r="B60" s="104"/>
      <c r="C60" s="305"/>
      <c r="D60" s="100"/>
      <c r="E60" s="119"/>
      <c r="F60" s="119">
        <f t="shared" si="0"/>
        <v>0</v>
      </c>
      <c r="G60" s="104"/>
      <c r="H60" s="101"/>
      <c r="I60" s="306"/>
      <c r="J60" s="378"/>
      <c r="K60" s="351"/>
      <c r="L60" s="351"/>
      <c r="M60" s="390"/>
      <c r="N60" s="347">
        <f>MateriaisPainel[[#This Row],[UNIT S/IPI S/DESC]]-MateriaisPainel[[#This Row],[UNIT S/IPI S/DESC]]*MateriaisPainel[[#This Row],[DESC%]]</f>
        <v>0</v>
      </c>
      <c r="O60" s="248" t="s">
        <v>295</v>
      </c>
      <c r="P60" s="271" t="s">
        <v>155</v>
      </c>
      <c r="Q60" s="249">
        <v>1.6500000000000001E-2</v>
      </c>
      <c r="R60" s="249">
        <v>7.5999999999999998E-2</v>
      </c>
      <c r="S60" s="107">
        <f>MateriaisPainel[[#This Row],[UNIT S/ IP + DIF ICMS]]*MateriaisPainel[[#This Row],[QUANTIDADE]]</f>
        <v>0</v>
      </c>
      <c r="T60" s="307">
        <f>MateriaisPainel[[#This Row],[TOTAL S/ IPI]]+(MateriaisPainel[[#This Row],[TOTAL S/ IPI]]*MateriaisPainel[[#This Row],[IPI %]])</f>
        <v>0</v>
      </c>
      <c r="U60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0" s="308">
        <f>MateriaisPainel[[#This Row],[UNIT S/ IPI C/DESC]]*MateriaisPainel[[#This Row],[ICMS %]]</f>
        <v>0</v>
      </c>
      <c r="W60" s="308">
        <f>(MateriaisPainel[[#This Row],[PIS]]*MateriaisPainel[[#This Row],[UNIT S/ IPI C/DESC]])/2</f>
        <v>0</v>
      </c>
      <c r="X60" s="308">
        <f>(MateriaisPainel[[#This Row],[COFINS]]*MateriaisPainel[[#This Row],[UNIT S/ IPI C/DESC]])/2</f>
        <v>0</v>
      </c>
      <c r="Y60" s="308">
        <f>MateriaisPainel[[#This Row],[ICMS $]]*MateriaisPainel[[#This Row],[QUANTIDADE]]</f>
        <v>0</v>
      </c>
      <c r="Z60" s="309">
        <f>MateriaisPainel[[#This Row],[UNIT S/ IPI C/DESC]]+MateriaisPainel[[#This Row],[DIFERENCIAL ICMS]]</f>
        <v>0</v>
      </c>
      <c r="AA60" s="307">
        <f>MateriaisPainel[[#This Row],[UNIT S/ IP + DIF ICMS]]+(MateriaisPainel[[#This Row],[UNIT S/ IP + DIF ICMS]]*MateriaisPainel[[#This Row],[IPI %]])</f>
        <v>0</v>
      </c>
      <c r="AB60" s="361">
        <f>_xlfn.XLOOKUP(MateriaisPainel[[#This Row],[FATURAMENTO]],BASE!$U$48:$U$50,BASE!$W$48:$W$50,0,0,1)</f>
        <v>0.79709863947533133</v>
      </c>
      <c r="AC60" s="362" t="str">
        <f>RESUMO!$E$71</f>
        <v>SIM</v>
      </c>
      <c r="AD60" s="362" t="str">
        <f>RESUMO!$E$72</f>
        <v>SIM</v>
      </c>
      <c r="AE60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0" s="364">
        <f>MateriaisPainel[[#This Row],[UNIT CRED]]*MateriaisPainel[[#This Row],[QUANTIDADE]]</f>
        <v>0</v>
      </c>
      <c r="AG60" s="307">
        <f>MateriaisPainel[[#This Row],[TOT CRED]]</f>
        <v>0</v>
      </c>
      <c r="AH60" s="365">
        <f>IF(MateriaisPainel[[#This Row],[QUANTIDADE]]&lt;&gt;0,((MateriaisPainel[[#This Row],[TOT CUSTO]]/MateriaisPainel[[#This Row],[QUANTIDADE]])/MateriaisPainel[[#This Row],[MARK-UP]]),0)</f>
        <v>0</v>
      </c>
      <c r="AI60" s="105">
        <f>MateriaisPainel[[#This Row],[UNIT VENDA]]*MateriaisPainel[[#This Row],[QUANTIDADE]]</f>
        <v>0</v>
      </c>
      <c r="AJ60" s="105">
        <f>IFERROR(MateriaisPainel[[#This Row],[VENDA]]*(RESUMO!$F$70/RESUMO!$F$60),0)</f>
        <v>0</v>
      </c>
      <c r="AK60" s="105">
        <f>IFERROR(MateriaisPainel[[#This Row],[VENDA]]*(RESUMO!$F$73/RESUMO!$F$60),0)</f>
        <v>0</v>
      </c>
      <c r="AL60" s="234">
        <f>IF(MateriaisPainel[[#This Row],[FATURAMENTO]]="NORMAL",MateriaisPainel[[#This Row],[VENDA]],0)</f>
        <v>0</v>
      </c>
    </row>
    <row r="61" spans="1:44" x14ac:dyDescent="0.25">
      <c r="A61" s="100"/>
      <c r="B61" s="104"/>
      <c r="C61" s="305"/>
      <c r="D61" s="100"/>
      <c r="E61" s="119"/>
      <c r="F61" s="119">
        <f t="shared" si="0"/>
        <v>0</v>
      </c>
      <c r="G61" s="104"/>
      <c r="H61" s="101"/>
      <c r="I61" s="306"/>
      <c r="J61" s="378"/>
      <c r="K61" s="351"/>
      <c r="L61" s="351"/>
      <c r="M61" s="390"/>
      <c r="N61" s="347">
        <f>MateriaisPainel[[#This Row],[UNIT S/IPI S/DESC]]-MateriaisPainel[[#This Row],[UNIT S/IPI S/DESC]]*MateriaisPainel[[#This Row],[DESC%]]</f>
        <v>0</v>
      </c>
      <c r="O61" s="248" t="s">
        <v>295</v>
      </c>
      <c r="P61" s="271" t="s">
        <v>155</v>
      </c>
      <c r="Q61" s="249">
        <v>1.6500000000000001E-2</v>
      </c>
      <c r="R61" s="249">
        <v>7.5999999999999998E-2</v>
      </c>
      <c r="S61" s="107">
        <f>MateriaisPainel[[#This Row],[UNIT S/ IP + DIF ICMS]]*MateriaisPainel[[#This Row],[QUANTIDADE]]</f>
        <v>0</v>
      </c>
      <c r="T61" s="307">
        <f>MateriaisPainel[[#This Row],[TOTAL S/ IPI]]+(MateriaisPainel[[#This Row],[TOTAL S/ IPI]]*MateriaisPainel[[#This Row],[IPI %]])</f>
        <v>0</v>
      </c>
      <c r="U61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1" s="308">
        <f>MateriaisPainel[[#This Row],[UNIT S/ IPI C/DESC]]*MateriaisPainel[[#This Row],[ICMS %]]</f>
        <v>0</v>
      </c>
      <c r="W61" s="308">
        <f>(MateriaisPainel[[#This Row],[PIS]]*MateriaisPainel[[#This Row],[UNIT S/ IPI C/DESC]])/2</f>
        <v>0</v>
      </c>
      <c r="X61" s="308">
        <f>(MateriaisPainel[[#This Row],[COFINS]]*MateriaisPainel[[#This Row],[UNIT S/ IPI C/DESC]])/2</f>
        <v>0</v>
      </c>
      <c r="Y61" s="308">
        <f>MateriaisPainel[[#This Row],[ICMS $]]*MateriaisPainel[[#This Row],[QUANTIDADE]]</f>
        <v>0</v>
      </c>
      <c r="Z61" s="309">
        <f>MateriaisPainel[[#This Row],[UNIT S/ IPI C/DESC]]+MateriaisPainel[[#This Row],[DIFERENCIAL ICMS]]</f>
        <v>0</v>
      </c>
      <c r="AA61" s="307">
        <f>MateriaisPainel[[#This Row],[UNIT S/ IP + DIF ICMS]]+(MateriaisPainel[[#This Row],[UNIT S/ IP + DIF ICMS]]*MateriaisPainel[[#This Row],[IPI %]])</f>
        <v>0</v>
      </c>
      <c r="AB61" s="361">
        <f>_xlfn.XLOOKUP(MateriaisPainel[[#This Row],[FATURAMENTO]],BASE!$U$48:$U$50,BASE!$W$48:$W$50,0,0,1)</f>
        <v>0.79709863947533133</v>
      </c>
      <c r="AC61" s="362" t="str">
        <f>RESUMO!$E$71</f>
        <v>SIM</v>
      </c>
      <c r="AD61" s="362" t="str">
        <f>RESUMO!$E$72</f>
        <v>SIM</v>
      </c>
      <c r="AE61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1" s="364">
        <f>MateriaisPainel[[#This Row],[UNIT CRED]]*MateriaisPainel[[#This Row],[QUANTIDADE]]</f>
        <v>0</v>
      </c>
      <c r="AG61" s="307">
        <f>MateriaisPainel[[#This Row],[TOT CRED]]</f>
        <v>0</v>
      </c>
      <c r="AH61" s="365">
        <f>IF(MateriaisPainel[[#This Row],[QUANTIDADE]]&lt;&gt;0,((MateriaisPainel[[#This Row],[TOT CUSTO]]/MateriaisPainel[[#This Row],[QUANTIDADE]])/MateriaisPainel[[#This Row],[MARK-UP]]),0)</f>
        <v>0</v>
      </c>
      <c r="AI61" s="105">
        <f>MateriaisPainel[[#This Row],[UNIT VENDA]]*MateriaisPainel[[#This Row],[QUANTIDADE]]</f>
        <v>0</v>
      </c>
      <c r="AJ61" s="105">
        <f>IFERROR(MateriaisPainel[[#This Row],[VENDA]]*(RESUMO!$F$70/RESUMO!$F$60),0)</f>
        <v>0</v>
      </c>
      <c r="AK61" s="105">
        <f>IFERROR(MateriaisPainel[[#This Row],[VENDA]]*(RESUMO!$F$73/RESUMO!$F$60),0)</f>
        <v>0</v>
      </c>
      <c r="AL61" s="234">
        <f>IF(MateriaisPainel[[#This Row],[FATURAMENTO]]="NORMAL",MateriaisPainel[[#This Row],[VENDA]],0)</f>
        <v>0</v>
      </c>
    </row>
    <row r="62" spans="1:44" x14ac:dyDescent="0.25">
      <c r="A62" s="100"/>
      <c r="B62" s="104"/>
      <c r="C62" s="305"/>
      <c r="D62" s="100"/>
      <c r="E62" s="119"/>
      <c r="F62" s="119">
        <f t="shared" si="0"/>
        <v>0</v>
      </c>
      <c r="G62" s="104"/>
      <c r="H62" s="101"/>
      <c r="I62" s="306"/>
      <c r="J62" s="378"/>
      <c r="K62" s="351"/>
      <c r="L62" s="351"/>
      <c r="M62" s="390"/>
      <c r="N62" s="347">
        <f>MateriaisPainel[[#This Row],[UNIT S/IPI S/DESC]]-MateriaisPainel[[#This Row],[UNIT S/IPI S/DESC]]*MateriaisPainel[[#This Row],[DESC%]]</f>
        <v>0</v>
      </c>
      <c r="O62" s="248" t="s">
        <v>295</v>
      </c>
      <c r="P62" s="271" t="s">
        <v>155</v>
      </c>
      <c r="Q62" s="249">
        <v>1.6500000000000001E-2</v>
      </c>
      <c r="R62" s="249">
        <v>7.5999999999999998E-2</v>
      </c>
      <c r="S62" s="107">
        <f>MateriaisPainel[[#This Row],[UNIT S/ IP + DIF ICMS]]*MateriaisPainel[[#This Row],[QUANTIDADE]]</f>
        <v>0</v>
      </c>
      <c r="T62" s="307">
        <f>MateriaisPainel[[#This Row],[TOTAL S/ IPI]]+(MateriaisPainel[[#This Row],[TOTAL S/ IPI]]*MateriaisPainel[[#This Row],[IPI %]])</f>
        <v>0</v>
      </c>
      <c r="U62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2" s="308">
        <f>MateriaisPainel[[#This Row],[UNIT S/ IPI C/DESC]]*MateriaisPainel[[#This Row],[ICMS %]]</f>
        <v>0</v>
      </c>
      <c r="W62" s="308">
        <f>(MateriaisPainel[[#This Row],[PIS]]*MateriaisPainel[[#This Row],[UNIT S/ IPI C/DESC]])/2</f>
        <v>0</v>
      </c>
      <c r="X62" s="308">
        <f>(MateriaisPainel[[#This Row],[COFINS]]*MateriaisPainel[[#This Row],[UNIT S/ IPI C/DESC]])/2</f>
        <v>0</v>
      </c>
      <c r="Y62" s="308">
        <f>MateriaisPainel[[#This Row],[ICMS $]]*MateriaisPainel[[#This Row],[QUANTIDADE]]</f>
        <v>0</v>
      </c>
      <c r="Z62" s="309">
        <f>MateriaisPainel[[#This Row],[UNIT S/ IPI C/DESC]]+MateriaisPainel[[#This Row],[DIFERENCIAL ICMS]]</f>
        <v>0</v>
      </c>
      <c r="AA62" s="307">
        <f>MateriaisPainel[[#This Row],[UNIT S/ IP + DIF ICMS]]+(MateriaisPainel[[#This Row],[UNIT S/ IP + DIF ICMS]]*MateriaisPainel[[#This Row],[IPI %]])</f>
        <v>0</v>
      </c>
      <c r="AB62" s="361">
        <f>_xlfn.XLOOKUP(MateriaisPainel[[#This Row],[FATURAMENTO]],BASE!$U$48:$U$50,BASE!$W$48:$W$50,0,0,1)</f>
        <v>0.79709863947533133</v>
      </c>
      <c r="AC62" s="362" t="str">
        <f>RESUMO!$E$71</f>
        <v>SIM</v>
      </c>
      <c r="AD62" s="362" t="str">
        <f>RESUMO!$E$72</f>
        <v>SIM</v>
      </c>
      <c r="AE62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2" s="364">
        <f>MateriaisPainel[[#This Row],[UNIT CRED]]*MateriaisPainel[[#This Row],[QUANTIDADE]]</f>
        <v>0</v>
      </c>
      <c r="AG62" s="307">
        <f>MateriaisPainel[[#This Row],[TOT CRED]]</f>
        <v>0</v>
      </c>
      <c r="AH62" s="365">
        <f>IF(MateriaisPainel[[#This Row],[QUANTIDADE]]&lt;&gt;0,((MateriaisPainel[[#This Row],[TOT CUSTO]]/MateriaisPainel[[#This Row],[QUANTIDADE]])/MateriaisPainel[[#This Row],[MARK-UP]]),0)</f>
        <v>0</v>
      </c>
      <c r="AI62" s="105">
        <f>MateriaisPainel[[#This Row],[UNIT VENDA]]*MateriaisPainel[[#This Row],[QUANTIDADE]]</f>
        <v>0</v>
      </c>
      <c r="AJ62" s="105">
        <f>IFERROR(MateriaisPainel[[#This Row],[VENDA]]*(RESUMO!$F$70/RESUMO!$F$60),0)</f>
        <v>0</v>
      </c>
      <c r="AK62" s="105">
        <f>IFERROR(MateriaisPainel[[#This Row],[VENDA]]*(RESUMO!$F$73/RESUMO!$F$60),0)</f>
        <v>0</v>
      </c>
      <c r="AL62" s="234">
        <f>IF(MateriaisPainel[[#This Row],[FATURAMENTO]]="NORMAL",MateriaisPainel[[#This Row],[VENDA]],0)</f>
        <v>0</v>
      </c>
    </row>
    <row r="63" spans="1:44" x14ac:dyDescent="0.25">
      <c r="A63" s="100"/>
      <c r="B63" s="104"/>
      <c r="C63" s="305"/>
      <c r="D63" s="100"/>
      <c r="E63" s="119"/>
      <c r="F63" s="119">
        <f t="shared" si="0"/>
        <v>0</v>
      </c>
      <c r="G63" s="104"/>
      <c r="H63" s="101"/>
      <c r="I63" s="306"/>
      <c r="J63" s="378"/>
      <c r="K63" s="351"/>
      <c r="L63" s="351"/>
      <c r="M63" s="390"/>
      <c r="N63" s="347">
        <f>MateriaisPainel[[#This Row],[UNIT S/IPI S/DESC]]-MateriaisPainel[[#This Row],[UNIT S/IPI S/DESC]]*MateriaisPainel[[#This Row],[DESC%]]</f>
        <v>0</v>
      </c>
      <c r="O63" s="248" t="s">
        <v>295</v>
      </c>
      <c r="P63" s="271" t="s">
        <v>155</v>
      </c>
      <c r="Q63" s="249">
        <v>1.6500000000000001E-2</v>
      </c>
      <c r="R63" s="249">
        <v>7.5999999999999998E-2</v>
      </c>
      <c r="S63" s="107">
        <f>MateriaisPainel[[#This Row],[UNIT S/ IP + DIF ICMS]]*MateriaisPainel[[#This Row],[QUANTIDADE]]</f>
        <v>0</v>
      </c>
      <c r="T63" s="307">
        <f>MateriaisPainel[[#This Row],[TOTAL S/ IPI]]+(MateriaisPainel[[#This Row],[TOTAL S/ IPI]]*MateriaisPainel[[#This Row],[IPI %]])</f>
        <v>0</v>
      </c>
      <c r="U63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3" s="308">
        <f>MateriaisPainel[[#This Row],[UNIT S/ IPI C/DESC]]*MateriaisPainel[[#This Row],[ICMS %]]</f>
        <v>0</v>
      </c>
      <c r="W63" s="308">
        <f>(MateriaisPainel[[#This Row],[PIS]]*MateriaisPainel[[#This Row],[UNIT S/ IPI C/DESC]])/2</f>
        <v>0</v>
      </c>
      <c r="X63" s="308">
        <f>(MateriaisPainel[[#This Row],[COFINS]]*MateriaisPainel[[#This Row],[UNIT S/ IPI C/DESC]])/2</f>
        <v>0</v>
      </c>
      <c r="Y63" s="308">
        <f>MateriaisPainel[[#This Row],[ICMS $]]*MateriaisPainel[[#This Row],[QUANTIDADE]]</f>
        <v>0</v>
      </c>
      <c r="Z63" s="309">
        <f>MateriaisPainel[[#This Row],[UNIT S/ IPI C/DESC]]+MateriaisPainel[[#This Row],[DIFERENCIAL ICMS]]</f>
        <v>0</v>
      </c>
      <c r="AA63" s="307">
        <f>MateriaisPainel[[#This Row],[UNIT S/ IP + DIF ICMS]]+(MateriaisPainel[[#This Row],[UNIT S/ IP + DIF ICMS]]*MateriaisPainel[[#This Row],[IPI %]])</f>
        <v>0</v>
      </c>
      <c r="AB63" s="361">
        <f>_xlfn.XLOOKUP(MateriaisPainel[[#This Row],[FATURAMENTO]],BASE!$U$48:$U$50,BASE!$W$48:$W$50,0,0,1)</f>
        <v>0.79709863947533133</v>
      </c>
      <c r="AC63" s="362" t="str">
        <f>RESUMO!$E$71</f>
        <v>SIM</v>
      </c>
      <c r="AD63" s="362" t="str">
        <f>RESUMO!$E$72</f>
        <v>SIM</v>
      </c>
      <c r="AE63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3" s="364">
        <f>MateriaisPainel[[#This Row],[UNIT CRED]]*MateriaisPainel[[#This Row],[QUANTIDADE]]</f>
        <v>0</v>
      </c>
      <c r="AG63" s="307">
        <f>MateriaisPainel[[#This Row],[TOT CRED]]</f>
        <v>0</v>
      </c>
      <c r="AH63" s="365">
        <f>IF(MateriaisPainel[[#This Row],[QUANTIDADE]]&lt;&gt;0,((MateriaisPainel[[#This Row],[TOT CUSTO]]/MateriaisPainel[[#This Row],[QUANTIDADE]])/MateriaisPainel[[#This Row],[MARK-UP]]),0)</f>
        <v>0</v>
      </c>
      <c r="AI63" s="105">
        <f>MateriaisPainel[[#This Row],[UNIT VENDA]]*MateriaisPainel[[#This Row],[QUANTIDADE]]</f>
        <v>0</v>
      </c>
      <c r="AJ63" s="105">
        <f>IFERROR(MateriaisPainel[[#This Row],[VENDA]]*(RESUMO!$F$70/RESUMO!$F$60),0)</f>
        <v>0</v>
      </c>
      <c r="AK63" s="105">
        <f>IFERROR(MateriaisPainel[[#This Row],[VENDA]]*(RESUMO!$F$73/RESUMO!$F$60),0)</f>
        <v>0</v>
      </c>
      <c r="AL63" s="234">
        <f>IF(MateriaisPainel[[#This Row],[FATURAMENTO]]="NORMAL",MateriaisPainel[[#This Row],[VENDA]],0)</f>
        <v>0</v>
      </c>
    </row>
    <row r="64" spans="1:44" x14ac:dyDescent="0.25">
      <c r="A64" s="100"/>
      <c r="B64" s="104"/>
      <c r="C64" s="305"/>
      <c r="D64" s="100"/>
      <c r="E64" s="119"/>
      <c r="F64" s="119">
        <f t="shared" si="0"/>
        <v>0</v>
      </c>
      <c r="G64" s="104"/>
      <c r="H64" s="101"/>
      <c r="I64" s="306"/>
      <c r="J64" s="378"/>
      <c r="K64" s="351"/>
      <c r="L64" s="351"/>
      <c r="M64" s="390"/>
      <c r="N64" s="347">
        <f>MateriaisPainel[[#This Row],[UNIT S/IPI S/DESC]]-MateriaisPainel[[#This Row],[UNIT S/IPI S/DESC]]*MateriaisPainel[[#This Row],[DESC%]]</f>
        <v>0</v>
      </c>
      <c r="O64" s="248" t="s">
        <v>295</v>
      </c>
      <c r="P64" s="271" t="s">
        <v>155</v>
      </c>
      <c r="Q64" s="249">
        <v>1.6500000000000001E-2</v>
      </c>
      <c r="R64" s="249">
        <v>7.5999999999999998E-2</v>
      </c>
      <c r="S64" s="107">
        <f>MateriaisPainel[[#This Row],[UNIT S/ IP + DIF ICMS]]*MateriaisPainel[[#This Row],[QUANTIDADE]]</f>
        <v>0</v>
      </c>
      <c r="T64" s="307">
        <f>MateriaisPainel[[#This Row],[TOTAL S/ IPI]]+(MateriaisPainel[[#This Row],[TOTAL S/ IPI]]*MateriaisPainel[[#This Row],[IPI %]])</f>
        <v>0</v>
      </c>
      <c r="U64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4" s="308">
        <f>MateriaisPainel[[#This Row],[UNIT S/ IPI C/DESC]]*MateriaisPainel[[#This Row],[ICMS %]]</f>
        <v>0</v>
      </c>
      <c r="W64" s="308">
        <f>(MateriaisPainel[[#This Row],[PIS]]*MateriaisPainel[[#This Row],[UNIT S/ IPI C/DESC]])/2</f>
        <v>0</v>
      </c>
      <c r="X64" s="308">
        <f>(MateriaisPainel[[#This Row],[COFINS]]*MateriaisPainel[[#This Row],[UNIT S/ IPI C/DESC]])/2</f>
        <v>0</v>
      </c>
      <c r="Y64" s="308">
        <f>MateriaisPainel[[#This Row],[ICMS $]]*MateriaisPainel[[#This Row],[QUANTIDADE]]</f>
        <v>0</v>
      </c>
      <c r="Z64" s="309">
        <f>MateriaisPainel[[#This Row],[UNIT S/ IPI C/DESC]]+MateriaisPainel[[#This Row],[DIFERENCIAL ICMS]]</f>
        <v>0</v>
      </c>
      <c r="AA64" s="307">
        <f>MateriaisPainel[[#This Row],[UNIT S/ IP + DIF ICMS]]+(MateriaisPainel[[#This Row],[UNIT S/ IP + DIF ICMS]]*MateriaisPainel[[#This Row],[IPI %]])</f>
        <v>0</v>
      </c>
      <c r="AB64" s="361">
        <f>_xlfn.XLOOKUP(MateriaisPainel[[#This Row],[FATURAMENTO]],BASE!$U$48:$U$50,BASE!$W$48:$W$50,0,0,1)</f>
        <v>0.79709863947533133</v>
      </c>
      <c r="AC64" s="362" t="str">
        <f>RESUMO!$E$71</f>
        <v>SIM</v>
      </c>
      <c r="AD64" s="362" t="str">
        <f>RESUMO!$E$72</f>
        <v>SIM</v>
      </c>
      <c r="AE64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4" s="364">
        <f>MateriaisPainel[[#This Row],[UNIT CRED]]*MateriaisPainel[[#This Row],[QUANTIDADE]]</f>
        <v>0</v>
      </c>
      <c r="AG64" s="307">
        <f>MateriaisPainel[[#This Row],[TOT CRED]]</f>
        <v>0</v>
      </c>
      <c r="AH64" s="365">
        <f>IF(MateriaisPainel[[#This Row],[QUANTIDADE]]&lt;&gt;0,((MateriaisPainel[[#This Row],[TOT CUSTO]]/MateriaisPainel[[#This Row],[QUANTIDADE]])/MateriaisPainel[[#This Row],[MARK-UP]]),0)</f>
        <v>0</v>
      </c>
      <c r="AI64" s="105">
        <f>MateriaisPainel[[#This Row],[UNIT VENDA]]*MateriaisPainel[[#This Row],[QUANTIDADE]]</f>
        <v>0</v>
      </c>
      <c r="AJ64" s="105">
        <f>IFERROR(MateriaisPainel[[#This Row],[VENDA]]*(RESUMO!$F$70/RESUMO!$F$60),0)</f>
        <v>0</v>
      </c>
      <c r="AK64" s="105">
        <f>IFERROR(MateriaisPainel[[#This Row],[VENDA]]*(RESUMO!$F$73/RESUMO!$F$60),0)</f>
        <v>0</v>
      </c>
      <c r="AL64" s="234">
        <f>IF(MateriaisPainel[[#This Row],[FATURAMENTO]]="NORMAL",MateriaisPainel[[#This Row],[VENDA]],0)</f>
        <v>0</v>
      </c>
    </row>
    <row r="65" spans="1:44" x14ac:dyDescent="0.25">
      <c r="A65" s="100"/>
      <c r="B65" s="104"/>
      <c r="C65" s="305"/>
      <c r="D65" s="100"/>
      <c r="E65" s="119"/>
      <c r="F65" s="119">
        <f t="shared" si="0"/>
        <v>0</v>
      </c>
      <c r="G65" s="104"/>
      <c r="H65" s="101"/>
      <c r="I65" s="306"/>
      <c r="J65" s="378"/>
      <c r="K65" s="351"/>
      <c r="L65" s="351"/>
      <c r="M65" s="390"/>
      <c r="N65" s="347">
        <f>MateriaisPainel[[#This Row],[UNIT S/IPI S/DESC]]-MateriaisPainel[[#This Row],[UNIT S/IPI S/DESC]]*MateriaisPainel[[#This Row],[DESC%]]</f>
        <v>0</v>
      </c>
      <c r="O65" s="248" t="s">
        <v>295</v>
      </c>
      <c r="P65" s="271" t="s">
        <v>155</v>
      </c>
      <c r="Q65" s="249">
        <v>1.6500000000000001E-2</v>
      </c>
      <c r="R65" s="249">
        <v>7.5999999999999998E-2</v>
      </c>
      <c r="S65" s="107">
        <f>MateriaisPainel[[#This Row],[UNIT S/ IP + DIF ICMS]]*MateriaisPainel[[#This Row],[QUANTIDADE]]</f>
        <v>0</v>
      </c>
      <c r="T65" s="307">
        <f>MateriaisPainel[[#This Row],[TOTAL S/ IPI]]+(MateriaisPainel[[#This Row],[TOTAL S/ IPI]]*MateriaisPainel[[#This Row],[IPI %]])</f>
        <v>0</v>
      </c>
      <c r="U65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5" s="308">
        <f>MateriaisPainel[[#This Row],[UNIT S/ IPI C/DESC]]*MateriaisPainel[[#This Row],[ICMS %]]</f>
        <v>0</v>
      </c>
      <c r="W65" s="308">
        <f>(MateriaisPainel[[#This Row],[PIS]]*MateriaisPainel[[#This Row],[UNIT S/ IPI C/DESC]])/2</f>
        <v>0</v>
      </c>
      <c r="X65" s="308">
        <f>(MateriaisPainel[[#This Row],[COFINS]]*MateriaisPainel[[#This Row],[UNIT S/ IPI C/DESC]])/2</f>
        <v>0</v>
      </c>
      <c r="Y65" s="308">
        <f>MateriaisPainel[[#This Row],[ICMS $]]*MateriaisPainel[[#This Row],[QUANTIDADE]]</f>
        <v>0</v>
      </c>
      <c r="Z65" s="309">
        <f>MateriaisPainel[[#This Row],[UNIT S/ IPI C/DESC]]+MateriaisPainel[[#This Row],[DIFERENCIAL ICMS]]</f>
        <v>0</v>
      </c>
      <c r="AA65" s="307">
        <f>MateriaisPainel[[#This Row],[UNIT S/ IP + DIF ICMS]]+(MateriaisPainel[[#This Row],[UNIT S/ IP + DIF ICMS]]*MateriaisPainel[[#This Row],[IPI %]])</f>
        <v>0</v>
      </c>
      <c r="AB65" s="361">
        <f>_xlfn.XLOOKUP(MateriaisPainel[[#This Row],[FATURAMENTO]],BASE!$U$48:$U$50,BASE!$W$48:$W$50,0,0,1)</f>
        <v>0.79709863947533133</v>
      </c>
      <c r="AC65" s="362" t="str">
        <f>RESUMO!$E$71</f>
        <v>SIM</v>
      </c>
      <c r="AD65" s="362" t="str">
        <f>RESUMO!$E$72</f>
        <v>SIM</v>
      </c>
      <c r="AE65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5" s="364">
        <f>MateriaisPainel[[#This Row],[UNIT CRED]]*MateriaisPainel[[#This Row],[QUANTIDADE]]</f>
        <v>0</v>
      </c>
      <c r="AG65" s="307">
        <f>MateriaisPainel[[#This Row],[TOT CRED]]</f>
        <v>0</v>
      </c>
      <c r="AH65" s="365">
        <f>IF(MateriaisPainel[[#This Row],[QUANTIDADE]]&lt;&gt;0,((MateriaisPainel[[#This Row],[TOT CUSTO]]/MateriaisPainel[[#This Row],[QUANTIDADE]])/MateriaisPainel[[#This Row],[MARK-UP]]),0)</f>
        <v>0</v>
      </c>
      <c r="AI65" s="105">
        <f>MateriaisPainel[[#This Row],[UNIT VENDA]]*MateriaisPainel[[#This Row],[QUANTIDADE]]</f>
        <v>0</v>
      </c>
      <c r="AJ65" s="105">
        <f>IFERROR(MateriaisPainel[[#This Row],[VENDA]]*(RESUMO!$F$70/RESUMO!$F$60),0)</f>
        <v>0</v>
      </c>
      <c r="AK65" s="105">
        <f>IFERROR(MateriaisPainel[[#This Row],[VENDA]]*(RESUMO!$F$73/RESUMO!$F$60),0)</f>
        <v>0</v>
      </c>
      <c r="AL65" s="234">
        <f>IF(MateriaisPainel[[#This Row],[FATURAMENTO]]="NORMAL",MateriaisPainel[[#This Row],[VENDA]],0)</f>
        <v>0</v>
      </c>
    </row>
    <row r="66" spans="1:44" x14ac:dyDescent="0.25">
      <c r="A66" s="100"/>
      <c r="B66" s="104"/>
      <c r="C66" s="305"/>
      <c r="D66" s="100"/>
      <c r="E66" s="119"/>
      <c r="F66" s="119">
        <f t="shared" si="0"/>
        <v>0</v>
      </c>
      <c r="G66" s="104"/>
      <c r="H66" s="101"/>
      <c r="I66" s="306"/>
      <c r="J66" s="378"/>
      <c r="K66" s="351"/>
      <c r="L66" s="351"/>
      <c r="M66" s="390"/>
      <c r="N66" s="347">
        <f>MateriaisPainel[[#This Row],[UNIT S/IPI S/DESC]]-MateriaisPainel[[#This Row],[UNIT S/IPI S/DESC]]*MateriaisPainel[[#This Row],[DESC%]]</f>
        <v>0</v>
      </c>
      <c r="O66" s="248" t="s">
        <v>295</v>
      </c>
      <c r="P66" s="271" t="s">
        <v>155</v>
      </c>
      <c r="Q66" s="249">
        <v>1.6500000000000001E-2</v>
      </c>
      <c r="R66" s="249">
        <v>7.5999999999999998E-2</v>
      </c>
      <c r="S66" s="107">
        <f>MateriaisPainel[[#This Row],[UNIT S/ IP + DIF ICMS]]*MateriaisPainel[[#This Row],[QUANTIDADE]]</f>
        <v>0</v>
      </c>
      <c r="T66" s="307">
        <f>MateriaisPainel[[#This Row],[TOTAL S/ IPI]]+(MateriaisPainel[[#This Row],[TOTAL S/ IPI]]*MateriaisPainel[[#This Row],[IPI %]])</f>
        <v>0</v>
      </c>
      <c r="U66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6" s="308">
        <f>MateriaisPainel[[#This Row],[UNIT S/ IPI C/DESC]]*MateriaisPainel[[#This Row],[ICMS %]]</f>
        <v>0</v>
      </c>
      <c r="W66" s="308">
        <f>(MateriaisPainel[[#This Row],[PIS]]*MateriaisPainel[[#This Row],[UNIT S/ IPI C/DESC]])/2</f>
        <v>0</v>
      </c>
      <c r="X66" s="308">
        <f>(MateriaisPainel[[#This Row],[COFINS]]*MateriaisPainel[[#This Row],[UNIT S/ IPI C/DESC]])/2</f>
        <v>0</v>
      </c>
      <c r="Y66" s="308">
        <f>MateriaisPainel[[#This Row],[ICMS $]]*MateriaisPainel[[#This Row],[QUANTIDADE]]</f>
        <v>0</v>
      </c>
      <c r="Z66" s="309">
        <f>MateriaisPainel[[#This Row],[UNIT S/ IPI C/DESC]]+MateriaisPainel[[#This Row],[DIFERENCIAL ICMS]]</f>
        <v>0</v>
      </c>
      <c r="AA66" s="307">
        <f>MateriaisPainel[[#This Row],[UNIT S/ IP + DIF ICMS]]+(MateriaisPainel[[#This Row],[UNIT S/ IP + DIF ICMS]]*MateriaisPainel[[#This Row],[IPI %]])</f>
        <v>0</v>
      </c>
      <c r="AB66" s="361">
        <f>_xlfn.XLOOKUP(MateriaisPainel[[#This Row],[FATURAMENTO]],BASE!$U$48:$U$50,BASE!$W$48:$W$50,0,0,1)</f>
        <v>0.79709863947533133</v>
      </c>
      <c r="AC66" s="362" t="str">
        <f>RESUMO!$E$71</f>
        <v>SIM</v>
      </c>
      <c r="AD66" s="362" t="str">
        <f>RESUMO!$E$72</f>
        <v>SIM</v>
      </c>
      <c r="AE66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6" s="364">
        <f>MateriaisPainel[[#This Row],[UNIT CRED]]*MateriaisPainel[[#This Row],[QUANTIDADE]]</f>
        <v>0</v>
      </c>
      <c r="AG66" s="307">
        <f>MateriaisPainel[[#This Row],[TOT CRED]]</f>
        <v>0</v>
      </c>
      <c r="AH66" s="365">
        <f>IF(MateriaisPainel[[#This Row],[QUANTIDADE]]&lt;&gt;0,((MateriaisPainel[[#This Row],[TOT CUSTO]]/MateriaisPainel[[#This Row],[QUANTIDADE]])/MateriaisPainel[[#This Row],[MARK-UP]]),0)</f>
        <v>0</v>
      </c>
      <c r="AI66" s="105">
        <f>MateriaisPainel[[#This Row],[UNIT VENDA]]*MateriaisPainel[[#This Row],[QUANTIDADE]]</f>
        <v>0</v>
      </c>
      <c r="AJ66" s="105">
        <f>IFERROR(MateriaisPainel[[#This Row],[VENDA]]*(RESUMO!$F$70/RESUMO!$F$60),0)</f>
        <v>0</v>
      </c>
      <c r="AK66" s="105">
        <f>IFERROR(MateriaisPainel[[#This Row],[VENDA]]*(RESUMO!$F$73/RESUMO!$F$60),0)</f>
        <v>0</v>
      </c>
      <c r="AL66" s="234">
        <f>IF(MateriaisPainel[[#This Row],[FATURAMENTO]]="NORMAL",MateriaisPainel[[#This Row],[VENDA]],0)</f>
        <v>0</v>
      </c>
    </row>
    <row r="67" spans="1:44" x14ac:dyDescent="0.25">
      <c r="A67" s="100"/>
      <c r="B67" s="104"/>
      <c r="C67" s="305"/>
      <c r="D67" s="100"/>
      <c r="E67" s="119"/>
      <c r="F67" s="119">
        <f t="shared" si="0"/>
        <v>0</v>
      </c>
      <c r="G67" s="104"/>
      <c r="H67" s="101"/>
      <c r="I67" s="306"/>
      <c r="J67" s="378"/>
      <c r="K67" s="351"/>
      <c r="L67" s="351"/>
      <c r="M67" s="390"/>
      <c r="N67" s="347">
        <f>MateriaisPainel[[#This Row],[UNIT S/IPI S/DESC]]-MateriaisPainel[[#This Row],[UNIT S/IPI S/DESC]]*MateriaisPainel[[#This Row],[DESC%]]</f>
        <v>0</v>
      </c>
      <c r="O67" s="248" t="s">
        <v>295</v>
      </c>
      <c r="P67" s="271" t="s">
        <v>155</v>
      </c>
      <c r="Q67" s="249">
        <v>1.6500000000000001E-2</v>
      </c>
      <c r="R67" s="249">
        <v>7.5999999999999998E-2</v>
      </c>
      <c r="S67" s="107">
        <f>MateriaisPainel[[#This Row],[UNIT S/ IP + DIF ICMS]]*MateriaisPainel[[#This Row],[QUANTIDADE]]</f>
        <v>0</v>
      </c>
      <c r="T67" s="307">
        <f>MateriaisPainel[[#This Row],[TOTAL S/ IPI]]+(MateriaisPainel[[#This Row],[TOTAL S/ IPI]]*MateriaisPainel[[#This Row],[IPI %]])</f>
        <v>0</v>
      </c>
      <c r="U67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7" s="308">
        <f>MateriaisPainel[[#This Row],[UNIT S/ IPI C/DESC]]*MateriaisPainel[[#This Row],[ICMS %]]</f>
        <v>0</v>
      </c>
      <c r="W67" s="308">
        <f>(MateriaisPainel[[#This Row],[PIS]]*MateriaisPainel[[#This Row],[UNIT S/ IPI C/DESC]])/2</f>
        <v>0</v>
      </c>
      <c r="X67" s="308">
        <f>(MateriaisPainel[[#This Row],[COFINS]]*MateriaisPainel[[#This Row],[UNIT S/ IPI C/DESC]])/2</f>
        <v>0</v>
      </c>
      <c r="Y67" s="308">
        <f>MateriaisPainel[[#This Row],[ICMS $]]*MateriaisPainel[[#This Row],[QUANTIDADE]]</f>
        <v>0</v>
      </c>
      <c r="Z67" s="309">
        <f>MateriaisPainel[[#This Row],[UNIT S/ IPI C/DESC]]+MateriaisPainel[[#This Row],[DIFERENCIAL ICMS]]</f>
        <v>0</v>
      </c>
      <c r="AA67" s="307">
        <f>MateriaisPainel[[#This Row],[UNIT S/ IP + DIF ICMS]]+(MateriaisPainel[[#This Row],[UNIT S/ IP + DIF ICMS]]*MateriaisPainel[[#This Row],[IPI %]])</f>
        <v>0</v>
      </c>
      <c r="AB67" s="361">
        <f>_xlfn.XLOOKUP(MateriaisPainel[[#This Row],[FATURAMENTO]],BASE!$U$48:$U$50,BASE!$W$48:$W$50,0,0,1)</f>
        <v>0.79709863947533133</v>
      </c>
      <c r="AC67" s="362" t="str">
        <f>RESUMO!$E$71</f>
        <v>SIM</v>
      </c>
      <c r="AD67" s="362" t="str">
        <f>RESUMO!$E$72</f>
        <v>SIM</v>
      </c>
      <c r="AE67" s="363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7" s="364">
        <f>MateriaisPainel[[#This Row],[UNIT CRED]]*MateriaisPainel[[#This Row],[QUANTIDADE]]</f>
        <v>0</v>
      </c>
      <c r="AG67" s="307">
        <f>MateriaisPainel[[#This Row],[TOT CRED]]</f>
        <v>0</v>
      </c>
      <c r="AH67" s="365">
        <f>IF(MateriaisPainel[[#This Row],[QUANTIDADE]]&lt;&gt;0,((MateriaisPainel[[#This Row],[TOT CUSTO]]/MateriaisPainel[[#This Row],[QUANTIDADE]])/MateriaisPainel[[#This Row],[MARK-UP]]),0)</f>
        <v>0</v>
      </c>
      <c r="AI67" s="105">
        <f>MateriaisPainel[[#This Row],[UNIT VENDA]]*MateriaisPainel[[#This Row],[QUANTIDADE]]</f>
        <v>0</v>
      </c>
      <c r="AJ67" s="105">
        <f>IFERROR(MateriaisPainel[[#This Row],[VENDA]]*(RESUMO!$F$70/RESUMO!$F$60),0)</f>
        <v>0</v>
      </c>
      <c r="AK67" s="105">
        <f>IFERROR(MateriaisPainel[[#This Row],[VENDA]]*(RESUMO!$F$73/RESUMO!$F$60),0)</f>
        <v>0</v>
      </c>
      <c r="AL67" s="234">
        <f>IF(MateriaisPainel[[#This Row],[FATURAMENTO]]="NORMAL",MateriaisPainel[[#This Row],[VENDA]],0)</f>
        <v>0</v>
      </c>
    </row>
    <row r="68" spans="1:44" s="26" customFormat="1" x14ac:dyDescent="0.35">
      <c r="A68" s="100"/>
      <c r="B68" s="104"/>
      <c r="C68" s="305"/>
      <c r="D68" s="100"/>
      <c r="E68" s="119"/>
      <c r="F68" s="119">
        <f t="shared" si="0"/>
        <v>0</v>
      </c>
      <c r="G68" s="104"/>
      <c r="H68" s="100"/>
      <c r="I68" s="101"/>
      <c r="J68" s="378"/>
      <c r="K68" s="351"/>
      <c r="L68" s="351"/>
      <c r="M68" s="390"/>
      <c r="N68" s="347">
        <f>MateriaisPainel[[#This Row],[UNIT S/IPI S/DESC]]-MateriaisPainel[[#This Row],[UNIT S/IPI S/DESC]]*MateriaisPainel[[#This Row],[DESC%]]</f>
        <v>0</v>
      </c>
      <c r="O68" s="248" t="s">
        <v>295</v>
      </c>
      <c r="P68" s="271" t="s">
        <v>155</v>
      </c>
      <c r="Q68" s="249">
        <v>1.6500000000000001E-2</v>
      </c>
      <c r="R68" s="249">
        <v>7.5999999999999998E-2</v>
      </c>
      <c r="S68" s="107">
        <f>MateriaisPainel[[#This Row],[UNIT S/ IP + DIF ICMS]]*MateriaisPainel[[#This Row],[QUANTIDADE]]</f>
        <v>0</v>
      </c>
      <c r="T68" s="307">
        <f>MateriaisPainel[[#This Row],[TOTAL S/ IPI]]+(MateriaisPainel[[#This Row],[TOTAL S/ IPI]]*MateriaisPainel[[#This Row],[IPI %]])</f>
        <v>0</v>
      </c>
      <c r="U68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8" s="308">
        <f>MateriaisPainel[[#This Row],[UNIT S/ IPI C/DESC]]*MateriaisPainel[[#This Row],[ICMS %]]</f>
        <v>0</v>
      </c>
      <c r="W68" s="308">
        <f>(MateriaisPainel[[#This Row],[PIS]]*MateriaisPainel[[#This Row],[UNIT S/ IPI C/DESC]])/2</f>
        <v>0</v>
      </c>
      <c r="X68" s="308">
        <f>(MateriaisPainel[[#This Row],[COFINS]]*MateriaisPainel[[#This Row],[UNIT S/ IPI C/DESC]])/2</f>
        <v>0</v>
      </c>
      <c r="Y68" s="308">
        <f>MateriaisPainel[[#This Row],[ICMS $]]*MateriaisPainel[[#This Row],[QUANTIDADE]]</f>
        <v>0</v>
      </c>
      <c r="Z68" s="309">
        <f>MateriaisPainel[[#This Row],[UNIT S/ IPI C/DESC]]+MateriaisPainel[[#This Row],[DIFERENCIAL ICMS]]</f>
        <v>0</v>
      </c>
      <c r="AA68" s="307">
        <f>MateriaisPainel[[#This Row],[UNIT S/ IP + DIF ICMS]]+(MateriaisPainel[[#This Row],[UNIT S/ IP + DIF ICMS]]*MateriaisPainel[[#This Row],[IPI %]])</f>
        <v>0</v>
      </c>
      <c r="AB68" s="361">
        <f>_xlfn.XLOOKUP(MateriaisPainel[[#This Row],[FATURAMENTO]],BASE!$U$48:$U$50,BASE!$W$48:$W$50,0,0,1)</f>
        <v>0.79709863947533133</v>
      </c>
      <c r="AC68" s="362" t="str">
        <f>RESUMO!$E$71</f>
        <v>SIM</v>
      </c>
      <c r="AD68" s="362" t="str">
        <f>RESUMO!$E$72</f>
        <v>SIM</v>
      </c>
      <c r="AE68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8" s="364">
        <f>MateriaisPainel[[#This Row],[UNIT CRED]]*MateriaisPainel[[#This Row],[QUANTIDADE]]</f>
        <v>0</v>
      </c>
      <c r="AG68" s="307">
        <f>MateriaisPainel[[#This Row],[TOT CRED]]</f>
        <v>0</v>
      </c>
      <c r="AH68" s="365">
        <f>IF(MateriaisPainel[[#This Row],[QUANTIDADE]]&lt;&gt;0,((MateriaisPainel[[#This Row],[TOT CUSTO]]/MateriaisPainel[[#This Row],[QUANTIDADE]])/MateriaisPainel[[#This Row],[MARK-UP]]),0)</f>
        <v>0</v>
      </c>
      <c r="AI68" s="105">
        <f>MateriaisPainel[[#This Row],[UNIT VENDA]]*MateriaisPainel[[#This Row],[QUANTIDADE]]</f>
        <v>0</v>
      </c>
      <c r="AJ68" s="105">
        <f>IFERROR(MateriaisPainel[[#This Row],[VENDA]]*(RESUMO!$F$70/RESUMO!$F$60),0)</f>
        <v>0</v>
      </c>
      <c r="AK68" s="105">
        <f>IFERROR(MateriaisPainel[[#This Row],[VENDA]]*(RESUMO!$F$73/RESUMO!$F$60),0)</f>
        <v>0</v>
      </c>
      <c r="AL68" s="340">
        <f>IF(MateriaisPainel[[#This Row],[FATURAMENTO]]="NORMAL",MateriaisPainel[[#This Row],[VENDA]],0)</f>
        <v>0</v>
      </c>
      <c r="AP68" s="267"/>
      <c r="AQ68" s="267"/>
      <c r="AR68" s="267"/>
    </row>
    <row r="69" spans="1:44" x14ac:dyDescent="0.25">
      <c r="A69" s="100"/>
      <c r="B69" s="104"/>
      <c r="C69" s="305"/>
      <c r="D69" s="100"/>
      <c r="E69" s="119"/>
      <c r="F69" s="119">
        <f t="shared" si="0"/>
        <v>0</v>
      </c>
      <c r="G69" s="104"/>
      <c r="H69" s="100"/>
      <c r="I69" s="101"/>
      <c r="J69" s="378"/>
      <c r="K69" s="351"/>
      <c r="L69" s="351"/>
      <c r="M69" s="390"/>
      <c r="N69" s="347">
        <f>MateriaisPainel[[#This Row],[UNIT S/IPI S/DESC]]-MateriaisPainel[[#This Row],[UNIT S/IPI S/DESC]]*MateriaisPainel[[#This Row],[DESC%]]</f>
        <v>0</v>
      </c>
      <c r="O69" s="248" t="s">
        <v>295</v>
      </c>
      <c r="P69" s="271" t="s">
        <v>155</v>
      </c>
      <c r="Q69" s="249">
        <v>1.6500000000000001E-2</v>
      </c>
      <c r="R69" s="249">
        <v>7.5999999999999998E-2</v>
      </c>
      <c r="S69" s="107">
        <f>MateriaisPainel[[#This Row],[UNIT S/ IP + DIF ICMS]]*MateriaisPainel[[#This Row],[QUANTIDADE]]</f>
        <v>0</v>
      </c>
      <c r="T69" s="307">
        <f>MateriaisPainel[[#This Row],[TOTAL S/ IPI]]+(MateriaisPainel[[#This Row],[TOTAL S/ IPI]]*MateriaisPainel[[#This Row],[IPI %]])</f>
        <v>0</v>
      </c>
      <c r="U69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69" s="308">
        <f>MateriaisPainel[[#This Row],[UNIT S/ IPI C/DESC]]*MateriaisPainel[[#This Row],[ICMS %]]</f>
        <v>0</v>
      </c>
      <c r="W69" s="308">
        <f>(MateriaisPainel[[#This Row],[PIS]]*MateriaisPainel[[#This Row],[UNIT S/ IPI C/DESC]])/2</f>
        <v>0</v>
      </c>
      <c r="X69" s="308">
        <f>(MateriaisPainel[[#This Row],[COFINS]]*MateriaisPainel[[#This Row],[UNIT S/ IPI C/DESC]])/2</f>
        <v>0</v>
      </c>
      <c r="Y69" s="308">
        <f>MateriaisPainel[[#This Row],[ICMS $]]*MateriaisPainel[[#This Row],[QUANTIDADE]]</f>
        <v>0</v>
      </c>
      <c r="Z69" s="309">
        <f>MateriaisPainel[[#This Row],[UNIT S/ IPI C/DESC]]+MateriaisPainel[[#This Row],[DIFERENCIAL ICMS]]</f>
        <v>0</v>
      </c>
      <c r="AA69" s="307">
        <f>MateriaisPainel[[#This Row],[UNIT S/ IP + DIF ICMS]]+(MateriaisPainel[[#This Row],[UNIT S/ IP + DIF ICMS]]*MateriaisPainel[[#This Row],[IPI %]])</f>
        <v>0</v>
      </c>
      <c r="AB69" s="361">
        <f>_xlfn.XLOOKUP(MateriaisPainel[[#This Row],[FATURAMENTO]],BASE!$U$48:$U$50,BASE!$W$48:$W$50,0,0,1)</f>
        <v>0.79709863947533133</v>
      </c>
      <c r="AC69" s="362" t="str">
        <f>RESUMO!$E$71</f>
        <v>SIM</v>
      </c>
      <c r="AD69" s="362" t="str">
        <f>RESUMO!$E$72</f>
        <v>SIM</v>
      </c>
      <c r="AE69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69" s="364">
        <f>MateriaisPainel[[#This Row],[UNIT CRED]]*MateriaisPainel[[#This Row],[QUANTIDADE]]</f>
        <v>0</v>
      </c>
      <c r="AG69" s="307">
        <f>MateriaisPainel[[#This Row],[TOT CRED]]</f>
        <v>0</v>
      </c>
      <c r="AH69" s="365">
        <f>IF(MateriaisPainel[[#This Row],[QUANTIDADE]]&lt;&gt;0,((MateriaisPainel[[#This Row],[TOT CUSTO]]/MateriaisPainel[[#This Row],[QUANTIDADE]])/MateriaisPainel[[#This Row],[MARK-UP]]),0)</f>
        <v>0</v>
      </c>
      <c r="AI69" s="105">
        <f>MateriaisPainel[[#This Row],[UNIT VENDA]]*MateriaisPainel[[#This Row],[QUANTIDADE]]</f>
        <v>0</v>
      </c>
      <c r="AJ69" s="105">
        <f>IFERROR(MateriaisPainel[[#This Row],[VENDA]]*(RESUMO!$F$70/RESUMO!$F$60),0)</f>
        <v>0</v>
      </c>
      <c r="AK69" s="105">
        <f>IFERROR(MateriaisPainel[[#This Row],[VENDA]]*(RESUMO!$F$73/RESUMO!$F$60),0)</f>
        <v>0</v>
      </c>
      <c r="AL69" s="340">
        <f>IF(MateriaisPainel[[#This Row],[FATURAMENTO]]="NORMAL",MateriaisPainel[[#This Row],[VENDA]],0)</f>
        <v>0</v>
      </c>
      <c r="AM69" s="27"/>
    </row>
    <row r="70" spans="1:44" x14ac:dyDescent="0.25">
      <c r="A70" s="100"/>
      <c r="B70" s="104"/>
      <c r="C70" s="305"/>
      <c r="D70" s="100"/>
      <c r="E70" s="119"/>
      <c r="F70" s="119">
        <f t="shared" si="0"/>
        <v>0</v>
      </c>
      <c r="G70" s="104"/>
      <c r="H70" s="100"/>
      <c r="I70" s="101"/>
      <c r="J70" s="378"/>
      <c r="K70" s="351"/>
      <c r="L70" s="351"/>
      <c r="M70" s="390"/>
      <c r="N70" s="347">
        <f>MateriaisPainel[[#This Row],[UNIT S/IPI S/DESC]]-MateriaisPainel[[#This Row],[UNIT S/IPI S/DESC]]*MateriaisPainel[[#This Row],[DESC%]]</f>
        <v>0</v>
      </c>
      <c r="O70" s="248" t="s">
        <v>295</v>
      </c>
      <c r="P70" s="271" t="s">
        <v>155</v>
      </c>
      <c r="Q70" s="249">
        <v>1.6500000000000001E-2</v>
      </c>
      <c r="R70" s="249">
        <v>7.5999999999999998E-2</v>
      </c>
      <c r="S70" s="107">
        <f>MateriaisPainel[[#This Row],[UNIT S/ IP + DIF ICMS]]*MateriaisPainel[[#This Row],[QUANTIDADE]]</f>
        <v>0</v>
      </c>
      <c r="T70" s="307">
        <f>MateriaisPainel[[#This Row],[TOTAL S/ IPI]]+(MateriaisPainel[[#This Row],[TOTAL S/ IPI]]*MateriaisPainel[[#This Row],[IPI %]])</f>
        <v>0</v>
      </c>
      <c r="U70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0" s="308">
        <f>MateriaisPainel[[#This Row],[UNIT S/ IPI C/DESC]]*MateriaisPainel[[#This Row],[ICMS %]]</f>
        <v>0</v>
      </c>
      <c r="W70" s="308">
        <f>(MateriaisPainel[[#This Row],[PIS]]*MateriaisPainel[[#This Row],[UNIT S/ IPI C/DESC]])/2</f>
        <v>0</v>
      </c>
      <c r="X70" s="308">
        <f>(MateriaisPainel[[#This Row],[COFINS]]*MateriaisPainel[[#This Row],[UNIT S/ IPI C/DESC]])/2</f>
        <v>0</v>
      </c>
      <c r="Y70" s="308">
        <f>MateriaisPainel[[#This Row],[ICMS $]]*MateriaisPainel[[#This Row],[QUANTIDADE]]</f>
        <v>0</v>
      </c>
      <c r="Z70" s="309">
        <f>MateriaisPainel[[#This Row],[UNIT S/ IPI C/DESC]]+MateriaisPainel[[#This Row],[DIFERENCIAL ICMS]]</f>
        <v>0</v>
      </c>
      <c r="AA70" s="307">
        <f>MateriaisPainel[[#This Row],[UNIT S/ IP + DIF ICMS]]+(MateriaisPainel[[#This Row],[UNIT S/ IP + DIF ICMS]]*MateriaisPainel[[#This Row],[IPI %]])</f>
        <v>0</v>
      </c>
      <c r="AB70" s="361">
        <f>_xlfn.XLOOKUP(MateriaisPainel[[#This Row],[FATURAMENTO]],BASE!$U$48:$U$50,BASE!$W$48:$W$50,0,0,1)</f>
        <v>0.79709863947533133</v>
      </c>
      <c r="AC70" s="362" t="str">
        <f>RESUMO!$E$71</f>
        <v>SIM</v>
      </c>
      <c r="AD70" s="362" t="str">
        <f>RESUMO!$E$72</f>
        <v>SIM</v>
      </c>
      <c r="AE70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0" s="364">
        <f>MateriaisPainel[[#This Row],[UNIT CRED]]*MateriaisPainel[[#This Row],[QUANTIDADE]]</f>
        <v>0</v>
      </c>
      <c r="AG70" s="307">
        <f>MateriaisPainel[[#This Row],[TOT CRED]]</f>
        <v>0</v>
      </c>
      <c r="AH70" s="365">
        <f>IF(MateriaisPainel[[#This Row],[QUANTIDADE]]&lt;&gt;0,((MateriaisPainel[[#This Row],[TOT CUSTO]]/MateriaisPainel[[#This Row],[QUANTIDADE]])/MateriaisPainel[[#This Row],[MARK-UP]]),0)</f>
        <v>0</v>
      </c>
      <c r="AI70" s="105">
        <f>MateriaisPainel[[#This Row],[UNIT VENDA]]*MateriaisPainel[[#This Row],[QUANTIDADE]]</f>
        <v>0</v>
      </c>
      <c r="AJ70" s="105">
        <f>IFERROR(MateriaisPainel[[#This Row],[VENDA]]*(RESUMO!$F$70/RESUMO!$F$60),0)</f>
        <v>0</v>
      </c>
      <c r="AK70" s="105">
        <f>IFERROR(MateriaisPainel[[#This Row],[VENDA]]*(RESUMO!$F$73/RESUMO!$F$60),0)</f>
        <v>0</v>
      </c>
      <c r="AL70" s="340">
        <f>IF(MateriaisPainel[[#This Row],[FATURAMENTO]]="NORMAL",MateriaisPainel[[#This Row],[VENDA]],0)</f>
        <v>0</v>
      </c>
      <c r="AM70" s="27"/>
    </row>
    <row r="71" spans="1:44" x14ac:dyDescent="0.25">
      <c r="A71" s="100"/>
      <c r="B71" s="104"/>
      <c r="C71" s="305"/>
      <c r="D71" s="100"/>
      <c r="E71" s="119"/>
      <c r="F71" s="119">
        <f t="shared" si="0"/>
        <v>0</v>
      </c>
      <c r="G71" s="104"/>
      <c r="H71" s="100"/>
      <c r="I71" s="101"/>
      <c r="J71" s="378"/>
      <c r="K71" s="351"/>
      <c r="L71" s="351"/>
      <c r="M71" s="390"/>
      <c r="N71" s="347">
        <f>MateriaisPainel[[#This Row],[UNIT S/IPI S/DESC]]-MateriaisPainel[[#This Row],[UNIT S/IPI S/DESC]]*MateriaisPainel[[#This Row],[DESC%]]</f>
        <v>0</v>
      </c>
      <c r="O71" s="248" t="s">
        <v>295</v>
      </c>
      <c r="P71" s="271" t="s">
        <v>155</v>
      </c>
      <c r="Q71" s="249">
        <v>1.6500000000000001E-2</v>
      </c>
      <c r="R71" s="249">
        <v>7.5999999999999998E-2</v>
      </c>
      <c r="S71" s="107">
        <f>MateriaisPainel[[#This Row],[UNIT S/ IP + DIF ICMS]]*MateriaisPainel[[#This Row],[QUANTIDADE]]</f>
        <v>0</v>
      </c>
      <c r="T71" s="307">
        <f>MateriaisPainel[[#This Row],[TOTAL S/ IPI]]+(MateriaisPainel[[#This Row],[TOTAL S/ IPI]]*MateriaisPainel[[#This Row],[IPI %]])</f>
        <v>0</v>
      </c>
      <c r="U71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1" s="308">
        <f>MateriaisPainel[[#This Row],[UNIT S/ IPI C/DESC]]*MateriaisPainel[[#This Row],[ICMS %]]</f>
        <v>0</v>
      </c>
      <c r="W71" s="308">
        <f>(MateriaisPainel[[#This Row],[PIS]]*MateriaisPainel[[#This Row],[UNIT S/ IPI C/DESC]])/2</f>
        <v>0</v>
      </c>
      <c r="X71" s="308">
        <f>(MateriaisPainel[[#This Row],[COFINS]]*MateriaisPainel[[#This Row],[UNIT S/ IPI C/DESC]])/2</f>
        <v>0</v>
      </c>
      <c r="Y71" s="308">
        <f>MateriaisPainel[[#This Row],[ICMS $]]*MateriaisPainel[[#This Row],[QUANTIDADE]]</f>
        <v>0</v>
      </c>
      <c r="Z71" s="309">
        <f>MateriaisPainel[[#This Row],[UNIT S/ IPI C/DESC]]+MateriaisPainel[[#This Row],[DIFERENCIAL ICMS]]</f>
        <v>0</v>
      </c>
      <c r="AA71" s="307">
        <f>MateriaisPainel[[#This Row],[UNIT S/ IP + DIF ICMS]]+(MateriaisPainel[[#This Row],[UNIT S/ IP + DIF ICMS]]*MateriaisPainel[[#This Row],[IPI %]])</f>
        <v>0</v>
      </c>
      <c r="AB71" s="361">
        <f>_xlfn.XLOOKUP(MateriaisPainel[[#This Row],[FATURAMENTO]],BASE!$U$48:$U$50,BASE!$W$48:$W$50,0,0,1)</f>
        <v>0.79709863947533133</v>
      </c>
      <c r="AC71" s="362" t="str">
        <f>RESUMO!$E$71</f>
        <v>SIM</v>
      </c>
      <c r="AD71" s="362" t="str">
        <f>RESUMO!$E$72</f>
        <v>SIM</v>
      </c>
      <c r="AE71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1" s="364">
        <f>MateriaisPainel[[#This Row],[UNIT CRED]]*MateriaisPainel[[#This Row],[QUANTIDADE]]</f>
        <v>0</v>
      </c>
      <c r="AG71" s="307">
        <f>MateriaisPainel[[#This Row],[TOT CRED]]</f>
        <v>0</v>
      </c>
      <c r="AH71" s="365">
        <f>IF(MateriaisPainel[[#This Row],[QUANTIDADE]]&lt;&gt;0,((MateriaisPainel[[#This Row],[TOT CUSTO]]/MateriaisPainel[[#This Row],[QUANTIDADE]])/MateriaisPainel[[#This Row],[MARK-UP]]),0)</f>
        <v>0</v>
      </c>
      <c r="AI71" s="105">
        <f>MateriaisPainel[[#This Row],[UNIT VENDA]]*MateriaisPainel[[#This Row],[QUANTIDADE]]</f>
        <v>0</v>
      </c>
      <c r="AJ71" s="105">
        <f>IFERROR(MateriaisPainel[[#This Row],[VENDA]]*(RESUMO!$F$70/RESUMO!$F$60),0)</f>
        <v>0</v>
      </c>
      <c r="AK71" s="105">
        <f>IFERROR(MateriaisPainel[[#This Row],[VENDA]]*(RESUMO!$F$73/RESUMO!$F$60),0)</f>
        <v>0</v>
      </c>
      <c r="AL71" s="340">
        <f>IF(MateriaisPainel[[#This Row],[FATURAMENTO]]="NORMAL",MateriaisPainel[[#This Row],[VENDA]],0)</f>
        <v>0</v>
      </c>
      <c r="AM71" s="27"/>
    </row>
    <row r="72" spans="1:44" x14ac:dyDescent="0.25">
      <c r="A72" s="100"/>
      <c r="B72" s="104"/>
      <c r="C72" s="305"/>
      <c r="D72" s="100"/>
      <c r="E72" s="119"/>
      <c r="F72" s="119">
        <f t="shared" si="0"/>
        <v>0</v>
      </c>
      <c r="G72" s="104"/>
      <c r="H72" s="100"/>
      <c r="I72" s="101"/>
      <c r="J72" s="378"/>
      <c r="K72" s="351"/>
      <c r="L72" s="351"/>
      <c r="M72" s="390"/>
      <c r="N72" s="347">
        <f>MateriaisPainel[[#This Row],[UNIT S/IPI S/DESC]]-MateriaisPainel[[#This Row],[UNIT S/IPI S/DESC]]*MateriaisPainel[[#This Row],[DESC%]]</f>
        <v>0</v>
      </c>
      <c r="O72" s="248" t="s">
        <v>295</v>
      </c>
      <c r="P72" s="271" t="s">
        <v>155</v>
      </c>
      <c r="Q72" s="249">
        <v>1.6500000000000001E-2</v>
      </c>
      <c r="R72" s="249">
        <v>7.5999999999999998E-2</v>
      </c>
      <c r="S72" s="107">
        <f>MateriaisPainel[[#This Row],[UNIT S/ IP + DIF ICMS]]*MateriaisPainel[[#This Row],[QUANTIDADE]]</f>
        <v>0</v>
      </c>
      <c r="T72" s="307">
        <f>MateriaisPainel[[#This Row],[TOTAL S/ IPI]]+(MateriaisPainel[[#This Row],[TOTAL S/ IPI]]*MateriaisPainel[[#This Row],[IPI %]])</f>
        <v>0</v>
      </c>
      <c r="U72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2" s="308">
        <f>MateriaisPainel[[#This Row],[UNIT S/ IPI C/DESC]]*MateriaisPainel[[#This Row],[ICMS %]]</f>
        <v>0</v>
      </c>
      <c r="W72" s="308">
        <f>(MateriaisPainel[[#This Row],[PIS]]*MateriaisPainel[[#This Row],[UNIT S/ IPI C/DESC]])/2</f>
        <v>0</v>
      </c>
      <c r="X72" s="308">
        <f>(MateriaisPainel[[#This Row],[COFINS]]*MateriaisPainel[[#This Row],[UNIT S/ IPI C/DESC]])/2</f>
        <v>0</v>
      </c>
      <c r="Y72" s="308">
        <f>MateriaisPainel[[#This Row],[ICMS $]]*MateriaisPainel[[#This Row],[QUANTIDADE]]</f>
        <v>0</v>
      </c>
      <c r="Z72" s="309">
        <f>MateriaisPainel[[#This Row],[UNIT S/ IPI C/DESC]]+MateriaisPainel[[#This Row],[DIFERENCIAL ICMS]]</f>
        <v>0</v>
      </c>
      <c r="AA72" s="307">
        <f>MateriaisPainel[[#This Row],[UNIT S/ IP + DIF ICMS]]+(MateriaisPainel[[#This Row],[UNIT S/ IP + DIF ICMS]]*MateriaisPainel[[#This Row],[IPI %]])</f>
        <v>0</v>
      </c>
      <c r="AB72" s="361">
        <f>_xlfn.XLOOKUP(MateriaisPainel[[#This Row],[FATURAMENTO]],BASE!$U$48:$U$50,BASE!$W$48:$W$50,0,0,1)</f>
        <v>0.79709863947533133</v>
      </c>
      <c r="AC72" s="362" t="str">
        <f>RESUMO!$E$71</f>
        <v>SIM</v>
      </c>
      <c r="AD72" s="362" t="str">
        <f>RESUMO!$E$72</f>
        <v>SIM</v>
      </c>
      <c r="AE72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2" s="364">
        <f>MateriaisPainel[[#This Row],[UNIT CRED]]*MateriaisPainel[[#This Row],[QUANTIDADE]]</f>
        <v>0</v>
      </c>
      <c r="AG72" s="307">
        <f>MateriaisPainel[[#This Row],[TOT CRED]]</f>
        <v>0</v>
      </c>
      <c r="AH72" s="365">
        <f>IF(MateriaisPainel[[#This Row],[QUANTIDADE]]&lt;&gt;0,((MateriaisPainel[[#This Row],[TOT CUSTO]]/MateriaisPainel[[#This Row],[QUANTIDADE]])/MateriaisPainel[[#This Row],[MARK-UP]]),0)</f>
        <v>0</v>
      </c>
      <c r="AI72" s="105">
        <f>MateriaisPainel[[#This Row],[UNIT VENDA]]*MateriaisPainel[[#This Row],[QUANTIDADE]]</f>
        <v>0</v>
      </c>
      <c r="AJ72" s="105">
        <f>IFERROR(MateriaisPainel[[#This Row],[VENDA]]*(RESUMO!$F$70/RESUMO!$F$60),0)</f>
        <v>0</v>
      </c>
      <c r="AK72" s="105">
        <f>IFERROR(MateriaisPainel[[#This Row],[VENDA]]*(RESUMO!$F$73/RESUMO!$F$60),0)</f>
        <v>0</v>
      </c>
      <c r="AL72" s="340">
        <f>IF(MateriaisPainel[[#This Row],[FATURAMENTO]]="NORMAL",MateriaisPainel[[#This Row],[VENDA]],0)</f>
        <v>0</v>
      </c>
      <c r="AM72" s="27"/>
    </row>
    <row r="73" spans="1:44" x14ac:dyDescent="0.25">
      <c r="A73" s="100"/>
      <c r="B73" s="104"/>
      <c r="C73" s="305"/>
      <c r="D73" s="100"/>
      <c r="E73" s="119"/>
      <c r="F73" s="119">
        <f t="shared" si="0"/>
        <v>0</v>
      </c>
      <c r="G73" s="104"/>
      <c r="H73" s="100"/>
      <c r="I73" s="101"/>
      <c r="J73" s="378"/>
      <c r="K73" s="351"/>
      <c r="L73" s="351"/>
      <c r="M73" s="390"/>
      <c r="N73" s="347">
        <f>MateriaisPainel[[#This Row],[UNIT S/IPI S/DESC]]-MateriaisPainel[[#This Row],[UNIT S/IPI S/DESC]]*MateriaisPainel[[#This Row],[DESC%]]</f>
        <v>0</v>
      </c>
      <c r="O73" s="248" t="s">
        <v>295</v>
      </c>
      <c r="P73" s="271" t="s">
        <v>155</v>
      </c>
      <c r="Q73" s="249">
        <v>1.6500000000000001E-2</v>
      </c>
      <c r="R73" s="249">
        <v>7.5999999999999998E-2</v>
      </c>
      <c r="S73" s="107">
        <f>MateriaisPainel[[#This Row],[UNIT S/ IP + DIF ICMS]]*MateriaisPainel[[#This Row],[QUANTIDADE]]</f>
        <v>0</v>
      </c>
      <c r="T73" s="307">
        <f>MateriaisPainel[[#This Row],[TOTAL S/ IPI]]+(MateriaisPainel[[#This Row],[TOTAL S/ IPI]]*MateriaisPainel[[#This Row],[IPI %]])</f>
        <v>0</v>
      </c>
      <c r="U73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3" s="308">
        <f>MateriaisPainel[[#This Row],[UNIT S/ IPI C/DESC]]*MateriaisPainel[[#This Row],[ICMS %]]</f>
        <v>0</v>
      </c>
      <c r="W73" s="308">
        <f>(MateriaisPainel[[#This Row],[PIS]]*MateriaisPainel[[#This Row],[UNIT S/ IPI C/DESC]])/2</f>
        <v>0</v>
      </c>
      <c r="X73" s="308">
        <f>(MateriaisPainel[[#This Row],[COFINS]]*MateriaisPainel[[#This Row],[UNIT S/ IPI C/DESC]])/2</f>
        <v>0</v>
      </c>
      <c r="Y73" s="308">
        <f>MateriaisPainel[[#This Row],[ICMS $]]*MateriaisPainel[[#This Row],[QUANTIDADE]]</f>
        <v>0</v>
      </c>
      <c r="Z73" s="309">
        <f>MateriaisPainel[[#This Row],[UNIT S/ IPI C/DESC]]+MateriaisPainel[[#This Row],[DIFERENCIAL ICMS]]</f>
        <v>0</v>
      </c>
      <c r="AA73" s="307">
        <f>MateriaisPainel[[#This Row],[UNIT S/ IP + DIF ICMS]]+(MateriaisPainel[[#This Row],[UNIT S/ IP + DIF ICMS]]*MateriaisPainel[[#This Row],[IPI %]])</f>
        <v>0</v>
      </c>
      <c r="AB73" s="361">
        <f>_xlfn.XLOOKUP(MateriaisPainel[[#This Row],[FATURAMENTO]],BASE!$U$48:$U$50,BASE!$W$48:$W$50,0,0,1)</f>
        <v>0.79709863947533133</v>
      </c>
      <c r="AC73" s="362" t="str">
        <f>RESUMO!$E$71</f>
        <v>SIM</v>
      </c>
      <c r="AD73" s="362" t="str">
        <f>RESUMO!$E$72</f>
        <v>SIM</v>
      </c>
      <c r="AE73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3" s="364">
        <f>MateriaisPainel[[#This Row],[UNIT CRED]]*MateriaisPainel[[#This Row],[QUANTIDADE]]</f>
        <v>0</v>
      </c>
      <c r="AG73" s="307">
        <f>MateriaisPainel[[#This Row],[TOT CRED]]</f>
        <v>0</v>
      </c>
      <c r="AH73" s="365">
        <f>IF(MateriaisPainel[[#This Row],[QUANTIDADE]]&lt;&gt;0,((MateriaisPainel[[#This Row],[TOT CUSTO]]/MateriaisPainel[[#This Row],[QUANTIDADE]])/MateriaisPainel[[#This Row],[MARK-UP]]),0)</f>
        <v>0</v>
      </c>
      <c r="AI73" s="105">
        <f>MateriaisPainel[[#This Row],[UNIT VENDA]]*MateriaisPainel[[#This Row],[QUANTIDADE]]</f>
        <v>0</v>
      </c>
      <c r="AJ73" s="105">
        <f>IFERROR(MateriaisPainel[[#This Row],[VENDA]]*(RESUMO!$F$70/RESUMO!$F$60),0)</f>
        <v>0</v>
      </c>
      <c r="AK73" s="105">
        <f>IFERROR(MateriaisPainel[[#This Row],[VENDA]]*(RESUMO!$F$73/RESUMO!$F$60),0)</f>
        <v>0</v>
      </c>
      <c r="AL73" s="340">
        <f>IF(MateriaisPainel[[#This Row],[FATURAMENTO]]="NORMAL",MateriaisPainel[[#This Row],[VENDA]],0)</f>
        <v>0</v>
      </c>
    </row>
    <row r="74" spans="1:44" x14ac:dyDescent="0.25">
      <c r="A74" s="100"/>
      <c r="B74" s="104"/>
      <c r="C74" s="305"/>
      <c r="D74" s="100"/>
      <c r="E74" s="119"/>
      <c r="F74" s="119">
        <f t="shared" si="0"/>
        <v>0</v>
      </c>
      <c r="G74" s="104"/>
      <c r="H74" s="100"/>
      <c r="I74" s="101"/>
      <c r="J74" s="378"/>
      <c r="K74" s="351"/>
      <c r="L74" s="351"/>
      <c r="M74" s="390"/>
      <c r="N74" s="347">
        <f>MateriaisPainel[[#This Row],[UNIT S/IPI S/DESC]]-MateriaisPainel[[#This Row],[UNIT S/IPI S/DESC]]*MateriaisPainel[[#This Row],[DESC%]]</f>
        <v>0</v>
      </c>
      <c r="O74" s="248" t="s">
        <v>295</v>
      </c>
      <c r="P74" s="271" t="s">
        <v>155</v>
      </c>
      <c r="Q74" s="249">
        <v>1.6500000000000001E-2</v>
      </c>
      <c r="R74" s="249">
        <v>7.5999999999999998E-2</v>
      </c>
      <c r="S74" s="107">
        <f>MateriaisPainel[[#This Row],[UNIT S/ IP + DIF ICMS]]*MateriaisPainel[[#This Row],[QUANTIDADE]]</f>
        <v>0</v>
      </c>
      <c r="T74" s="307">
        <f>MateriaisPainel[[#This Row],[TOTAL S/ IPI]]+(MateriaisPainel[[#This Row],[TOTAL S/ IPI]]*MateriaisPainel[[#This Row],[IPI %]])</f>
        <v>0</v>
      </c>
      <c r="U74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4" s="308">
        <f>MateriaisPainel[[#This Row],[UNIT S/ IPI C/DESC]]*MateriaisPainel[[#This Row],[ICMS %]]</f>
        <v>0</v>
      </c>
      <c r="W74" s="308">
        <f>(MateriaisPainel[[#This Row],[PIS]]*MateriaisPainel[[#This Row],[UNIT S/ IPI C/DESC]])/2</f>
        <v>0</v>
      </c>
      <c r="X74" s="308">
        <f>(MateriaisPainel[[#This Row],[COFINS]]*MateriaisPainel[[#This Row],[UNIT S/ IPI C/DESC]])/2</f>
        <v>0</v>
      </c>
      <c r="Y74" s="308">
        <f>MateriaisPainel[[#This Row],[ICMS $]]*MateriaisPainel[[#This Row],[QUANTIDADE]]</f>
        <v>0</v>
      </c>
      <c r="Z74" s="309">
        <f>MateriaisPainel[[#This Row],[UNIT S/ IPI C/DESC]]+MateriaisPainel[[#This Row],[DIFERENCIAL ICMS]]</f>
        <v>0</v>
      </c>
      <c r="AA74" s="307">
        <f>MateriaisPainel[[#This Row],[UNIT S/ IP + DIF ICMS]]+(MateriaisPainel[[#This Row],[UNIT S/ IP + DIF ICMS]]*MateriaisPainel[[#This Row],[IPI %]])</f>
        <v>0</v>
      </c>
      <c r="AB74" s="361">
        <f>_xlfn.XLOOKUP(MateriaisPainel[[#This Row],[FATURAMENTO]],BASE!$U$48:$U$50,BASE!$W$48:$W$50,0,0,1)</f>
        <v>0.79709863947533133</v>
      </c>
      <c r="AC74" s="362" t="str">
        <f>RESUMO!$E$71</f>
        <v>SIM</v>
      </c>
      <c r="AD74" s="362" t="str">
        <f>RESUMO!$E$72</f>
        <v>SIM</v>
      </c>
      <c r="AE74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4" s="364">
        <f>MateriaisPainel[[#This Row],[UNIT CRED]]*MateriaisPainel[[#This Row],[QUANTIDADE]]</f>
        <v>0</v>
      </c>
      <c r="AG74" s="307">
        <f>MateriaisPainel[[#This Row],[TOT CRED]]</f>
        <v>0</v>
      </c>
      <c r="AH74" s="365">
        <f>IF(MateriaisPainel[[#This Row],[QUANTIDADE]]&lt;&gt;0,((MateriaisPainel[[#This Row],[TOT CUSTO]]/MateriaisPainel[[#This Row],[QUANTIDADE]])/MateriaisPainel[[#This Row],[MARK-UP]]),0)</f>
        <v>0</v>
      </c>
      <c r="AI74" s="105">
        <f>MateriaisPainel[[#This Row],[UNIT VENDA]]*MateriaisPainel[[#This Row],[QUANTIDADE]]</f>
        <v>0</v>
      </c>
      <c r="AJ74" s="105">
        <f>IFERROR(MateriaisPainel[[#This Row],[VENDA]]*(RESUMO!$F$70/RESUMO!$F$60),0)</f>
        <v>0</v>
      </c>
      <c r="AK74" s="105">
        <f>IFERROR(MateriaisPainel[[#This Row],[VENDA]]*(RESUMO!$F$73/RESUMO!$F$60),0)</f>
        <v>0</v>
      </c>
      <c r="AL74" s="340">
        <f>IF(MateriaisPainel[[#This Row],[FATURAMENTO]]="NORMAL",MateriaisPainel[[#This Row],[VENDA]],0)</f>
        <v>0</v>
      </c>
    </row>
    <row r="75" spans="1:44" x14ac:dyDescent="0.25">
      <c r="A75" s="100"/>
      <c r="B75" s="104"/>
      <c r="C75" s="305"/>
      <c r="D75" s="100"/>
      <c r="E75" s="119"/>
      <c r="F75" s="119">
        <f t="shared" si="0"/>
        <v>0</v>
      </c>
      <c r="G75" s="104"/>
      <c r="H75" s="100"/>
      <c r="I75" s="101"/>
      <c r="J75" s="378"/>
      <c r="K75" s="351"/>
      <c r="L75" s="351"/>
      <c r="M75" s="390"/>
      <c r="N75" s="347">
        <f>MateriaisPainel[[#This Row],[UNIT S/IPI S/DESC]]-MateriaisPainel[[#This Row],[UNIT S/IPI S/DESC]]*MateriaisPainel[[#This Row],[DESC%]]</f>
        <v>0</v>
      </c>
      <c r="O75" s="248" t="s">
        <v>295</v>
      </c>
      <c r="P75" s="271" t="s">
        <v>155</v>
      </c>
      <c r="Q75" s="249">
        <v>1.6500000000000001E-2</v>
      </c>
      <c r="R75" s="249">
        <v>7.5999999999999998E-2</v>
      </c>
      <c r="S75" s="107">
        <f>MateriaisPainel[[#This Row],[UNIT S/ IP + DIF ICMS]]*MateriaisPainel[[#This Row],[QUANTIDADE]]</f>
        <v>0</v>
      </c>
      <c r="T75" s="307">
        <f>MateriaisPainel[[#This Row],[TOTAL S/ IPI]]+(MateriaisPainel[[#This Row],[TOTAL S/ IPI]]*MateriaisPainel[[#This Row],[IPI %]])</f>
        <v>0</v>
      </c>
      <c r="U75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5" s="308">
        <f>MateriaisPainel[[#This Row],[UNIT S/ IPI C/DESC]]*MateriaisPainel[[#This Row],[ICMS %]]</f>
        <v>0</v>
      </c>
      <c r="W75" s="308">
        <f>(MateriaisPainel[[#This Row],[PIS]]*MateriaisPainel[[#This Row],[UNIT S/ IPI C/DESC]])/2</f>
        <v>0</v>
      </c>
      <c r="X75" s="308">
        <f>(MateriaisPainel[[#This Row],[COFINS]]*MateriaisPainel[[#This Row],[UNIT S/ IPI C/DESC]])/2</f>
        <v>0</v>
      </c>
      <c r="Y75" s="308">
        <f>MateriaisPainel[[#This Row],[ICMS $]]*MateriaisPainel[[#This Row],[QUANTIDADE]]</f>
        <v>0</v>
      </c>
      <c r="Z75" s="309">
        <f>MateriaisPainel[[#This Row],[UNIT S/ IPI C/DESC]]+MateriaisPainel[[#This Row],[DIFERENCIAL ICMS]]</f>
        <v>0</v>
      </c>
      <c r="AA75" s="307">
        <f>MateriaisPainel[[#This Row],[UNIT S/ IP + DIF ICMS]]+(MateriaisPainel[[#This Row],[UNIT S/ IP + DIF ICMS]]*MateriaisPainel[[#This Row],[IPI %]])</f>
        <v>0</v>
      </c>
      <c r="AB75" s="361">
        <f>_xlfn.XLOOKUP(MateriaisPainel[[#This Row],[FATURAMENTO]],BASE!$U$48:$U$50,BASE!$W$48:$W$50,0,0,1)</f>
        <v>0.79709863947533133</v>
      </c>
      <c r="AC75" s="362" t="str">
        <f>RESUMO!$E$71</f>
        <v>SIM</v>
      </c>
      <c r="AD75" s="362" t="str">
        <f>RESUMO!$E$72</f>
        <v>SIM</v>
      </c>
      <c r="AE75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5" s="364">
        <f>MateriaisPainel[[#This Row],[UNIT CRED]]*MateriaisPainel[[#This Row],[QUANTIDADE]]</f>
        <v>0</v>
      </c>
      <c r="AG75" s="307">
        <f>MateriaisPainel[[#This Row],[TOT CRED]]</f>
        <v>0</v>
      </c>
      <c r="AH75" s="365">
        <f>IF(MateriaisPainel[[#This Row],[QUANTIDADE]]&lt;&gt;0,((MateriaisPainel[[#This Row],[TOT CUSTO]]/MateriaisPainel[[#This Row],[QUANTIDADE]])/MateriaisPainel[[#This Row],[MARK-UP]]),0)</f>
        <v>0</v>
      </c>
      <c r="AI75" s="105">
        <f>MateriaisPainel[[#This Row],[UNIT VENDA]]*MateriaisPainel[[#This Row],[QUANTIDADE]]</f>
        <v>0</v>
      </c>
      <c r="AJ75" s="105">
        <f>IFERROR(MateriaisPainel[[#This Row],[VENDA]]*(RESUMO!$F$70/RESUMO!$F$60),0)</f>
        <v>0</v>
      </c>
      <c r="AK75" s="105">
        <f>IFERROR(MateriaisPainel[[#This Row],[VENDA]]*(RESUMO!$F$73/RESUMO!$F$60),0)</f>
        <v>0</v>
      </c>
      <c r="AL75" s="340">
        <f>IF(MateriaisPainel[[#This Row],[FATURAMENTO]]="NORMAL",MateriaisPainel[[#This Row],[VENDA]],0)</f>
        <v>0</v>
      </c>
      <c r="AM75" s="26"/>
    </row>
    <row r="76" spans="1:44" x14ac:dyDescent="0.25">
      <c r="A76" s="100"/>
      <c r="B76" s="104"/>
      <c r="C76" s="305"/>
      <c r="D76" s="100"/>
      <c r="E76" s="119"/>
      <c r="F76" s="119">
        <f t="shared" si="0"/>
        <v>0</v>
      </c>
      <c r="G76" s="104"/>
      <c r="H76" s="100"/>
      <c r="I76" s="101"/>
      <c r="J76" s="378"/>
      <c r="K76" s="351"/>
      <c r="L76" s="351"/>
      <c r="M76" s="390"/>
      <c r="N76" s="347">
        <f>MateriaisPainel[[#This Row],[UNIT S/IPI S/DESC]]-MateriaisPainel[[#This Row],[UNIT S/IPI S/DESC]]*MateriaisPainel[[#This Row],[DESC%]]</f>
        <v>0</v>
      </c>
      <c r="O76" s="248" t="s">
        <v>295</v>
      </c>
      <c r="P76" s="271" t="s">
        <v>155</v>
      </c>
      <c r="Q76" s="249">
        <v>1.6500000000000001E-2</v>
      </c>
      <c r="R76" s="249">
        <v>7.5999999999999998E-2</v>
      </c>
      <c r="S76" s="107">
        <f>MateriaisPainel[[#This Row],[UNIT S/ IP + DIF ICMS]]*MateriaisPainel[[#This Row],[QUANTIDADE]]</f>
        <v>0</v>
      </c>
      <c r="T76" s="307">
        <f>MateriaisPainel[[#This Row],[TOTAL S/ IPI]]+(MateriaisPainel[[#This Row],[TOTAL S/ IPI]]*MateriaisPainel[[#This Row],[IPI %]])</f>
        <v>0</v>
      </c>
      <c r="U76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6" s="308">
        <f>MateriaisPainel[[#This Row],[UNIT S/ IPI C/DESC]]*MateriaisPainel[[#This Row],[ICMS %]]</f>
        <v>0</v>
      </c>
      <c r="W76" s="308">
        <f>(MateriaisPainel[[#This Row],[PIS]]*MateriaisPainel[[#This Row],[UNIT S/ IPI C/DESC]])/2</f>
        <v>0</v>
      </c>
      <c r="X76" s="308">
        <f>(MateriaisPainel[[#This Row],[COFINS]]*MateriaisPainel[[#This Row],[UNIT S/ IPI C/DESC]])/2</f>
        <v>0</v>
      </c>
      <c r="Y76" s="308">
        <f>MateriaisPainel[[#This Row],[ICMS $]]*MateriaisPainel[[#This Row],[QUANTIDADE]]</f>
        <v>0</v>
      </c>
      <c r="Z76" s="309">
        <f>MateriaisPainel[[#This Row],[UNIT S/ IPI C/DESC]]+MateriaisPainel[[#This Row],[DIFERENCIAL ICMS]]</f>
        <v>0</v>
      </c>
      <c r="AA76" s="307">
        <f>MateriaisPainel[[#This Row],[UNIT S/ IP + DIF ICMS]]+(MateriaisPainel[[#This Row],[UNIT S/ IP + DIF ICMS]]*MateriaisPainel[[#This Row],[IPI %]])</f>
        <v>0</v>
      </c>
      <c r="AB76" s="361">
        <f>_xlfn.XLOOKUP(MateriaisPainel[[#This Row],[FATURAMENTO]],BASE!$U$48:$U$50,BASE!$W$48:$W$50,0,0,1)</f>
        <v>0.79709863947533133</v>
      </c>
      <c r="AC76" s="362" t="str">
        <f>RESUMO!$E$71</f>
        <v>SIM</v>
      </c>
      <c r="AD76" s="362" t="str">
        <f>RESUMO!$E$72</f>
        <v>SIM</v>
      </c>
      <c r="AE76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6" s="364">
        <f>MateriaisPainel[[#This Row],[UNIT CRED]]*MateriaisPainel[[#This Row],[QUANTIDADE]]</f>
        <v>0</v>
      </c>
      <c r="AG76" s="307">
        <f>MateriaisPainel[[#This Row],[TOT CRED]]</f>
        <v>0</v>
      </c>
      <c r="AH76" s="365">
        <f>IF(MateriaisPainel[[#This Row],[QUANTIDADE]]&lt;&gt;0,((MateriaisPainel[[#This Row],[TOT CUSTO]]/MateriaisPainel[[#This Row],[QUANTIDADE]])/MateriaisPainel[[#This Row],[MARK-UP]]),0)</f>
        <v>0</v>
      </c>
      <c r="AI76" s="105">
        <f>MateriaisPainel[[#This Row],[UNIT VENDA]]*MateriaisPainel[[#This Row],[QUANTIDADE]]</f>
        <v>0</v>
      </c>
      <c r="AJ76" s="105">
        <f>IFERROR(MateriaisPainel[[#This Row],[VENDA]]*(RESUMO!$F$70/RESUMO!$F$60),0)</f>
        <v>0</v>
      </c>
      <c r="AK76" s="105">
        <f>IFERROR(MateriaisPainel[[#This Row],[VENDA]]*(RESUMO!$F$73/RESUMO!$F$60),0)</f>
        <v>0</v>
      </c>
      <c r="AL76" s="340">
        <f>IF(MateriaisPainel[[#This Row],[FATURAMENTO]]="NORMAL",MateriaisPainel[[#This Row],[VENDA]],0)</f>
        <v>0</v>
      </c>
    </row>
    <row r="77" spans="1:44" x14ac:dyDescent="0.25">
      <c r="A77" s="100"/>
      <c r="B77" s="104"/>
      <c r="C77" s="305"/>
      <c r="D77" s="100"/>
      <c r="E77" s="119"/>
      <c r="F77" s="119">
        <f t="shared" si="0"/>
        <v>0</v>
      </c>
      <c r="G77" s="104"/>
      <c r="H77" s="100"/>
      <c r="I77" s="101"/>
      <c r="J77" s="378"/>
      <c r="K77" s="351"/>
      <c r="L77" s="351"/>
      <c r="M77" s="390"/>
      <c r="N77" s="347">
        <f>MateriaisPainel[[#This Row],[UNIT S/IPI S/DESC]]-MateriaisPainel[[#This Row],[UNIT S/IPI S/DESC]]*MateriaisPainel[[#This Row],[DESC%]]</f>
        <v>0</v>
      </c>
      <c r="O77" s="248" t="s">
        <v>295</v>
      </c>
      <c r="P77" s="271" t="s">
        <v>155</v>
      </c>
      <c r="Q77" s="249">
        <v>1.6500000000000001E-2</v>
      </c>
      <c r="R77" s="249">
        <v>7.5999999999999998E-2</v>
      </c>
      <c r="S77" s="107">
        <f>MateriaisPainel[[#This Row],[UNIT S/ IP + DIF ICMS]]*MateriaisPainel[[#This Row],[QUANTIDADE]]</f>
        <v>0</v>
      </c>
      <c r="T77" s="307">
        <f>MateriaisPainel[[#This Row],[TOTAL S/ IPI]]+(MateriaisPainel[[#This Row],[TOTAL S/ IPI]]*MateriaisPainel[[#This Row],[IPI %]])</f>
        <v>0</v>
      </c>
      <c r="U77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7" s="308">
        <f>MateriaisPainel[[#This Row],[UNIT S/ IPI C/DESC]]*MateriaisPainel[[#This Row],[ICMS %]]</f>
        <v>0</v>
      </c>
      <c r="W77" s="308">
        <f>(MateriaisPainel[[#This Row],[PIS]]*MateriaisPainel[[#This Row],[UNIT S/ IPI C/DESC]])/2</f>
        <v>0</v>
      </c>
      <c r="X77" s="308">
        <f>(MateriaisPainel[[#This Row],[COFINS]]*MateriaisPainel[[#This Row],[UNIT S/ IPI C/DESC]])/2</f>
        <v>0</v>
      </c>
      <c r="Y77" s="308">
        <f>MateriaisPainel[[#This Row],[ICMS $]]*MateriaisPainel[[#This Row],[QUANTIDADE]]</f>
        <v>0</v>
      </c>
      <c r="Z77" s="309">
        <f>MateriaisPainel[[#This Row],[UNIT S/ IPI C/DESC]]+MateriaisPainel[[#This Row],[DIFERENCIAL ICMS]]</f>
        <v>0</v>
      </c>
      <c r="AA77" s="307">
        <f>MateriaisPainel[[#This Row],[UNIT S/ IP + DIF ICMS]]+(MateriaisPainel[[#This Row],[UNIT S/ IP + DIF ICMS]]*MateriaisPainel[[#This Row],[IPI %]])</f>
        <v>0</v>
      </c>
      <c r="AB77" s="361">
        <f>_xlfn.XLOOKUP(MateriaisPainel[[#This Row],[FATURAMENTO]],BASE!$U$48:$U$50,BASE!$W$48:$W$50,0,0,1)</f>
        <v>0.79709863947533133</v>
      </c>
      <c r="AC77" s="362" t="str">
        <f>RESUMO!$E$71</f>
        <v>SIM</v>
      </c>
      <c r="AD77" s="362" t="str">
        <f>RESUMO!$E$72</f>
        <v>SIM</v>
      </c>
      <c r="AE77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7" s="364">
        <f>MateriaisPainel[[#This Row],[UNIT CRED]]*MateriaisPainel[[#This Row],[QUANTIDADE]]</f>
        <v>0</v>
      </c>
      <c r="AG77" s="307">
        <f>MateriaisPainel[[#This Row],[TOT CRED]]</f>
        <v>0</v>
      </c>
      <c r="AH77" s="365">
        <f>IF(MateriaisPainel[[#This Row],[QUANTIDADE]]&lt;&gt;0,((MateriaisPainel[[#This Row],[TOT CUSTO]]/MateriaisPainel[[#This Row],[QUANTIDADE]])/MateriaisPainel[[#This Row],[MARK-UP]]),0)</f>
        <v>0</v>
      </c>
      <c r="AI77" s="105">
        <f>MateriaisPainel[[#This Row],[UNIT VENDA]]*MateriaisPainel[[#This Row],[QUANTIDADE]]</f>
        <v>0</v>
      </c>
      <c r="AJ77" s="105">
        <f>IFERROR(MateriaisPainel[[#This Row],[VENDA]]*(RESUMO!$F$70/RESUMO!$F$60),0)</f>
        <v>0</v>
      </c>
      <c r="AK77" s="105">
        <f>IFERROR(MateriaisPainel[[#This Row],[VENDA]]*(RESUMO!$F$73/RESUMO!$F$60),0)</f>
        <v>0</v>
      </c>
      <c r="AL77" s="234">
        <f>IF(MateriaisPainel[[#This Row],[FATURAMENTO]]="NORMAL",MateriaisPainel[[#This Row],[VENDA]],0)</f>
        <v>0</v>
      </c>
    </row>
    <row r="78" spans="1:44" x14ac:dyDescent="0.25">
      <c r="A78" s="100"/>
      <c r="B78" s="104"/>
      <c r="C78" s="305"/>
      <c r="D78" s="100"/>
      <c r="E78" s="119"/>
      <c r="F78" s="119">
        <f t="shared" si="0"/>
        <v>0</v>
      </c>
      <c r="G78" s="104"/>
      <c r="H78" s="100"/>
      <c r="I78" s="101"/>
      <c r="J78" s="378"/>
      <c r="K78" s="351"/>
      <c r="L78" s="351"/>
      <c r="M78" s="390"/>
      <c r="N78" s="347">
        <f>MateriaisPainel[[#This Row],[UNIT S/IPI S/DESC]]-MateriaisPainel[[#This Row],[UNIT S/IPI S/DESC]]*MateriaisPainel[[#This Row],[DESC%]]</f>
        <v>0</v>
      </c>
      <c r="O78" s="248" t="s">
        <v>295</v>
      </c>
      <c r="P78" s="271" t="s">
        <v>155</v>
      </c>
      <c r="Q78" s="249">
        <v>1.6500000000000001E-2</v>
      </c>
      <c r="R78" s="249">
        <v>7.5999999999999998E-2</v>
      </c>
      <c r="S78" s="107">
        <f>MateriaisPainel[[#This Row],[UNIT S/ IP + DIF ICMS]]*MateriaisPainel[[#This Row],[QUANTIDADE]]</f>
        <v>0</v>
      </c>
      <c r="T78" s="307">
        <f>MateriaisPainel[[#This Row],[TOTAL S/ IPI]]+(MateriaisPainel[[#This Row],[TOTAL S/ IPI]]*MateriaisPainel[[#This Row],[IPI %]])</f>
        <v>0</v>
      </c>
      <c r="U78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8" s="308">
        <f>MateriaisPainel[[#This Row],[UNIT S/ IPI C/DESC]]*MateriaisPainel[[#This Row],[ICMS %]]</f>
        <v>0</v>
      </c>
      <c r="W78" s="308">
        <f>(MateriaisPainel[[#This Row],[PIS]]*MateriaisPainel[[#This Row],[UNIT S/ IPI C/DESC]])/2</f>
        <v>0</v>
      </c>
      <c r="X78" s="308">
        <f>(MateriaisPainel[[#This Row],[COFINS]]*MateriaisPainel[[#This Row],[UNIT S/ IPI C/DESC]])/2</f>
        <v>0</v>
      </c>
      <c r="Y78" s="308">
        <f>MateriaisPainel[[#This Row],[ICMS $]]*MateriaisPainel[[#This Row],[QUANTIDADE]]</f>
        <v>0</v>
      </c>
      <c r="Z78" s="309">
        <f>MateriaisPainel[[#This Row],[UNIT S/ IPI C/DESC]]+MateriaisPainel[[#This Row],[DIFERENCIAL ICMS]]</f>
        <v>0</v>
      </c>
      <c r="AA78" s="307">
        <f>MateriaisPainel[[#This Row],[UNIT S/ IP + DIF ICMS]]+(MateriaisPainel[[#This Row],[UNIT S/ IP + DIF ICMS]]*MateriaisPainel[[#This Row],[IPI %]])</f>
        <v>0</v>
      </c>
      <c r="AB78" s="361">
        <f>_xlfn.XLOOKUP(MateriaisPainel[[#This Row],[FATURAMENTO]],BASE!$U$48:$U$50,BASE!$W$48:$W$50,0,0,1)</f>
        <v>0.79709863947533133</v>
      </c>
      <c r="AC78" s="362" t="str">
        <f>RESUMO!$E$71</f>
        <v>SIM</v>
      </c>
      <c r="AD78" s="362" t="str">
        <f>RESUMO!$E$72</f>
        <v>SIM</v>
      </c>
      <c r="AE78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8" s="364">
        <f>MateriaisPainel[[#This Row],[UNIT CRED]]*MateriaisPainel[[#This Row],[QUANTIDADE]]</f>
        <v>0</v>
      </c>
      <c r="AG78" s="307">
        <f>MateriaisPainel[[#This Row],[TOT CRED]]</f>
        <v>0</v>
      </c>
      <c r="AH78" s="365">
        <f>IF(MateriaisPainel[[#This Row],[QUANTIDADE]]&lt;&gt;0,((MateriaisPainel[[#This Row],[TOT CUSTO]]/MateriaisPainel[[#This Row],[QUANTIDADE]])/MateriaisPainel[[#This Row],[MARK-UP]]),0)</f>
        <v>0</v>
      </c>
      <c r="AI78" s="105">
        <f>MateriaisPainel[[#This Row],[UNIT VENDA]]*MateriaisPainel[[#This Row],[QUANTIDADE]]</f>
        <v>0</v>
      </c>
      <c r="AJ78" s="105">
        <f>IFERROR(MateriaisPainel[[#This Row],[VENDA]]*(RESUMO!$F$70/RESUMO!$F$60),0)</f>
        <v>0</v>
      </c>
      <c r="AK78" s="105">
        <f>IFERROR(MateriaisPainel[[#This Row],[VENDA]]*(RESUMO!$F$73/RESUMO!$F$60),0)</f>
        <v>0</v>
      </c>
      <c r="AL78" s="340">
        <f>IF(MateriaisPainel[[#This Row],[FATURAMENTO]]="NORMAL",MateriaisPainel[[#This Row],[VENDA]],0)</f>
        <v>0</v>
      </c>
    </row>
    <row r="79" spans="1:44" x14ac:dyDescent="0.25">
      <c r="A79" s="100"/>
      <c r="B79" s="104"/>
      <c r="C79" s="305"/>
      <c r="D79" s="100"/>
      <c r="E79" s="119"/>
      <c r="F79" s="119">
        <f t="shared" si="0"/>
        <v>0</v>
      </c>
      <c r="G79" s="104"/>
      <c r="H79" s="100"/>
      <c r="I79" s="101"/>
      <c r="J79" s="378"/>
      <c r="K79" s="351"/>
      <c r="L79" s="351"/>
      <c r="M79" s="390"/>
      <c r="N79" s="347">
        <f>MateriaisPainel[[#This Row],[UNIT S/IPI S/DESC]]-MateriaisPainel[[#This Row],[UNIT S/IPI S/DESC]]*MateriaisPainel[[#This Row],[DESC%]]</f>
        <v>0</v>
      </c>
      <c r="O79" s="248" t="s">
        <v>295</v>
      </c>
      <c r="P79" s="271" t="s">
        <v>155</v>
      </c>
      <c r="Q79" s="249">
        <v>1.6500000000000001E-2</v>
      </c>
      <c r="R79" s="249">
        <v>7.5999999999999998E-2</v>
      </c>
      <c r="S79" s="107">
        <f>MateriaisPainel[[#This Row],[UNIT S/ IP + DIF ICMS]]*MateriaisPainel[[#This Row],[QUANTIDADE]]</f>
        <v>0</v>
      </c>
      <c r="T79" s="307">
        <f>MateriaisPainel[[#This Row],[TOTAL S/ IPI]]+(MateriaisPainel[[#This Row],[TOTAL S/ IPI]]*MateriaisPainel[[#This Row],[IPI %]])</f>
        <v>0</v>
      </c>
      <c r="U79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79" s="308">
        <f>MateriaisPainel[[#This Row],[UNIT S/ IPI C/DESC]]*MateriaisPainel[[#This Row],[ICMS %]]</f>
        <v>0</v>
      </c>
      <c r="W79" s="308">
        <f>(MateriaisPainel[[#This Row],[PIS]]*MateriaisPainel[[#This Row],[UNIT S/ IPI C/DESC]])/2</f>
        <v>0</v>
      </c>
      <c r="X79" s="308">
        <f>(MateriaisPainel[[#This Row],[COFINS]]*MateriaisPainel[[#This Row],[UNIT S/ IPI C/DESC]])/2</f>
        <v>0</v>
      </c>
      <c r="Y79" s="308">
        <f>MateriaisPainel[[#This Row],[ICMS $]]*MateriaisPainel[[#This Row],[QUANTIDADE]]</f>
        <v>0</v>
      </c>
      <c r="Z79" s="309">
        <f>MateriaisPainel[[#This Row],[UNIT S/ IPI C/DESC]]+MateriaisPainel[[#This Row],[DIFERENCIAL ICMS]]</f>
        <v>0</v>
      </c>
      <c r="AA79" s="307">
        <f>MateriaisPainel[[#This Row],[UNIT S/ IP + DIF ICMS]]+(MateriaisPainel[[#This Row],[UNIT S/ IP + DIF ICMS]]*MateriaisPainel[[#This Row],[IPI %]])</f>
        <v>0</v>
      </c>
      <c r="AB79" s="361">
        <f>_xlfn.XLOOKUP(MateriaisPainel[[#This Row],[FATURAMENTO]],BASE!$U$48:$U$50,BASE!$W$48:$W$50,0,0,1)</f>
        <v>0.79709863947533133</v>
      </c>
      <c r="AC79" s="362" t="str">
        <f>RESUMO!$E$71</f>
        <v>SIM</v>
      </c>
      <c r="AD79" s="362" t="str">
        <f>RESUMO!$E$72</f>
        <v>SIM</v>
      </c>
      <c r="AE79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79" s="364">
        <f>MateriaisPainel[[#This Row],[UNIT CRED]]*MateriaisPainel[[#This Row],[QUANTIDADE]]</f>
        <v>0</v>
      </c>
      <c r="AG79" s="307">
        <f>MateriaisPainel[[#This Row],[TOT CRED]]</f>
        <v>0</v>
      </c>
      <c r="AH79" s="365">
        <f>IF(MateriaisPainel[[#This Row],[QUANTIDADE]]&lt;&gt;0,((MateriaisPainel[[#This Row],[TOT CUSTO]]/MateriaisPainel[[#This Row],[QUANTIDADE]])/MateriaisPainel[[#This Row],[MARK-UP]]),0)</f>
        <v>0</v>
      </c>
      <c r="AI79" s="105">
        <f>MateriaisPainel[[#This Row],[UNIT VENDA]]*MateriaisPainel[[#This Row],[QUANTIDADE]]</f>
        <v>0</v>
      </c>
      <c r="AJ79" s="105">
        <f>IFERROR(MateriaisPainel[[#This Row],[VENDA]]*(RESUMO!$F$70/RESUMO!$F$60),0)</f>
        <v>0</v>
      </c>
      <c r="AK79" s="105">
        <f>IFERROR(MateriaisPainel[[#This Row],[VENDA]]*(RESUMO!$F$73/RESUMO!$F$60),0)</f>
        <v>0</v>
      </c>
      <c r="AL79" s="340">
        <f>IF(MateriaisPainel[[#This Row],[FATURAMENTO]]="NORMAL",MateriaisPainel[[#This Row],[VENDA]],0)</f>
        <v>0</v>
      </c>
    </row>
    <row r="80" spans="1:44" x14ac:dyDescent="0.25">
      <c r="A80" s="100"/>
      <c r="B80" s="104"/>
      <c r="C80" s="305"/>
      <c r="D80" s="100"/>
      <c r="E80" s="119"/>
      <c r="F80" s="119">
        <f t="shared" si="0"/>
        <v>0</v>
      </c>
      <c r="G80" s="104"/>
      <c r="H80" s="100"/>
      <c r="I80" s="101"/>
      <c r="J80" s="378"/>
      <c r="K80" s="351"/>
      <c r="L80" s="351"/>
      <c r="M80" s="390"/>
      <c r="N80" s="347">
        <f>MateriaisPainel[[#This Row],[UNIT S/IPI S/DESC]]-MateriaisPainel[[#This Row],[UNIT S/IPI S/DESC]]*MateriaisPainel[[#This Row],[DESC%]]</f>
        <v>0</v>
      </c>
      <c r="O80" s="248" t="s">
        <v>295</v>
      </c>
      <c r="P80" s="271" t="s">
        <v>155</v>
      </c>
      <c r="Q80" s="249">
        <v>1.6500000000000001E-2</v>
      </c>
      <c r="R80" s="249">
        <v>7.5999999999999998E-2</v>
      </c>
      <c r="S80" s="107">
        <f>MateriaisPainel[[#This Row],[UNIT S/ IP + DIF ICMS]]*MateriaisPainel[[#This Row],[QUANTIDADE]]</f>
        <v>0</v>
      </c>
      <c r="T80" s="307">
        <f>MateriaisPainel[[#This Row],[TOTAL S/ IPI]]+(MateriaisPainel[[#This Row],[TOTAL S/ IPI]]*MateriaisPainel[[#This Row],[IPI %]])</f>
        <v>0</v>
      </c>
      <c r="U80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80" s="308">
        <f>MateriaisPainel[[#This Row],[UNIT S/ IPI C/DESC]]*MateriaisPainel[[#This Row],[ICMS %]]</f>
        <v>0</v>
      </c>
      <c r="W80" s="308">
        <f>(MateriaisPainel[[#This Row],[PIS]]*MateriaisPainel[[#This Row],[UNIT S/ IPI C/DESC]])/2</f>
        <v>0</v>
      </c>
      <c r="X80" s="308">
        <f>(MateriaisPainel[[#This Row],[COFINS]]*MateriaisPainel[[#This Row],[UNIT S/ IPI C/DESC]])/2</f>
        <v>0</v>
      </c>
      <c r="Y80" s="308">
        <f>MateriaisPainel[[#This Row],[ICMS $]]*MateriaisPainel[[#This Row],[QUANTIDADE]]</f>
        <v>0</v>
      </c>
      <c r="Z80" s="309">
        <f>MateriaisPainel[[#This Row],[UNIT S/ IPI C/DESC]]+MateriaisPainel[[#This Row],[DIFERENCIAL ICMS]]</f>
        <v>0</v>
      </c>
      <c r="AA80" s="307">
        <f>MateriaisPainel[[#This Row],[UNIT S/ IP + DIF ICMS]]+(MateriaisPainel[[#This Row],[UNIT S/ IP + DIF ICMS]]*MateriaisPainel[[#This Row],[IPI %]])</f>
        <v>0</v>
      </c>
      <c r="AB80" s="361">
        <f>_xlfn.XLOOKUP(MateriaisPainel[[#This Row],[FATURAMENTO]],BASE!$U$48:$U$50,BASE!$W$48:$W$50,0,0,1)</f>
        <v>0.79709863947533133</v>
      </c>
      <c r="AC80" s="362" t="str">
        <f>RESUMO!$E$71</f>
        <v>SIM</v>
      </c>
      <c r="AD80" s="362" t="str">
        <f>RESUMO!$E$72</f>
        <v>SIM</v>
      </c>
      <c r="AE80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80" s="364">
        <f>MateriaisPainel[[#This Row],[UNIT CRED]]*MateriaisPainel[[#This Row],[QUANTIDADE]]</f>
        <v>0</v>
      </c>
      <c r="AG80" s="307">
        <f>MateriaisPainel[[#This Row],[TOT CRED]]</f>
        <v>0</v>
      </c>
      <c r="AH80" s="365">
        <f>IF(MateriaisPainel[[#This Row],[QUANTIDADE]]&lt;&gt;0,((MateriaisPainel[[#This Row],[TOT CUSTO]]/MateriaisPainel[[#This Row],[QUANTIDADE]])/MateriaisPainel[[#This Row],[MARK-UP]]),0)</f>
        <v>0</v>
      </c>
      <c r="AI80" s="105">
        <f>MateriaisPainel[[#This Row],[UNIT VENDA]]*MateriaisPainel[[#This Row],[QUANTIDADE]]</f>
        <v>0</v>
      </c>
      <c r="AJ80" s="105">
        <f>IFERROR(MateriaisPainel[[#This Row],[VENDA]]*(RESUMO!$F$70/RESUMO!$F$60),0)</f>
        <v>0</v>
      </c>
      <c r="AK80" s="105">
        <f>IFERROR(MateriaisPainel[[#This Row],[VENDA]]*(RESUMO!$F$73/RESUMO!$F$60),0)</f>
        <v>0</v>
      </c>
      <c r="AL80" s="340">
        <f>IF(MateriaisPainel[[#This Row],[FATURAMENTO]]="NORMAL",MateriaisPainel[[#This Row],[VENDA]],0)</f>
        <v>0</v>
      </c>
    </row>
    <row r="81" spans="1:45" s="26" customFormat="1" ht="15" thickBot="1" x14ac:dyDescent="0.4">
      <c r="A81" s="100"/>
      <c r="B81" s="104"/>
      <c r="C81" s="305"/>
      <c r="D81" s="100"/>
      <c r="E81" s="119"/>
      <c r="F81" s="119">
        <f t="shared" si="0"/>
        <v>0</v>
      </c>
      <c r="G81" s="104"/>
      <c r="H81" s="100"/>
      <c r="I81" s="101"/>
      <c r="J81" s="378"/>
      <c r="K81" s="351"/>
      <c r="L81" s="351"/>
      <c r="M81" s="391"/>
      <c r="N81" s="347">
        <f>MateriaisPainel[[#This Row],[UNIT S/IPI S/DESC]]-MateriaisPainel[[#This Row],[UNIT S/IPI S/DESC]]*MateriaisPainel[[#This Row],[DESC%]]</f>
        <v>0</v>
      </c>
      <c r="O81" s="248" t="s">
        <v>295</v>
      </c>
      <c r="P81" s="271" t="s">
        <v>155</v>
      </c>
      <c r="Q81" s="249">
        <v>1.6500000000000001E-2</v>
      </c>
      <c r="R81" s="249">
        <v>7.5999999999999998E-2</v>
      </c>
      <c r="S81" s="107">
        <f>MateriaisPainel[[#This Row],[UNIT S/ IP + DIF ICMS]]*MateriaisPainel[[#This Row],[QUANTIDADE]]</f>
        <v>0</v>
      </c>
      <c r="T81" s="307">
        <f>MateriaisPainel[[#This Row],[TOTAL S/ IPI]]+(MateriaisPainel[[#This Row],[TOTAL S/ IPI]]*MateriaisPainel[[#This Row],[IPI %]])</f>
        <v>0</v>
      </c>
      <c r="U81" s="307">
        <f>IF(AND(MateriaisPainel[[#This Row],[ICMS %]]&lt;&gt;18%,MateriaisPainel[[#This Row],[ORIGEM]]&lt;&gt;"SÃO PAULO"),((18%-MateriaisPainel[[#This Row],[ICMS %]])*MateriaisPainel[[#This Row],[UNIT S/ IPI C/DESC]]),0)</f>
        <v>0</v>
      </c>
      <c r="V81" s="308">
        <f>MateriaisPainel[[#This Row],[UNIT S/ IPI C/DESC]]*MateriaisPainel[[#This Row],[ICMS %]]</f>
        <v>0</v>
      </c>
      <c r="W81" s="308">
        <f>(MateriaisPainel[[#This Row],[PIS]]*MateriaisPainel[[#This Row],[UNIT S/ IPI C/DESC]])/2</f>
        <v>0</v>
      </c>
      <c r="X81" s="308">
        <f>(MateriaisPainel[[#This Row],[COFINS]]*MateriaisPainel[[#This Row],[UNIT S/ IPI C/DESC]])/2</f>
        <v>0</v>
      </c>
      <c r="Y81" s="308">
        <f>MateriaisPainel[[#This Row],[ICMS $]]*MateriaisPainel[[#This Row],[QUANTIDADE]]</f>
        <v>0</v>
      </c>
      <c r="Z81" s="309">
        <f>MateriaisPainel[[#This Row],[UNIT S/ IPI C/DESC]]+MateriaisPainel[[#This Row],[DIFERENCIAL ICMS]]</f>
        <v>0</v>
      </c>
      <c r="AA81" s="307">
        <f>MateriaisPainel[[#This Row],[UNIT S/ IP + DIF ICMS]]+(MateriaisPainel[[#This Row],[UNIT S/ IP + DIF ICMS]]*MateriaisPainel[[#This Row],[IPI %]])</f>
        <v>0</v>
      </c>
      <c r="AB81" s="361">
        <f>_xlfn.XLOOKUP(MateriaisPainel[[#This Row],[FATURAMENTO]],BASE!$U$48:$U$50,BASE!$W$48:$W$50,0,0,1)</f>
        <v>0.79709863947533133</v>
      </c>
      <c r="AC81" s="362" t="str">
        <f>RESUMO!$E$71</f>
        <v>SIM</v>
      </c>
      <c r="AD81" s="362" t="str">
        <f>RESUMO!$E$72</f>
        <v>SIM</v>
      </c>
      <c r="AE81" s="364">
        <f>IF(AND(MateriaisPainel[[#This Row],[CRED ICMS]]="SIM",MateriaisPainel[[#This Row],[CREDITO IPI]]="SIM",RESUMO!$M$10="LUCRO REAL"),MateriaisPainel[[#This Row],[UNIT C/ IPI]]-MateriaisPainel[[#This Row],[ICMS $]]+MateriaisPainel[[#This Row],[DIFERENCIAL ICMS]]-(MateriaisPainel[[#This Row],[UNIT C/ IPI]]-MateriaisPainel[[#This Row],[UNIT S/ IPI C/DESC]])-MateriaisPainel[[#This Row],[PIS R$]]-MateriaisPainel[[#This Row],[COFINS R$]],IF(AND(MateriaisPainel[[#This Row],[CRED ICMS]]="SIM",MateriaisPainel[[#This Row],[CREDITO IPI]]="SIM"),MateriaisPainel[[#This Row],[UNIT C/ IPI]]-MateriaisPainel[[#This Row],[ICMS $]]+MateriaisPainel[[#This Row],[DIFERENCIAL ICMS]]-(MateriaisPainel[[#This Row],[UNIT C/ IPI]]-MateriaisPainel[[#This Row],[UNIT S/ IPI C/DESC]]),IF(AND(MateriaisPainel[[#This Row],[CRED ICMS]]="NÃO",MateriaisPainel[[#This Row],[CREDITO IPI]]="SIM"),MateriaisPainel[[#This Row],[UNIT C/ IPI]]+MateriaisPainel[[#This Row],[DIFERENCIAL ICMS]]-(MateriaisPainel[[#This Row],[UNIT C/ IPI]]-MateriaisPainel[[#This Row],[UNIT S/ IPI C/DESC]]),IF(AND(MateriaisPainel[[#This Row],[CRED ICMS]]="SIM",MateriaisPainel[[#This Row],[CREDITO IPI]]="NÃO"),MateriaisPainel[[#This Row],[UNIT C/ IPI]]-MateriaisPainel[[#This Row],[ICMS $]]+MateriaisPainel[[#This Row],[DIFERENCIAL ICMS]],IF(AND(MateriaisPainel[[#This Row],[CRED ICMS]]="NÃO",MateriaisPainel[[#This Row],[CREDITO IPI]]="NÃO"),MateriaisPainel[[#This Row],[UNIT C/ IPI]]+MateriaisPainel[[#This Row],[DIFERENCIAL ICMS]],0)))))</f>
        <v>0</v>
      </c>
      <c r="AF81" s="364">
        <f>MateriaisPainel[[#This Row],[UNIT CRED]]*MateriaisPainel[[#This Row],[QUANTIDADE]]</f>
        <v>0</v>
      </c>
      <c r="AG81" s="307">
        <f>MateriaisPainel[[#This Row],[TOT CRED]]</f>
        <v>0</v>
      </c>
      <c r="AH81" s="365">
        <f>IF(MateriaisPainel[[#This Row],[QUANTIDADE]]&lt;&gt;0,((MateriaisPainel[[#This Row],[TOT CUSTO]]/MateriaisPainel[[#This Row],[QUANTIDADE]])/MateriaisPainel[[#This Row],[MARK-UP]]),0)</f>
        <v>0</v>
      </c>
      <c r="AI81" s="105">
        <f>MateriaisPainel[[#This Row],[UNIT VENDA]]*MateriaisPainel[[#This Row],[QUANTIDADE]]</f>
        <v>0</v>
      </c>
      <c r="AJ81" s="105">
        <f>IFERROR(MateriaisPainel[[#This Row],[VENDA]]*(RESUMO!$F$70/RESUMO!$F$60),0)</f>
        <v>0</v>
      </c>
      <c r="AK81" s="105">
        <f>IFERROR(MateriaisPainel[[#This Row],[VENDA]]*(RESUMO!$F$73/RESUMO!$F$60),0)</f>
        <v>0</v>
      </c>
      <c r="AL81" s="234">
        <f>IF(MateriaisPainel[[#This Row],[FATURAMENTO]]="NORMAL",MateriaisPainel[[#This Row],[VENDA]],0)</f>
        <v>0</v>
      </c>
      <c r="AM81" s="25"/>
      <c r="AQ81" s="267"/>
      <c r="AR81" s="267"/>
      <c r="AS81" s="267"/>
    </row>
    <row r="82" spans="1:45" x14ac:dyDescent="0.35">
      <c r="A82" s="100" t="s">
        <v>198</v>
      </c>
      <c r="B82" s="100"/>
      <c r="C82" s="100"/>
      <c r="D82" s="100"/>
      <c r="E82" s="104"/>
      <c r="F82" s="119">
        <f>SUBTOTAL(101,MateriaisPainel[PRAZO PAGAMENTO])</f>
        <v>0</v>
      </c>
      <c r="G82" s="104"/>
      <c r="H82" s="100"/>
      <c r="I82" s="290">
        <f>SUBTOTAL(109,MateriaisPainel[QUANTIDADE])</f>
        <v>2</v>
      </c>
      <c r="J82" s="290"/>
      <c r="K82" s="290">
        <f>SUBTOTAL(109,MateriaisPainel[ICMS %])</f>
        <v>0.24</v>
      </c>
      <c r="L82" s="290">
        <f>SUBTOTAL(109,MateriaisPainel[IPI %])</f>
        <v>0.13</v>
      </c>
      <c r="M82" s="387"/>
      <c r="N82" s="290">
        <f>SUBTOTAL(109,MateriaisPainel[UNIT S/ IPI C/DESC])</f>
        <v>7100</v>
      </c>
      <c r="O82" s="290"/>
      <c r="P82" s="290"/>
      <c r="Q82" s="273"/>
      <c r="R82" s="273"/>
      <c r="S82" s="290">
        <f>SUBTOTAL(109,MateriaisPainel[TOTAL S/ IPI])</f>
        <v>7100</v>
      </c>
      <c r="T82" s="290">
        <f>SUBTOTAL(109,MateriaisPainel[TOTAL C/ IPI])</f>
        <v>7561.5</v>
      </c>
      <c r="U82" s="290">
        <f>SUBTOTAL(109,MateriaisPainel[DIFERENCIAL ICMS])</f>
        <v>0</v>
      </c>
      <c r="V82" s="290">
        <f>SUBTOTAL(109,MateriaisPainel[ICMS $])</f>
        <v>852</v>
      </c>
      <c r="W82" s="290">
        <f>SUBTOTAL(109,MateriaisPainel[PIS R$])</f>
        <v>58.575000000000003</v>
      </c>
      <c r="X82" s="290">
        <f>SUBTOTAL(109,MateriaisPainel[COFINS R$])</f>
        <v>269.79999999999995</v>
      </c>
      <c r="Y82" s="290">
        <f>SUBTOTAL(109,MateriaisPainel[TOTAL ICMS $])</f>
        <v>852</v>
      </c>
      <c r="Z82" s="120">
        <f>SUBTOTAL(109,MateriaisPainel[UNIT S/ IP + DIF ICMS])</f>
        <v>7100</v>
      </c>
      <c r="AA82" s="120">
        <f>SUBTOTAL(109,MateriaisPainel[UNIT C/ IPI])</f>
        <v>7561.5</v>
      </c>
      <c r="AB82" s="120">
        <f>SUBTOTAL(109,MateriaisPainel[MARK-UP])</f>
        <v>58.188200681699101</v>
      </c>
      <c r="AC82" s="120">
        <f>SUBTOTAL(109,MateriaisPainel[CRED ICMS])</f>
        <v>0</v>
      </c>
      <c r="AD82" s="120">
        <f>SUBTOTAL(109,MateriaisPainel[CREDITO IPI])</f>
        <v>0</v>
      </c>
      <c r="AE82" s="120">
        <f>SUBTOTAL(109,MateriaisPainel[UNIT CRED])</f>
        <v>5919.625</v>
      </c>
      <c r="AF82" s="120">
        <f>SUBTOTAL(109,MateriaisPainel[TOT CRED])</f>
        <v>5919.625</v>
      </c>
      <c r="AG82" s="120">
        <f>SUBTOTAL(109,MateriaisPainel[TOT CUSTO])</f>
        <v>5919.625</v>
      </c>
      <c r="AH82" s="120">
        <f>SUBTOTAL(109,MateriaisPainel[UNIT VENDA])</f>
        <v>7426.4648148144288</v>
      </c>
      <c r="AI82" s="120">
        <f>SUBTOTAL(109,MateriaisPainel[VENDA])</f>
        <v>7426.4648148144288</v>
      </c>
      <c r="AJ82" s="120">
        <f>SUBTOTAL(109,MateriaisPainel[S/ IPI])</f>
        <v>9430.4315108754636</v>
      </c>
      <c r="AK82" s="120">
        <f>SUBTOTAL(109,MateriaisPainel[C/ IPI])</f>
        <v>9430.4315108754636</v>
      </c>
      <c r="AL82" s="230">
        <f>SUBTOTAL(109,MateriaisPainel[CUSTO FIXO])</f>
        <v>7426.4648148144288</v>
      </c>
    </row>
    <row r="88" spans="1:45" x14ac:dyDescent="0.35">
      <c r="AM88" s="26"/>
    </row>
    <row r="94" spans="1:45" s="26" customFormat="1" x14ac:dyDescent="0.35">
      <c r="A94" s="57"/>
      <c r="B94" s="57"/>
      <c r="C94" s="57"/>
      <c r="D94" s="57"/>
      <c r="E94" s="247"/>
      <c r="F94" s="247"/>
      <c r="G94" s="57"/>
      <c r="H94" s="57"/>
      <c r="I94" s="57"/>
      <c r="J94" s="57"/>
      <c r="K94" s="57"/>
      <c r="L94" s="57"/>
      <c r="M94" s="356"/>
      <c r="N94" s="57"/>
      <c r="O94"/>
      <c r="P94" s="57"/>
      <c r="Q94" s="228"/>
      <c r="R94" s="228"/>
      <c r="S94" s="57"/>
      <c r="T94" s="57"/>
      <c r="U94" s="57"/>
      <c r="V94" s="57"/>
      <c r="W94" s="57"/>
      <c r="X94" s="57"/>
      <c r="Y94" s="57"/>
      <c r="Z94" s="106"/>
      <c r="AA94" s="106"/>
      <c r="AB94" s="106"/>
      <c r="AC94" s="106"/>
      <c r="AD94" s="106"/>
      <c r="AE94" s="106"/>
      <c r="AF94" s="57"/>
      <c r="AG94" s="57"/>
      <c r="AH94" s="57"/>
      <c r="AI94" s="57"/>
      <c r="AJ94" s="57"/>
      <c r="AK94" s="57"/>
      <c r="AL94" s="57"/>
      <c r="AM94" s="25"/>
      <c r="AQ94" s="267"/>
      <c r="AR94" s="267"/>
      <c r="AS94" s="267"/>
    </row>
    <row r="95" spans="1:45" ht="11.5" x14ac:dyDescent="0.25">
      <c r="O95" s="26"/>
    </row>
    <row r="99" spans="1:45" ht="17.149999999999999" customHeight="1" x14ac:dyDescent="0.35"/>
    <row r="101" spans="1:45" x14ac:dyDescent="0.35">
      <c r="AM101" s="26"/>
    </row>
    <row r="106" spans="1:45" s="26" customFormat="1" x14ac:dyDescent="0.35">
      <c r="A106" s="57"/>
      <c r="B106" s="57"/>
      <c r="C106" s="57"/>
      <c r="D106" s="57"/>
      <c r="E106" s="247"/>
      <c r="F106" s="247"/>
      <c r="G106" s="57"/>
      <c r="H106" s="57"/>
      <c r="I106" s="57"/>
      <c r="J106" s="57"/>
      <c r="K106" s="57"/>
      <c r="L106" s="57"/>
      <c r="M106" s="356"/>
      <c r="N106" s="57"/>
      <c r="O106"/>
      <c r="P106" s="57"/>
      <c r="Q106" s="228"/>
      <c r="R106" s="228"/>
      <c r="S106" s="57"/>
      <c r="T106" s="57"/>
      <c r="U106" s="57"/>
      <c r="V106" s="57"/>
      <c r="W106" s="57"/>
      <c r="X106" s="57"/>
      <c r="Y106" s="57"/>
      <c r="Z106" s="106"/>
      <c r="AA106" s="106"/>
      <c r="AB106" s="106"/>
      <c r="AC106" s="106"/>
      <c r="AD106" s="106"/>
      <c r="AE106" s="106"/>
      <c r="AF106" s="57"/>
      <c r="AG106" s="57"/>
      <c r="AH106" s="57"/>
      <c r="AI106" s="57"/>
      <c r="AJ106" s="57"/>
      <c r="AK106" s="57"/>
      <c r="AL106" s="57"/>
      <c r="AM106" s="25"/>
      <c r="AQ106" s="267"/>
      <c r="AR106" s="267"/>
      <c r="AS106" s="267"/>
    </row>
    <row r="108" spans="1:45" ht="11.5" x14ac:dyDescent="0.25">
      <c r="O108" s="26"/>
    </row>
    <row r="114" spans="1:45" x14ac:dyDescent="0.35">
      <c r="AM114" s="26"/>
    </row>
    <row r="118" spans="1:45" s="26" customFormat="1" x14ac:dyDescent="0.35">
      <c r="A118" s="57"/>
      <c r="B118" s="57"/>
      <c r="C118" s="57"/>
      <c r="D118" s="57"/>
      <c r="E118" s="247"/>
      <c r="F118" s="247"/>
      <c r="G118" s="57"/>
      <c r="H118" s="57"/>
      <c r="I118" s="57"/>
      <c r="J118" s="57"/>
      <c r="K118" s="57"/>
      <c r="L118" s="57"/>
      <c r="M118" s="356"/>
      <c r="N118" s="57"/>
      <c r="O118"/>
      <c r="P118" s="57"/>
      <c r="Q118" s="228"/>
      <c r="R118" s="228"/>
      <c r="S118" s="57"/>
      <c r="T118" s="57"/>
      <c r="U118" s="57"/>
      <c r="V118" s="57"/>
      <c r="W118" s="57"/>
      <c r="X118" s="57"/>
      <c r="Y118" s="57"/>
      <c r="Z118" s="106"/>
      <c r="AA118" s="106"/>
      <c r="AB118" s="106"/>
      <c r="AC118" s="106"/>
      <c r="AD118" s="106"/>
      <c r="AE118" s="106"/>
      <c r="AF118" s="57"/>
      <c r="AG118" s="57"/>
      <c r="AH118" s="57"/>
      <c r="AI118" s="57"/>
      <c r="AJ118" s="57"/>
      <c r="AK118" s="57"/>
      <c r="AL118" s="57"/>
      <c r="AM118" s="25"/>
      <c r="AQ118" s="267"/>
      <c r="AR118" s="267"/>
      <c r="AS118" s="267"/>
    </row>
    <row r="120" spans="1:45" ht="11.5" x14ac:dyDescent="0.25">
      <c r="O120" s="26"/>
    </row>
    <row r="127" spans="1:45" x14ac:dyDescent="0.35">
      <c r="AM127" s="26"/>
    </row>
    <row r="131" spans="1:45" s="26" customFormat="1" x14ac:dyDescent="0.35">
      <c r="A131" s="57"/>
      <c r="B131" s="57"/>
      <c r="C131" s="57"/>
      <c r="D131" s="57"/>
      <c r="E131" s="247"/>
      <c r="F131" s="247"/>
      <c r="G131" s="57"/>
      <c r="H131" s="57"/>
      <c r="I131" s="57"/>
      <c r="J131" s="57"/>
      <c r="K131" s="57"/>
      <c r="L131" s="57"/>
      <c r="M131" s="356"/>
      <c r="N131" s="57"/>
      <c r="O131"/>
      <c r="P131" s="57"/>
      <c r="Q131" s="228"/>
      <c r="R131" s="228"/>
      <c r="S131" s="57"/>
      <c r="T131" s="57"/>
      <c r="U131" s="57"/>
      <c r="V131" s="57"/>
      <c r="W131" s="57"/>
      <c r="X131" s="57"/>
      <c r="Y131" s="57"/>
      <c r="Z131" s="106"/>
      <c r="AA131" s="106"/>
      <c r="AB131" s="106"/>
      <c r="AC131" s="106"/>
      <c r="AD131" s="106"/>
      <c r="AE131" s="106"/>
      <c r="AF131" s="57"/>
      <c r="AG131" s="57"/>
      <c r="AH131" s="57"/>
      <c r="AI131" s="57"/>
      <c r="AJ131" s="57"/>
      <c r="AK131" s="57"/>
      <c r="AL131" s="57"/>
      <c r="AM131" s="25"/>
      <c r="AQ131" s="267"/>
      <c r="AR131" s="267"/>
      <c r="AS131" s="267"/>
    </row>
    <row r="132" spans="1:45" ht="11.5" x14ac:dyDescent="0.25">
      <c r="O132" s="26"/>
    </row>
    <row r="134" spans="1:45" s="26" customFormat="1" x14ac:dyDescent="0.35">
      <c r="A134" s="57"/>
      <c r="B134" s="57"/>
      <c r="C134" s="57"/>
      <c r="D134" s="57"/>
      <c r="E134" s="247"/>
      <c r="F134" s="247"/>
      <c r="G134" s="57"/>
      <c r="H134" s="57"/>
      <c r="I134" s="57"/>
      <c r="J134" s="57"/>
      <c r="K134" s="57"/>
      <c r="L134" s="57"/>
      <c r="M134" s="356"/>
      <c r="N134" s="57"/>
      <c r="O134"/>
      <c r="P134" s="57"/>
      <c r="Q134" s="228"/>
      <c r="R134" s="228"/>
      <c r="S134" s="57"/>
      <c r="T134" s="57"/>
      <c r="U134" s="57"/>
      <c r="V134" s="57"/>
      <c r="W134" s="57"/>
      <c r="X134" s="57"/>
      <c r="Y134" s="57"/>
      <c r="Z134" s="106"/>
      <c r="AA134" s="106"/>
      <c r="AB134" s="106"/>
      <c r="AC134" s="106"/>
      <c r="AD134" s="106"/>
      <c r="AE134" s="106"/>
      <c r="AF134" s="57"/>
      <c r="AG134" s="57"/>
      <c r="AH134" s="57"/>
      <c r="AI134" s="57"/>
      <c r="AJ134" s="57"/>
      <c r="AK134" s="57"/>
      <c r="AL134" s="57"/>
      <c r="AM134" s="25"/>
      <c r="AQ134" s="267"/>
      <c r="AR134" s="267"/>
      <c r="AS134" s="267"/>
    </row>
    <row r="139" spans="1:45" x14ac:dyDescent="0.35">
      <c r="AM139" s="26"/>
    </row>
    <row r="141" spans="1:45" s="250" customFormat="1" x14ac:dyDescent="0.35">
      <c r="A141" s="57"/>
      <c r="B141" s="57"/>
      <c r="C141" s="57"/>
      <c r="D141" s="57"/>
      <c r="E141" s="247"/>
      <c r="F141" s="247"/>
      <c r="G141" s="57"/>
      <c r="H141" s="57"/>
      <c r="I141" s="57"/>
      <c r="J141" s="57"/>
      <c r="K141" s="57"/>
      <c r="L141" s="57"/>
      <c r="M141" s="356"/>
      <c r="N141" s="57"/>
      <c r="O141"/>
      <c r="P141" s="57"/>
      <c r="Q141" s="228"/>
      <c r="R141" s="228"/>
      <c r="S141" s="57"/>
      <c r="T141" s="57"/>
      <c r="U141" s="57"/>
      <c r="V141" s="57"/>
      <c r="W141" s="57"/>
      <c r="X141" s="57"/>
      <c r="Y141" s="57"/>
      <c r="Z141" s="106"/>
      <c r="AA141" s="106"/>
      <c r="AB141" s="106"/>
      <c r="AC141" s="106"/>
      <c r="AD141" s="106"/>
      <c r="AE141" s="106"/>
      <c r="AF141" s="57"/>
      <c r="AG141" s="57"/>
      <c r="AH141" s="57"/>
      <c r="AI141" s="57"/>
      <c r="AJ141" s="57"/>
      <c r="AK141" s="57"/>
      <c r="AL141" s="57"/>
      <c r="AM141" s="25"/>
      <c r="AQ141" s="270"/>
      <c r="AR141" s="270"/>
      <c r="AS141" s="270"/>
    </row>
    <row r="142" spans="1:45" s="26" customFormat="1" x14ac:dyDescent="0.35">
      <c r="A142" s="57"/>
      <c r="B142" s="57"/>
      <c r="C142" s="57"/>
      <c r="D142" s="57"/>
      <c r="E142" s="247"/>
      <c r="F142" s="247"/>
      <c r="G142" s="57"/>
      <c r="H142" s="57"/>
      <c r="I142" s="57"/>
      <c r="J142" s="57"/>
      <c r="K142" s="57"/>
      <c r="L142" s="57"/>
      <c r="M142" s="356"/>
      <c r="N142" s="57"/>
      <c r="O142"/>
      <c r="P142" s="57"/>
      <c r="Q142" s="228"/>
      <c r="R142" s="228"/>
      <c r="S142" s="57"/>
      <c r="T142" s="57"/>
      <c r="U142" s="57"/>
      <c r="V142" s="57"/>
      <c r="W142" s="57"/>
      <c r="X142" s="57"/>
      <c r="Y142" s="57"/>
      <c r="Z142" s="106"/>
      <c r="AA142" s="106"/>
      <c r="AB142" s="106"/>
      <c r="AC142" s="106"/>
      <c r="AD142" s="106"/>
      <c r="AE142" s="106"/>
      <c r="AF142" s="57"/>
      <c r="AG142" s="57"/>
      <c r="AH142" s="57"/>
      <c r="AI142" s="57"/>
      <c r="AJ142" s="57"/>
      <c r="AK142" s="57"/>
      <c r="AL142" s="57"/>
      <c r="AM142" s="25"/>
      <c r="AQ142" s="267"/>
      <c r="AR142" s="267"/>
      <c r="AS142" s="267"/>
    </row>
    <row r="145" spans="1:45" s="26" customFormat="1" x14ac:dyDescent="0.35">
      <c r="A145" s="57"/>
      <c r="B145" s="57"/>
      <c r="C145" s="57"/>
      <c r="D145" s="57"/>
      <c r="E145" s="247"/>
      <c r="F145" s="247"/>
      <c r="G145" s="57"/>
      <c r="H145" s="57"/>
      <c r="I145" s="57"/>
      <c r="J145" s="57"/>
      <c r="K145" s="57"/>
      <c r="L145" s="57"/>
      <c r="M145" s="356"/>
      <c r="N145" s="57"/>
      <c r="P145" s="57"/>
      <c r="Q145" s="228"/>
      <c r="R145" s="228"/>
      <c r="S145" s="57"/>
      <c r="T145" s="57"/>
      <c r="U145" s="57"/>
      <c r="V145" s="57"/>
      <c r="W145" s="57"/>
      <c r="X145" s="57"/>
      <c r="Y145" s="57"/>
      <c r="Z145" s="106"/>
      <c r="AA145" s="106"/>
      <c r="AB145" s="106"/>
      <c r="AC145" s="106"/>
      <c r="AD145" s="106"/>
      <c r="AE145" s="106"/>
      <c r="AF145" s="57"/>
      <c r="AG145" s="57"/>
      <c r="AH145" s="57"/>
      <c r="AI145" s="57"/>
      <c r="AJ145" s="57"/>
      <c r="AK145" s="57"/>
      <c r="AL145" s="57"/>
      <c r="AM145" s="25"/>
      <c r="AQ145" s="267"/>
      <c r="AR145" s="267"/>
      <c r="AS145" s="267"/>
    </row>
    <row r="148" spans="1:45" ht="11.5" x14ac:dyDescent="0.25">
      <c r="O148" s="26"/>
    </row>
    <row r="151" spans="1:45" x14ac:dyDescent="0.35">
      <c r="AM151" s="26"/>
    </row>
    <row r="155" spans="1:45" ht="11.5" x14ac:dyDescent="0.25">
      <c r="O155" s="250"/>
    </row>
    <row r="156" spans="1:45" ht="11.5" x14ac:dyDescent="0.25">
      <c r="O156" s="26"/>
    </row>
    <row r="159" spans="1:45" ht="11.5" x14ac:dyDescent="0.25">
      <c r="O159" s="26"/>
    </row>
    <row r="164" spans="39:39" x14ac:dyDescent="0.35">
      <c r="AM164" s="26"/>
    </row>
    <row r="167" spans="39:39" x14ac:dyDescent="0.35">
      <c r="AM167" s="26"/>
    </row>
    <row r="174" spans="39:39" x14ac:dyDescent="0.35">
      <c r="AM174" s="250"/>
    </row>
    <row r="175" spans="39:39" x14ac:dyDescent="0.35">
      <c r="AM175" s="26"/>
    </row>
    <row r="178" spans="39:39" x14ac:dyDescent="0.35">
      <c r="AM178" s="26"/>
    </row>
    <row r="185" spans="39:39" ht="14.5" customHeight="1" x14ac:dyDescent="0.35"/>
    <row r="187" spans="39:39" ht="14.5" customHeight="1" x14ac:dyDescent="0.35"/>
    <row r="356" ht="14.5" customHeight="1" x14ac:dyDescent="0.35"/>
    <row r="357" ht="14.5" customHeight="1" x14ac:dyDescent="0.35"/>
  </sheetData>
  <sheetProtection formatCells="0" formatColumns="0" formatRows="0" insertRows="0" insertHyperlinks="0" deleteRows="0" sort="0" autoFilter="0" pivotTables="0"/>
  <mergeCells count="7">
    <mergeCell ref="A2:C4"/>
    <mergeCell ref="AE2:AF2"/>
    <mergeCell ref="AE3:AF3"/>
    <mergeCell ref="AE4:AF4"/>
    <mergeCell ref="X2:Z2"/>
    <mergeCell ref="X3:Z3"/>
    <mergeCell ref="X4:Z4"/>
  </mergeCells>
  <phoneticPr fontId="25" type="noConversion"/>
  <conditionalFormatting sqref="K9:L9 K11:L81">
    <cfRule type="cellIs" dxfId="1" priority="2" operator="equal">
      <formula>0</formula>
    </cfRule>
  </conditionalFormatting>
  <conditionalFormatting sqref="L9 L11:L81">
    <cfRule type="cellIs" dxfId="0" priority="1" operator="equal">
      <formula>0</formula>
    </cfRule>
  </conditionalFormatting>
  <dataValidations count="1">
    <dataValidation type="whole" allowBlank="1" showInputMessage="1" showErrorMessage="1" sqref="F9:F81" xr:uid="{0772D86A-C4E2-46E4-AFFB-6B7CCF38344E}">
      <formula1>0</formula1>
      <formula2>200</formula2>
    </dataValidation>
  </dataValidations>
  <pageMargins left="0.511811024" right="0.511811024" top="0.78740157499999996" bottom="0.78740157499999996" header="0.31496062000000002" footer="0.31496062000000002"/>
  <pageSetup paperSize="9" scale="37" orientation="landscape" r:id="rId2"/>
  <colBreaks count="1" manualBreakCount="1">
    <brk id="38" max="1048575" man="1"/>
  </colBreaks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9028349-12C4-4091-9681-47ED34FFD0EA}">
          <x14:formula1>
            <xm:f>BASE!$P$3:$P$30</xm:f>
          </x14:formula1>
          <xm:sqref>O9:O81</xm:sqref>
        </x14:dataValidation>
        <x14:dataValidation type="list" allowBlank="1" showInputMessage="1" showErrorMessage="1" xr:uid="{00930E2B-B9A3-4A65-BD48-0E453DE10077}">
          <x14:formula1>
            <xm:f>BASE!$N$3:$N$5</xm:f>
          </x14:formula1>
          <xm:sqref>P9:P81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1">
    <tabColor rgb="FFFF0000"/>
  </sheetPr>
  <dimension ref="A1:AK43"/>
  <sheetViews>
    <sheetView showGridLines="0" tabSelected="1" topLeftCell="C1" zoomScale="85" zoomScaleNormal="85" workbookViewId="0">
      <pane ySplit="8" topLeftCell="A9" activePane="bottomLeft" state="frozen"/>
      <selection pane="bottomLeft" activeCell="G13" sqref="G13"/>
    </sheetView>
  </sheetViews>
  <sheetFormatPr defaultColWidth="8.81640625" defaultRowHeight="11.5" x14ac:dyDescent="0.25"/>
  <cols>
    <col min="1" max="1" width="4.453125" style="401" bestFit="1" customWidth="1"/>
    <col min="2" max="2" width="7.26953125" style="401" customWidth="1"/>
    <col min="3" max="3" width="74.1796875" style="401" customWidth="1"/>
    <col min="4" max="4" width="30" style="401" customWidth="1"/>
    <col min="5" max="5" width="22.54296875" style="401" customWidth="1"/>
    <col min="6" max="6" width="25.54296875" style="576" customWidth="1"/>
    <col min="7" max="7" width="11.54296875" style="403" customWidth="1"/>
    <col min="8" max="8" width="27" style="403" customWidth="1"/>
    <col min="9" max="9" width="12.54296875" style="403" bestFit="1" customWidth="1"/>
    <col min="10" max="10" width="24.81640625" style="401" customWidth="1"/>
    <col min="11" max="12" width="41.26953125" style="401" customWidth="1"/>
    <col min="13" max="16384" width="8.81640625" style="401"/>
  </cols>
  <sheetData>
    <row r="1" spans="1:37" x14ac:dyDescent="0.25">
      <c r="G1" s="401"/>
      <c r="H1" s="567"/>
      <c r="I1" s="401"/>
    </row>
    <row r="2" spans="1:37" s="411" customFormat="1" ht="20.5" customHeight="1" x14ac:dyDescent="0.35">
      <c r="B2" s="528" t="s">
        <v>365</v>
      </c>
      <c r="C2" s="529"/>
      <c r="D2" s="529"/>
      <c r="E2" s="529"/>
      <c r="F2" s="577"/>
      <c r="G2" s="530"/>
      <c r="H2" s="568"/>
      <c r="I2" s="531"/>
      <c r="J2" s="532"/>
      <c r="K2" s="533">
        <v>0</v>
      </c>
      <c r="Y2" s="406"/>
      <c r="Z2" s="406"/>
      <c r="AA2" s="406"/>
      <c r="AB2" s="406"/>
      <c r="AC2" s="406"/>
      <c r="AD2" s="406"/>
      <c r="AE2" s="406"/>
      <c r="AF2" s="406"/>
      <c r="AG2" s="406"/>
      <c r="AH2" s="406"/>
      <c r="AI2" s="406"/>
      <c r="AJ2" s="534"/>
      <c r="AK2" s="534"/>
    </row>
    <row r="3" spans="1:37" s="411" customFormat="1" ht="20.5" customHeight="1" x14ac:dyDescent="0.35">
      <c r="A3" s="406"/>
      <c r="B3" s="535"/>
      <c r="C3" s="536"/>
      <c r="D3" s="536"/>
      <c r="E3" s="536"/>
      <c r="F3" s="578"/>
      <c r="G3" s="537"/>
      <c r="H3" s="569"/>
      <c r="I3" s="538"/>
      <c r="J3" s="532"/>
      <c r="K3" s="533" t="s">
        <v>283</v>
      </c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534"/>
      <c r="AK3" s="534"/>
    </row>
    <row r="4" spans="1:37" s="411" customFormat="1" ht="20.5" customHeight="1" x14ac:dyDescent="0.35">
      <c r="A4" s="406"/>
      <c r="B4" s="539"/>
      <c r="C4" s="540"/>
      <c r="D4" s="540"/>
      <c r="E4" s="540"/>
      <c r="F4" s="579"/>
      <c r="G4" s="541"/>
      <c r="H4" s="570"/>
      <c r="I4" s="542"/>
      <c r="J4" s="532"/>
      <c r="K4" s="543">
        <v>43420</v>
      </c>
      <c r="W4" s="413"/>
      <c r="X4" s="413"/>
      <c r="Y4" s="406"/>
      <c r="Z4" s="406"/>
      <c r="AA4" s="406"/>
      <c r="AB4" s="406"/>
      <c r="AC4" s="406"/>
      <c r="AD4" s="406"/>
      <c r="AE4" s="406"/>
      <c r="AF4" s="406"/>
      <c r="AG4" s="406"/>
      <c r="AH4" s="406"/>
      <c r="AI4" s="406"/>
      <c r="AJ4" s="534"/>
      <c r="AK4" s="534"/>
    </row>
    <row r="5" spans="1:37" x14ac:dyDescent="0.25">
      <c r="A5" s="414"/>
      <c r="B5" s="414"/>
      <c r="C5" s="414"/>
      <c r="D5" s="414"/>
      <c r="E5" s="414"/>
      <c r="F5" s="580"/>
      <c r="G5" s="414"/>
      <c r="H5" s="571"/>
      <c r="I5" s="414"/>
      <c r="J5" s="414"/>
      <c r="K5" s="414"/>
    </row>
    <row r="6" spans="1:37" x14ac:dyDescent="0.25">
      <c r="G6" s="401"/>
      <c r="H6" s="567"/>
      <c r="I6" s="401"/>
    </row>
    <row r="7" spans="1:37" x14ac:dyDescent="0.25">
      <c r="A7" s="414"/>
      <c r="B7" s="544"/>
      <c r="C7" s="545"/>
      <c r="D7" s="545"/>
      <c r="E7" s="545"/>
      <c r="F7" s="581"/>
      <c r="G7" s="545"/>
      <c r="H7" s="572"/>
      <c r="I7" s="545"/>
      <c r="J7" s="545"/>
      <c r="K7" s="546"/>
    </row>
    <row r="8" spans="1:37" ht="19.899999999999999" customHeight="1" thickBot="1" x14ac:dyDescent="0.3">
      <c r="B8" s="547" t="s">
        <v>366</v>
      </c>
      <c r="C8" s="548" t="s">
        <v>367</v>
      </c>
      <c r="D8" s="548" t="s">
        <v>619</v>
      </c>
      <c r="E8" s="548" t="s">
        <v>368</v>
      </c>
      <c r="F8" s="548" t="s">
        <v>137</v>
      </c>
      <c r="G8" s="549" t="s">
        <v>369</v>
      </c>
      <c r="H8" s="573" t="s">
        <v>370</v>
      </c>
      <c r="I8" s="550" t="s">
        <v>338</v>
      </c>
      <c r="J8" s="551" t="s">
        <v>371</v>
      </c>
      <c r="K8" s="552" t="s">
        <v>372</v>
      </c>
    </row>
    <row r="9" spans="1:37" ht="58" thickBot="1" x14ac:dyDescent="0.3">
      <c r="B9" s="553">
        <v>1</v>
      </c>
      <c r="C9" s="113" t="s">
        <v>549</v>
      </c>
      <c r="D9" s="113" t="s">
        <v>550</v>
      </c>
      <c r="E9" s="113" t="s">
        <v>733</v>
      </c>
      <c r="F9" s="435"/>
      <c r="G9" s="554">
        <v>570</v>
      </c>
      <c r="H9" s="574">
        <v>189.73</v>
      </c>
      <c r="I9" s="555">
        <v>0.03</v>
      </c>
      <c r="J9" s="556">
        <f>FatDir[[#This Row],[R$ / Unit s/DESC]]-FatDir[[#This Row],[R$ / Unit s/DESC]]*FatDir[[#This Row],[% DESC]]</f>
        <v>184.03809999999999</v>
      </c>
      <c r="K9" s="632">
        <f>J9*G9</f>
        <v>104901.71699999999</v>
      </c>
    </row>
    <row r="10" spans="1:37" ht="58" thickBot="1" x14ac:dyDescent="0.3">
      <c r="B10" s="553">
        <v>2</v>
      </c>
      <c r="C10" s="113" t="s">
        <v>549</v>
      </c>
      <c r="D10" s="113" t="s">
        <v>550</v>
      </c>
      <c r="E10" s="113" t="s">
        <v>733</v>
      </c>
      <c r="F10" s="435"/>
      <c r="G10" s="554">
        <v>165</v>
      </c>
      <c r="H10" s="574">
        <v>189.73</v>
      </c>
      <c r="I10" s="555">
        <v>0.03</v>
      </c>
      <c r="J10" s="556">
        <f>FatDir[[#This Row],[R$ / Unit s/DESC]]-FatDir[[#This Row],[R$ / Unit s/DESC]]*FatDir[[#This Row],[% DESC]]</f>
        <v>184.03809999999999</v>
      </c>
      <c r="K10" s="632">
        <f t="shared" ref="K10:K26" si="0">J10*G10</f>
        <v>30366.286499999998</v>
      </c>
    </row>
    <row r="11" spans="1:37" ht="23.5" thickBot="1" x14ac:dyDescent="0.3">
      <c r="B11" s="553">
        <v>3</v>
      </c>
      <c r="C11" s="113" t="s">
        <v>556</v>
      </c>
      <c r="D11" s="113" t="s">
        <v>555</v>
      </c>
      <c r="E11" s="113" t="s">
        <v>733</v>
      </c>
      <c r="F11" s="435"/>
      <c r="G11" s="638">
        <v>35</v>
      </c>
      <c r="H11" s="574">
        <v>6.3848000000000003</v>
      </c>
      <c r="I11" s="555">
        <v>0.03</v>
      </c>
      <c r="J11" s="556">
        <f>FatDir[[#This Row],[R$ / Unit s/DESC]]-FatDir[[#This Row],[R$ / Unit s/DESC]]*FatDir[[#This Row],[% DESC]]</f>
        <v>6.1932559999999999</v>
      </c>
      <c r="K11" s="632">
        <f t="shared" si="0"/>
        <v>216.76396</v>
      </c>
    </row>
    <row r="12" spans="1:37" ht="23.5" thickBot="1" x14ac:dyDescent="0.3">
      <c r="B12" s="553">
        <v>4</v>
      </c>
      <c r="C12" s="113" t="s">
        <v>557</v>
      </c>
      <c r="D12" s="113" t="s">
        <v>555</v>
      </c>
      <c r="E12" s="113" t="s">
        <v>733</v>
      </c>
      <c r="F12" s="435"/>
      <c r="G12" s="554">
        <v>1360</v>
      </c>
      <c r="H12" s="641">
        <v>11.99</v>
      </c>
      <c r="I12" s="555">
        <v>0.03</v>
      </c>
      <c r="J12" s="556">
        <f>FatDir[[#This Row],[R$ / Unit s/DESC]]-FatDir[[#This Row],[R$ / Unit s/DESC]]*FatDir[[#This Row],[% DESC]]</f>
        <v>11.6303</v>
      </c>
      <c r="K12" s="632">
        <f t="shared" si="0"/>
        <v>15817.208000000001</v>
      </c>
    </row>
    <row r="13" spans="1:37" ht="23.5" thickBot="1" x14ac:dyDescent="0.3">
      <c r="B13" s="553">
        <v>5</v>
      </c>
      <c r="C13" s="113" t="s">
        <v>558</v>
      </c>
      <c r="D13" s="113" t="s">
        <v>555</v>
      </c>
      <c r="E13" s="113" t="s">
        <v>733</v>
      </c>
      <c r="F13" s="435"/>
      <c r="G13" s="638">
        <v>720</v>
      </c>
      <c r="H13" s="641">
        <v>25</v>
      </c>
      <c r="I13" s="555">
        <v>0.03</v>
      </c>
      <c r="J13" s="556">
        <f>FatDir[[#This Row],[R$ / Unit s/DESC]]-FatDir[[#This Row],[R$ / Unit s/DESC]]*FatDir[[#This Row],[% DESC]]</f>
        <v>24.25</v>
      </c>
      <c r="K13" s="632">
        <f t="shared" si="0"/>
        <v>17460</v>
      </c>
    </row>
    <row r="14" spans="1:37" ht="23.5" thickBot="1" x14ac:dyDescent="0.3">
      <c r="B14" s="553">
        <v>6</v>
      </c>
      <c r="C14" s="113" t="s">
        <v>559</v>
      </c>
      <c r="D14" s="113" t="s">
        <v>555</v>
      </c>
      <c r="E14" s="113" t="s">
        <v>733</v>
      </c>
      <c r="F14" s="435"/>
      <c r="G14" s="638">
        <v>1207</v>
      </c>
      <c r="H14" s="641">
        <v>34</v>
      </c>
      <c r="I14" s="555">
        <v>0.03</v>
      </c>
      <c r="J14" s="556">
        <f>FatDir[[#This Row],[R$ / Unit s/DESC]]-FatDir[[#This Row],[R$ / Unit s/DESC]]*FatDir[[#This Row],[% DESC]]</f>
        <v>32.979999999999997</v>
      </c>
      <c r="K14" s="632">
        <f t="shared" si="0"/>
        <v>39806.859999999993</v>
      </c>
    </row>
    <row r="15" spans="1:37" ht="23.5" thickBot="1" x14ac:dyDescent="0.3">
      <c r="B15" s="553">
        <v>7</v>
      </c>
      <c r="C15" s="113" t="s">
        <v>561</v>
      </c>
      <c r="D15" s="113" t="s">
        <v>555</v>
      </c>
      <c r="E15" s="113" t="s">
        <v>733</v>
      </c>
      <c r="F15" s="435"/>
      <c r="G15" s="638">
        <v>331</v>
      </c>
      <c r="H15" s="574">
        <v>78.588399999999993</v>
      </c>
      <c r="I15" s="555">
        <v>0.03</v>
      </c>
      <c r="J15" s="556">
        <f>FatDir[[#This Row],[R$ / Unit s/DESC]]-FatDir[[#This Row],[R$ / Unit s/DESC]]*FatDir[[#This Row],[% DESC]]</f>
        <v>76.230747999999991</v>
      </c>
      <c r="K15" s="632">
        <f t="shared" si="0"/>
        <v>25232.377587999996</v>
      </c>
    </row>
    <row r="16" spans="1:37" ht="23.5" thickBot="1" x14ac:dyDescent="0.3">
      <c r="B16" s="553">
        <v>8</v>
      </c>
      <c r="C16" s="113" t="s">
        <v>563</v>
      </c>
      <c r="D16" s="113" t="s">
        <v>572</v>
      </c>
      <c r="E16" s="113" t="s">
        <v>733</v>
      </c>
      <c r="F16" s="435"/>
      <c r="G16" s="554">
        <v>255</v>
      </c>
      <c r="H16" s="574">
        <v>132.02000000000001</v>
      </c>
      <c r="I16" s="555">
        <v>0.03</v>
      </c>
      <c r="J16" s="556">
        <f>FatDir[[#This Row],[R$ / Unit s/DESC]]-FatDir[[#This Row],[R$ / Unit s/DESC]]*FatDir[[#This Row],[% DESC]]</f>
        <v>128.05940000000001</v>
      </c>
      <c r="K16" s="632">
        <f t="shared" si="0"/>
        <v>32655.147000000004</v>
      </c>
    </row>
    <row r="17" spans="2:11" ht="23.5" thickBot="1" x14ac:dyDescent="0.3">
      <c r="B17" s="553">
        <v>9</v>
      </c>
      <c r="C17" s="113" t="s">
        <v>620</v>
      </c>
      <c r="D17" s="113" t="s">
        <v>592</v>
      </c>
      <c r="E17" s="113" t="s">
        <v>595</v>
      </c>
      <c r="F17" s="435"/>
      <c r="G17" s="554">
        <v>200</v>
      </c>
      <c r="H17" s="574">
        <v>17.63</v>
      </c>
      <c r="I17" s="555">
        <v>0.03</v>
      </c>
      <c r="J17" s="556">
        <f>FatDir[[#This Row],[R$ / Unit s/DESC]]-FatDir[[#This Row],[R$ / Unit s/DESC]]*FatDir[[#This Row],[% DESC]]</f>
        <v>17.101099999999999</v>
      </c>
      <c r="K17" s="632">
        <f t="shared" si="0"/>
        <v>3420.22</v>
      </c>
    </row>
    <row r="18" spans="2:11" ht="23.5" thickBot="1" x14ac:dyDescent="0.3">
      <c r="B18" s="553">
        <v>10</v>
      </c>
      <c r="C18" s="113" t="s">
        <v>593</v>
      </c>
      <c r="D18" s="113" t="s">
        <v>594</v>
      </c>
      <c r="E18" s="113" t="s">
        <v>595</v>
      </c>
      <c r="F18" s="435"/>
      <c r="G18" s="554">
        <v>2100</v>
      </c>
      <c r="H18" s="574">
        <v>4.0590000000000002</v>
      </c>
      <c r="I18" s="555">
        <v>0.03</v>
      </c>
      <c r="J18" s="556">
        <f>FatDir[[#This Row],[R$ / Unit s/DESC]]-FatDir[[#This Row],[R$ / Unit s/DESC]]*FatDir[[#This Row],[% DESC]]</f>
        <v>3.93723</v>
      </c>
      <c r="K18" s="632">
        <f t="shared" si="0"/>
        <v>8268.1830000000009</v>
      </c>
    </row>
    <row r="19" spans="2:11" ht="23.5" thickBot="1" x14ac:dyDescent="0.3">
      <c r="B19" s="553">
        <v>11</v>
      </c>
      <c r="C19" s="113" t="s">
        <v>903</v>
      </c>
      <c r="D19" s="113" t="s">
        <v>592</v>
      </c>
      <c r="E19" s="113" t="s">
        <v>595</v>
      </c>
      <c r="F19" s="435"/>
      <c r="G19" s="554">
        <v>1000</v>
      </c>
      <c r="H19" s="630">
        <f>H17/2*1.2</f>
        <v>10.577999999999999</v>
      </c>
      <c r="I19" s="555">
        <v>0.03</v>
      </c>
      <c r="J19" s="631">
        <f>FatDir[[#This Row],[R$ / Unit s/DESC]]-FatDir[[#This Row],[R$ / Unit s/DESC]]*FatDir[[#This Row],[% DESC]]</f>
        <v>10.26066</v>
      </c>
      <c r="K19" s="632">
        <f>J19*G19</f>
        <v>10260.66</v>
      </c>
    </row>
    <row r="20" spans="2:11" ht="23.5" thickBot="1" x14ac:dyDescent="0.3">
      <c r="B20" s="553">
        <v>12</v>
      </c>
      <c r="C20" s="639" t="s">
        <v>904</v>
      </c>
      <c r="D20" s="113" t="s">
        <v>598</v>
      </c>
      <c r="E20" s="113" t="s">
        <v>621</v>
      </c>
      <c r="F20" s="435"/>
      <c r="G20" s="554">
        <v>300</v>
      </c>
      <c r="H20" s="641">
        <v>75.989999999999995</v>
      </c>
      <c r="I20" s="555">
        <v>0.03</v>
      </c>
      <c r="J20" s="556">
        <f>FatDir[[#This Row],[R$ / Unit s/DESC]]-FatDir[[#This Row],[R$ / Unit s/DESC]]*FatDir[[#This Row],[% DESC]]</f>
        <v>73.710299999999989</v>
      </c>
      <c r="K20" s="632">
        <f t="shared" si="0"/>
        <v>22113.089999999997</v>
      </c>
    </row>
    <row r="21" spans="2:11" ht="19.899999999999999" customHeight="1" thickBot="1" x14ac:dyDescent="0.3">
      <c r="B21" s="553">
        <v>13</v>
      </c>
      <c r="C21" s="639" t="s">
        <v>905</v>
      </c>
      <c r="D21" s="113" t="s">
        <v>598</v>
      </c>
      <c r="E21" s="113" t="s">
        <v>621</v>
      </c>
      <c r="F21" s="435"/>
      <c r="G21" s="554">
        <v>230</v>
      </c>
      <c r="H21" s="641">
        <v>40.99</v>
      </c>
      <c r="I21" s="555">
        <v>0.03</v>
      </c>
      <c r="J21" s="556">
        <f>FatDir[[#This Row],[R$ / Unit s/DESC]]-FatDir[[#This Row],[R$ / Unit s/DESC]]*FatDir[[#This Row],[% DESC]]</f>
        <v>39.760300000000001</v>
      </c>
      <c r="K21" s="632">
        <f t="shared" si="0"/>
        <v>9144.8690000000006</v>
      </c>
    </row>
    <row r="22" spans="2:11" ht="19.899999999999999" customHeight="1" thickBot="1" x14ac:dyDescent="0.3">
      <c r="B22" s="553"/>
      <c r="C22" s="639" t="s">
        <v>906</v>
      </c>
      <c r="D22" s="113" t="s">
        <v>598</v>
      </c>
      <c r="E22" s="113" t="s">
        <v>621</v>
      </c>
      <c r="F22" s="435"/>
      <c r="G22" s="554">
        <v>130</v>
      </c>
      <c r="H22" s="641">
        <v>17.989999999999998</v>
      </c>
      <c r="I22" s="555">
        <v>0.03</v>
      </c>
      <c r="J22" s="631">
        <f>FatDir[[#This Row],[R$ / Unit s/DESC]]-FatDir[[#This Row],[R$ / Unit s/DESC]]*FatDir[[#This Row],[% DESC]]</f>
        <v>17.450299999999999</v>
      </c>
      <c r="K22" s="557">
        <f t="shared" ref="K22" si="1">J22*G22</f>
        <v>2268.5389999999998</v>
      </c>
    </row>
    <row r="23" spans="2:11" ht="19.899999999999999" customHeight="1" thickBot="1" x14ac:dyDescent="0.3">
      <c r="B23" s="553">
        <v>14</v>
      </c>
      <c r="C23" s="113" t="s">
        <v>868</v>
      </c>
      <c r="D23" s="113" t="s">
        <v>867</v>
      </c>
      <c r="E23" s="113"/>
      <c r="F23" s="435"/>
      <c r="G23" s="554">
        <v>1</v>
      </c>
      <c r="H23" s="574">
        <v>40000</v>
      </c>
      <c r="I23" s="555">
        <v>0.03</v>
      </c>
      <c r="J23" s="556">
        <f>FatDir[[#This Row],[R$ / Unit s/DESC]]-FatDir[[#This Row],[R$ / Unit s/DESC]]*FatDir[[#This Row],[% DESC]]</f>
        <v>38800</v>
      </c>
      <c r="K23" s="632">
        <f t="shared" si="0"/>
        <v>38800</v>
      </c>
    </row>
    <row r="24" spans="2:11" ht="19.899999999999999" customHeight="1" x14ac:dyDescent="0.25">
      <c r="B24" s="553">
        <v>15</v>
      </c>
      <c r="C24" s="113" t="s">
        <v>869</v>
      </c>
      <c r="D24" s="113" t="s">
        <v>867</v>
      </c>
      <c r="E24" s="113"/>
      <c r="F24" s="435"/>
      <c r="G24" s="554">
        <v>1</v>
      </c>
      <c r="H24" s="574">
        <v>37500</v>
      </c>
      <c r="I24" s="555">
        <v>0.03</v>
      </c>
      <c r="J24" s="556">
        <f>FatDir[[#This Row],[R$ / Unit s/DESC]]-FatDir[[#This Row],[R$ / Unit s/DESC]]*FatDir[[#This Row],[% DESC]]</f>
        <v>36375</v>
      </c>
      <c r="K24" s="632">
        <f t="shared" si="0"/>
        <v>36375</v>
      </c>
    </row>
    <row r="25" spans="2:11" ht="19.899999999999999" customHeight="1" x14ac:dyDescent="0.25">
      <c r="B25" s="553"/>
      <c r="C25" s="113"/>
      <c r="D25" s="113"/>
      <c r="E25" s="113"/>
      <c r="F25" s="435"/>
      <c r="G25" s="554"/>
      <c r="H25" s="574"/>
      <c r="I25" s="558"/>
      <c r="J25" s="556">
        <f>FatDir[[#This Row],[R$ / Unit s/DESC]]-FatDir[[#This Row],[R$ / Unit s/DESC]]*FatDir[[#This Row],[% DESC]]</f>
        <v>0</v>
      </c>
      <c r="K25" s="557">
        <f t="shared" si="0"/>
        <v>0</v>
      </c>
    </row>
    <row r="26" spans="2:11" ht="19.899999999999999" customHeight="1" x14ac:dyDescent="0.25">
      <c r="B26" s="553"/>
      <c r="C26" s="113"/>
      <c r="D26" s="113"/>
      <c r="E26" s="113"/>
      <c r="F26" s="435"/>
      <c r="G26" s="554"/>
      <c r="H26" s="574"/>
      <c r="I26" s="558"/>
      <c r="J26" s="556">
        <f>FatDir[[#This Row],[R$ / Unit s/DESC]]-FatDir[[#This Row],[R$ / Unit s/DESC]]*FatDir[[#This Row],[% DESC]]</f>
        <v>0</v>
      </c>
      <c r="K26" s="557">
        <f t="shared" si="0"/>
        <v>0</v>
      </c>
    </row>
    <row r="27" spans="2:11" ht="19.899999999999999" customHeight="1" x14ac:dyDescent="0.25">
      <c r="B27" s="553"/>
      <c r="C27" s="113"/>
      <c r="D27" s="113"/>
      <c r="E27" s="113"/>
      <c r="F27" s="435"/>
      <c r="G27" s="554"/>
      <c r="H27" s="574"/>
      <c r="I27" s="558"/>
      <c r="J27" s="556">
        <f>FatDir[[#This Row],[R$ / Unit s/DESC]]-FatDir[[#This Row],[R$ / Unit s/DESC]]*FatDir[[#This Row],[% DESC]]</f>
        <v>0</v>
      </c>
      <c r="K27" s="557">
        <f t="shared" ref="K27:K34" si="2">J27*G27</f>
        <v>0</v>
      </c>
    </row>
    <row r="28" spans="2:11" ht="19.899999999999999" customHeight="1" x14ac:dyDescent="0.25">
      <c r="B28" s="553"/>
      <c r="C28" s="113"/>
      <c r="D28" s="113"/>
      <c r="E28" s="113"/>
      <c r="F28" s="435"/>
      <c r="G28" s="554"/>
      <c r="H28" s="574"/>
      <c r="I28" s="558"/>
      <c r="J28" s="556">
        <f>FatDir[[#This Row],[R$ / Unit s/DESC]]-FatDir[[#This Row],[R$ / Unit s/DESC]]*FatDir[[#This Row],[% DESC]]</f>
        <v>0</v>
      </c>
      <c r="K28" s="557">
        <f t="shared" si="2"/>
        <v>0</v>
      </c>
    </row>
    <row r="29" spans="2:11" ht="19.899999999999999" customHeight="1" x14ac:dyDescent="0.25">
      <c r="B29" s="553"/>
      <c r="C29" s="113"/>
      <c r="D29" s="113"/>
      <c r="E29" s="113"/>
      <c r="F29" s="435"/>
      <c r="G29" s="554"/>
      <c r="H29" s="574"/>
      <c r="I29" s="558"/>
      <c r="J29" s="556">
        <f>FatDir[[#This Row],[R$ / Unit s/DESC]]-FatDir[[#This Row],[R$ / Unit s/DESC]]*FatDir[[#This Row],[% DESC]]</f>
        <v>0</v>
      </c>
      <c r="K29" s="557">
        <f t="shared" si="2"/>
        <v>0</v>
      </c>
    </row>
    <row r="30" spans="2:11" ht="19.899999999999999" customHeight="1" x14ac:dyDescent="0.25">
      <c r="B30" s="553"/>
      <c r="C30" s="113"/>
      <c r="D30" s="113"/>
      <c r="E30" s="113"/>
      <c r="F30" s="435"/>
      <c r="G30" s="554"/>
      <c r="H30" s="574"/>
      <c r="I30" s="558"/>
      <c r="J30" s="556">
        <f>FatDir[[#This Row],[R$ / Unit s/DESC]]-FatDir[[#This Row],[R$ / Unit s/DESC]]*FatDir[[#This Row],[% DESC]]</f>
        <v>0</v>
      </c>
      <c r="K30" s="557">
        <f t="shared" si="2"/>
        <v>0</v>
      </c>
    </row>
    <row r="31" spans="2:11" ht="19.899999999999999" customHeight="1" x14ac:dyDescent="0.25">
      <c r="B31" s="553"/>
      <c r="C31" s="113"/>
      <c r="D31" s="113"/>
      <c r="E31" s="113"/>
      <c r="F31" s="435"/>
      <c r="G31" s="554"/>
      <c r="H31" s="574"/>
      <c r="I31" s="558"/>
      <c r="J31" s="556">
        <f>FatDir[[#This Row],[R$ / Unit s/DESC]]-FatDir[[#This Row],[R$ / Unit s/DESC]]*FatDir[[#This Row],[% DESC]]</f>
        <v>0</v>
      </c>
      <c r="K31" s="557">
        <f t="shared" si="2"/>
        <v>0</v>
      </c>
    </row>
    <row r="32" spans="2:11" ht="19.899999999999999" customHeight="1" x14ac:dyDescent="0.25">
      <c r="B32" s="553"/>
      <c r="C32" s="113"/>
      <c r="D32" s="113"/>
      <c r="E32" s="113"/>
      <c r="F32" s="435"/>
      <c r="G32" s="554"/>
      <c r="H32" s="574"/>
      <c r="I32" s="558"/>
      <c r="J32" s="556">
        <f>FatDir[[#This Row],[R$ / Unit s/DESC]]-FatDir[[#This Row],[R$ / Unit s/DESC]]*FatDir[[#This Row],[% DESC]]</f>
        <v>0</v>
      </c>
      <c r="K32" s="557">
        <f t="shared" si="2"/>
        <v>0</v>
      </c>
    </row>
    <row r="33" spans="2:11" ht="19.899999999999999" customHeight="1" x14ac:dyDescent="0.25">
      <c r="B33" s="553"/>
      <c r="C33" s="113"/>
      <c r="D33" s="113"/>
      <c r="E33" s="113"/>
      <c r="F33" s="435"/>
      <c r="G33" s="554"/>
      <c r="H33" s="574"/>
      <c r="I33" s="558"/>
      <c r="J33" s="556">
        <f>FatDir[[#This Row],[R$ / Unit s/DESC]]-FatDir[[#This Row],[R$ / Unit s/DESC]]*FatDir[[#This Row],[% DESC]]</f>
        <v>0</v>
      </c>
      <c r="K33" s="557">
        <f t="shared" si="2"/>
        <v>0</v>
      </c>
    </row>
    <row r="34" spans="2:11" ht="19.899999999999999" customHeight="1" x14ac:dyDescent="0.25">
      <c r="B34" s="553"/>
      <c r="C34" s="113"/>
      <c r="D34" s="113"/>
      <c r="E34" s="113"/>
      <c r="F34" s="435"/>
      <c r="G34" s="554"/>
      <c r="H34" s="574"/>
      <c r="I34" s="558"/>
      <c r="J34" s="556">
        <f>FatDir[[#This Row],[R$ / Unit s/DESC]]-FatDir[[#This Row],[R$ / Unit s/DESC]]*FatDir[[#This Row],[% DESC]]</f>
        <v>0</v>
      </c>
      <c r="K34" s="557">
        <f t="shared" si="2"/>
        <v>0</v>
      </c>
    </row>
    <row r="35" spans="2:11" ht="19.899999999999999" customHeight="1" x14ac:dyDescent="0.25">
      <c r="B35" s="553"/>
      <c r="C35" s="113"/>
      <c r="D35" s="113"/>
      <c r="E35" s="113"/>
      <c r="F35" s="435"/>
      <c r="G35" s="554"/>
      <c r="H35" s="574"/>
      <c r="I35" s="558"/>
      <c r="J35" s="556">
        <f>FatDir[[#This Row],[R$ / Unit s/DESC]]-FatDir[[#This Row],[R$ / Unit s/DESC]]*FatDir[[#This Row],[% DESC]]</f>
        <v>0</v>
      </c>
      <c r="K35" s="557">
        <f t="shared" ref="K35:K38" si="3">J35*G35</f>
        <v>0</v>
      </c>
    </row>
    <row r="36" spans="2:11" ht="19.899999999999999" customHeight="1" x14ac:dyDescent="0.25">
      <c r="B36" s="553"/>
      <c r="C36" s="113"/>
      <c r="D36" s="113"/>
      <c r="E36" s="113"/>
      <c r="F36" s="435"/>
      <c r="G36" s="554"/>
      <c r="H36" s="574"/>
      <c r="I36" s="558"/>
      <c r="J36" s="556">
        <f>FatDir[[#This Row],[R$ / Unit s/DESC]]-FatDir[[#This Row],[R$ / Unit s/DESC]]*FatDir[[#This Row],[% DESC]]</f>
        <v>0</v>
      </c>
      <c r="K36" s="557">
        <f t="shared" si="3"/>
        <v>0</v>
      </c>
    </row>
    <row r="37" spans="2:11" ht="19.899999999999999" customHeight="1" x14ac:dyDescent="0.25">
      <c r="B37" s="553"/>
      <c r="C37" s="113"/>
      <c r="D37" s="113"/>
      <c r="E37" s="113"/>
      <c r="F37" s="435"/>
      <c r="G37" s="554"/>
      <c r="H37" s="574"/>
      <c r="I37" s="558"/>
      <c r="J37" s="556">
        <f>FatDir[[#This Row],[R$ / Unit s/DESC]]-FatDir[[#This Row],[R$ / Unit s/DESC]]*FatDir[[#This Row],[% DESC]]</f>
        <v>0</v>
      </c>
      <c r="K37" s="557">
        <f t="shared" si="3"/>
        <v>0</v>
      </c>
    </row>
    <row r="38" spans="2:11" ht="19.899999999999999" customHeight="1" x14ac:dyDescent="0.25">
      <c r="B38" s="553"/>
      <c r="C38" s="113"/>
      <c r="D38" s="113"/>
      <c r="E38" s="113"/>
      <c r="F38" s="435"/>
      <c r="G38" s="554"/>
      <c r="H38" s="574"/>
      <c r="I38" s="558"/>
      <c r="J38" s="556">
        <f>FatDir[[#This Row],[R$ / Unit s/DESC]]-FatDir[[#This Row],[R$ / Unit s/DESC]]*FatDir[[#This Row],[% DESC]]</f>
        <v>0</v>
      </c>
      <c r="K38" s="557">
        <f t="shared" si="3"/>
        <v>0</v>
      </c>
    </row>
    <row r="39" spans="2:11" ht="19.899999999999999" customHeight="1" x14ac:dyDescent="0.25">
      <c r="B39" s="553"/>
      <c r="C39" s="113"/>
      <c r="D39" s="113"/>
      <c r="E39" s="113"/>
      <c r="F39" s="435"/>
      <c r="G39" s="554"/>
      <c r="H39" s="574"/>
      <c r="I39" s="558"/>
      <c r="J39" s="556">
        <f>FatDir[[#This Row],[R$ / Unit s/DESC]]-FatDir[[#This Row],[R$ / Unit s/DESC]]*FatDir[[#This Row],[% DESC]]</f>
        <v>0</v>
      </c>
      <c r="K39" s="557">
        <f t="shared" ref="K39:K40" si="4">J39*G39</f>
        <v>0</v>
      </c>
    </row>
    <row r="40" spans="2:11" ht="19.899999999999999" customHeight="1" x14ac:dyDescent="0.25">
      <c r="B40" s="553"/>
      <c r="C40" s="113"/>
      <c r="D40" s="113"/>
      <c r="E40" s="113"/>
      <c r="F40" s="435"/>
      <c r="G40" s="554"/>
      <c r="H40" s="574"/>
      <c r="I40" s="558"/>
      <c r="J40" s="556">
        <f>FatDir[[#This Row],[R$ / Unit s/DESC]]-FatDir[[#This Row],[R$ / Unit s/DESC]]*FatDir[[#This Row],[% DESC]]</f>
        <v>0</v>
      </c>
      <c r="K40" s="557">
        <f t="shared" si="4"/>
        <v>0</v>
      </c>
    </row>
    <row r="41" spans="2:11" x14ac:dyDescent="0.25">
      <c r="B41" s="553"/>
      <c r="C41" s="113"/>
      <c r="D41" s="113"/>
      <c r="E41" s="113"/>
      <c r="F41" s="435"/>
      <c r="G41" s="554"/>
      <c r="H41" s="574"/>
      <c r="I41" s="558"/>
      <c r="J41" s="556">
        <f>FatDir[[#This Row],[R$ / Unit s/DESC]]-FatDir[[#This Row],[R$ / Unit s/DESC]]*FatDir[[#This Row],[% DESC]]</f>
        <v>0</v>
      </c>
      <c r="K41" s="557">
        <f>J41*G41</f>
        <v>0</v>
      </c>
    </row>
    <row r="42" spans="2:11" ht="12" thickBot="1" x14ac:dyDescent="0.3">
      <c r="B42" s="553">
        <v>0</v>
      </c>
      <c r="C42" s="113"/>
      <c r="D42" s="113"/>
      <c r="E42" s="113"/>
      <c r="F42" s="435"/>
      <c r="G42" s="554"/>
      <c r="H42" s="574"/>
      <c r="I42" s="559"/>
      <c r="J42" s="560">
        <f>FatDir[[#This Row],[R$ / Unit s/DESC]]-FatDir[[#This Row],[R$ / Unit s/DESC]]*FatDir[[#This Row],[% DESC]]</f>
        <v>0</v>
      </c>
      <c r="K42" s="557">
        <f>J42*G42</f>
        <v>0</v>
      </c>
    </row>
    <row r="43" spans="2:11" x14ac:dyDescent="0.25">
      <c r="B43" s="561" t="s">
        <v>198</v>
      </c>
      <c r="C43" s="562"/>
      <c r="D43" s="562"/>
      <c r="E43" s="562"/>
      <c r="F43" s="582"/>
      <c r="G43" s="563"/>
      <c r="H43" s="575"/>
      <c r="I43" s="564"/>
      <c r="J43" s="565"/>
      <c r="K43" s="566">
        <f>SUBTOTAL(109,FatDir[Total (R$)])</f>
        <v>397106.92104799993</v>
      </c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CA08-2F2D-4A1E-ABCF-B6CB7C983221}">
  <dimension ref="A2:I20"/>
  <sheetViews>
    <sheetView showGridLines="0" zoomScale="160" zoomScaleNormal="160" workbookViewId="0">
      <selection activeCell="F9" sqref="F9"/>
    </sheetView>
  </sheetViews>
  <sheetFormatPr defaultRowHeight="14.5" x14ac:dyDescent="0.35"/>
  <cols>
    <col min="1" max="1" width="37.453125" bestFit="1" customWidth="1"/>
    <col min="2" max="2" width="17.7265625" bestFit="1" customWidth="1"/>
    <col min="3" max="3" width="18.26953125" bestFit="1" customWidth="1"/>
    <col min="4" max="4" width="15.81640625" bestFit="1" customWidth="1"/>
    <col min="5" max="5" width="17.7265625" bestFit="1" customWidth="1"/>
    <col min="6" max="6" width="12.453125" bestFit="1" customWidth="1"/>
    <col min="7" max="7" width="12.453125" customWidth="1"/>
    <col min="8" max="8" width="16.26953125" bestFit="1" customWidth="1"/>
    <col min="9" max="9" width="9.1796875" style="275"/>
  </cols>
  <sheetData>
    <row r="2" spans="1:9" x14ac:dyDescent="0.35">
      <c r="A2" s="151" t="s">
        <v>373</v>
      </c>
      <c r="B2" s="151" t="s">
        <v>374</v>
      </c>
      <c r="C2" s="151" t="s">
        <v>375</v>
      </c>
      <c r="D2" s="151" t="s">
        <v>376</v>
      </c>
      <c r="E2" s="151" t="s">
        <v>377</v>
      </c>
      <c r="F2" s="151" t="s">
        <v>378</v>
      </c>
      <c r="G2" s="151" t="s">
        <v>379</v>
      </c>
      <c r="H2" s="151" t="s">
        <v>110</v>
      </c>
      <c r="I2" s="278" t="s">
        <v>380</v>
      </c>
    </row>
    <row r="3" spans="1:9" x14ac:dyDescent="0.35">
      <c r="A3" s="151" t="s">
        <v>381</v>
      </c>
      <c r="B3" s="279">
        <f>SUMIF(ServInt[CENTRO DE CUSTO],CC_12[[#This Row],[CENTRO DE CUSTOS]],ServInt[VENDA COM IMPOSTOS])</f>
        <v>0</v>
      </c>
      <c r="C3" s="279">
        <f>SUMIF(ServExt[CENTRO DE CUSTO],CC_12[[#This Row],[CENTRO DE CUSTOS]],ServExt[VENDA COM IMPOSTOS])</f>
        <v>0</v>
      </c>
      <c r="D3" s="279">
        <f>SUMIF(ServInt10[CENTRO DE CUSTO],CC_12[[#This Row],[CENTRO DE CUSTOS]],ServInt10[VENDA COM IMPOSTOS])</f>
        <v>0</v>
      </c>
      <c r="E3" s="279">
        <f>SUMIF(ServExt8[CENTRO DE CUSTO],CC_12[[#This Row],[CENTRO DE CUSTOS]],ServExt8[VENDA COM IMPOSTOS])</f>
        <v>0</v>
      </c>
      <c r="F3" s="279">
        <f>SUMIF(ServTerc[CENTRO DE CUSTO],CC_12[[#This Row],[CENTRO DE CUSTOS]],ServTerc[TOTAL VENDA])</f>
        <v>0</v>
      </c>
      <c r="G3" s="279"/>
      <c r="H3" s="279">
        <f>SUM(CC_12[[#This Row],[SERVINT AUTPRO]:[MATERIAIS]])</f>
        <v>0</v>
      </c>
      <c r="I3" s="278">
        <f>IFERROR(CC_12[[#This Row],[TOTAL]]/CC_12[[#Totals],[TOTAL]],0)</f>
        <v>0</v>
      </c>
    </row>
    <row r="4" spans="1:9" x14ac:dyDescent="0.35">
      <c r="A4" s="151" t="s">
        <v>382</v>
      </c>
      <c r="B4" s="279">
        <f>SUMIF(ServInt[CENTRO DE CUSTO],CC_12[[#This Row],[CENTRO DE CUSTOS]],ServInt[VENDA COM IMPOSTOS])</f>
        <v>0</v>
      </c>
      <c r="C4" s="279">
        <f>SUMIF(ServExt[CENTRO DE CUSTO],CC_12[[#This Row],[CENTRO DE CUSTOS]],ServExt[VENDA COM IMPOSTOS])</f>
        <v>0</v>
      </c>
      <c r="D4" s="279">
        <f>SUMIF(ServInt10[CENTRO DE CUSTO],CC_12[[#This Row],[CENTRO DE CUSTOS]],ServInt10[VENDA COM IMPOSTOS])</f>
        <v>0</v>
      </c>
      <c r="E4" s="279">
        <f>SUMIF(ServExt8[CENTRO DE CUSTO],CC_12[[#This Row],[CENTRO DE CUSTOS]],ServExt8[VENDA COM IMPOSTOS])</f>
        <v>0</v>
      </c>
      <c r="F4" s="279">
        <f>SUMIF(ServTerc[CENTRO DE CUSTO],CC_12[[#This Row],[CENTRO DE CUSTOS]],ServTerc[TOTAL VENDA])</f>
        <v>0</v>
      </c>
      <c r="G4" s="279"/>
      <c r="H4" s="279">
        <f>SUM(CC_12[[#This Row],[SERVINT AUTPRO]:[MATERIAIS]])</f>
        <v>0</v>
      </c>
      <c r="I4" s="278">
        <f>IFERROR(CC_12[[#This Row],[TOTAL]]/CC_12[[#Totals],[TOTAL]],0)</f>
        <v>0</v>
      </c>
    </row>
    <row r="5" spans="1:9" x14ac:dyDescent="0.35">
      <c r="A5" s="151" t="s">
        <v>383</v>
      </c>
      <c r="B5" s="279">
        <f>SUMIF(ServInt[CENTRO DE CUSTO],CC_12[[#This Row],[CENTRO DE CUSTOS]],ServInt[VENDA COM IMPOSTOS])</f>
        <v>0</v>
      </c>
      <c r="C5" s="279">
        <f>SUMIF(ServExt[CENTRO DE CUSTO],CC_12[[#This Row],[CENTRO DE CUSTOS]],ServExt[VENDA COM IMPOSTOS])</f>
        <v>0</v>
      </c>
      <c r="D5" s="279">
        <f>SUMIF(ServInt10[CENTRO DE CUSTO],CC_12[[#This Row],[CENTRO DE CUSTOS]],ServInt10[VENDA COM IMPOSTOS])</f>
        <v>0</v>
      </c>
      <c r="E5" s="279">
        <f>SUMIF(ServExt8[CENTRO DE CUSTO],CC_12[[#This Row],[CENTRO DE CUSTOS]],ServExt8[VENDA COM IMPOSTOS])</f>
        <v>0</v>
      </c>
      <c r="F5" s="279">
        <f>SUMIF(ServTerc[CENTRO DE CUSTO],CC_12[[#This Row],[CENTRO DE CUSTOS]],ServTerc[TOTAL VENDA])</f>
        <v>0</v>
      </c>
      <c r="G5" s="279"/>
      <c r="H5" s="279">
        <f>SUM(CC_12[[#This Row],[SERVINT AUTPRO]:[MATERIAIS]])</f>
        <v>0</v>
      </c>
      <c r="I5" s="278">
        <f>IFERROR(CC_12[[#This Row],[TOTAL]]/CC_12[[#Totals],[TOTAL]],0)</f>
        <v>0</v>
      </c>
    </row>
    <row r="6" spans="1:9" x14ac:dyDescent="0.35">
      <c r="A6" s="151" t="s">
        <v>384</v>
      </c>
      <c r="B6" s="279">
        <f>SUMIF(ServInt[CENTRO DE CUSTO],CC_12[[#This Row],[CENTRO DE CUSTOS]],ServInt[VENDA COM IMPOSTOS])</f>
        <v>0</v>
      </c>
      <c r="C6" s="279">
        <f>SUMIF(ServExt[CENTRO DE CUSTO],CC_12[[#This Row],[CENTRO DE CUSTOS]],ServExt[VENDA COM IMPOSTOS])</f>
        <v>0</v>
      </c>
      <c r="D6" s="279">
        <f>SUMIF(ServInt10[CENTRO DE CUSTO],CC_12[[#This Row],[CENTRO DE CUSTOS]],ServInt10[VENDA COM IMPOSTOS])</f>
        <v>0</v>
      </c>
      <c r="E6" s="279">
        <f>SUMIF(ServExt8[CENTRO DE CUSTO],CC_12[[#This Row],[CENTRO DE CUSTOS]],ServExt8[VENDA COM IMPOSTOS])</f>
        <v>0</v>
      </c>
      <c r="F6" s="279">
        <f>SUMIF(ServTerc[CENTRO DE CUSTO],CC_12[[#This Row],[CENTRO DE CUSTOS]],ServTerc[TOTAL VENDA])</f>
        <v>0</v>
      </c>
      <c r="G6" s="279">
        <f>MateriaisPainel[[#Totals],[C/ IPI]]</f>
        <v>9430.4315108754636</v>
      </c>
      <c r="H6" s="279">
        <f>SUM(CC_12[[#This Row],[SERVINT AUTPRO]:[MATERIAIS]])</f>
        <v>9430.4315108754636</v>
      </c>
      <c r="I6" s="278">
        <f>IFERROR(CC_12[[#This Row],[TOTAL]]/CC_12[[#Totals],[TOTAL]],0)</f>
        <v>9.3381727114875569E-3</v>
      </c>
    </row>
    <row r="7" spans="1:9" x14ac:dyDescent="0.35">
      <c r="A7" s="151" t="s">
        <v>385</v>
      </c>
      <c r="B7" s="279">
        <f>SUMIF(ServInt[CENTRO DE CUSTO],CC_12[[#This Row],[CENTRO DE CUSTOS]],ServInt[VENDA COM IMPOSTOS])</f>
        <v>0</v>
      </c>
      <c r="C7" s="279">
        <f>SUMIF(ServExt[CENTRO DE CUSTO],CC_12[[#This Row],[CENTRO DE CUSTOS]],ServExt[VENDA COM IMPOSTOS])</f>
        <v>0</v>
      </c>
      <c r="D7" s="279">
        <f>SUMIF(ServInt10[CENTRO DE CUSTO],CC_12[[#This Row],[CENTRO DE CUSTOS]],ServInt10[VENDA COM IMPOSTOS])</f>
        <v>0</v>
      </c>
      <c r="E7" s="279">
        <f>SUMIF(ServExt8[CENTRO DE CUSTO],CC_12[[#This Row],[CENTRO DE CUSTOS]],ServExt8[VENDA COM IMPOSTOS])</f>
        <v>0</v>
      </c>
      <c r="F7" s="279">
        <f>SUMIF(ServTerc[CENTRO DE CUSTO],CC_12[[#This Row],[CENTRO DE CUSTOS]],ServTerc[TOTAL VENDA])</f>
        <v>0</v>
      </c>
      <c r="G7" s="279"/>
      <c r="H7" s="279">
        <f>SUM(CC_12[[#This Row],[SERVINT AUTPRO]:[MATERIAIS]])</f>
        <v>0</v>
      </c>
      <c r="I7" s="278">
        <f>IFERROR(CC_12[[#This Row],[TOTAL]]/CC_12[[#Totals],[TOTAL]],0)</f>
        <v>0</v>
      </c>
    </row>
    <row r="8" spans="1:9" x14ac:dyDescent="0.35">
      <c r="A8" s="151" t="s">
        <v>386</v>
      </c>
      <c r="B8" s="279">
        <f>SUMIF(ServInt[CENTRO DE CUSTO],CC_12[[#This Row],[CENTRO DE CUSTOS]],ServInt[VENDA COM IMPOSTOS])</f>
        <v>0</v>
      </c>
      <c r="C8" s="279">
        <f>SUMIF(ServExt[CENTRO DE CUSTO],CC_12[[#This Row],[CENTRO DE CUSTOS]],ServExt[VENDA COM IMPOSTOS])</f>
        <v>0</v>
      </c>
      <c r="D8" s="279">
        <f>SUMIF(ServInt10[CENTRO DE CUSTO],CC_12[[#This Row],[CENTRO DE CUSTOS]],ServInt10[VENDA COM IMPOSTOS])</f>
        <v>0</v>
      </c>
      <c r="E8" s="279">
        <f>SUMIF(ServExt8[CENTRO DE CUSTO],CC_12[[#This Row],[CENTRO DE CUSTOS]],ServExt8[VENDA COM IMPOSTOS])</f>
        <v>0</v>
      </c>
      <c r="F8" s="279">
        <f>SUMIF(ServTerc[CENTRO DE CUSTO],CC_12[[#This Row],[CENTRO DE CUSTOS]],ServTerc[TOTAL VENDA])</f>
        <v>0</v>
      </c>
      <c r="G8" s="279"/>
      <c r="H8" s="279">
        <f>SUM(CC_12[[#This Row],[SERVINT AUTPRO]:[MATERIAIS]])</f>
        <v>0</v>
      </c>
      <c r="I8" s="278">
        <f>IFERROR(CC_12[[#This Row],[TOTAL]]/CC_12[[#Totals],[TOTAL]],0)</f>
        <v>0</v>
      </c>
    </row>
    <row r="9" spans="1:9" x14ac:dyDescent="0.35">
      <c r="A9" s="151" t="s">
        <v>387</v>
      </c>
      <c r="B9" s="279">
        <f>SUMIF(ServInt[CENTRO DE CUSTO],CC_12[[#This Row],[CENTRO DE CUSTOS]],ServInt[VENDA COM IMPOSTOS])</f>
        <v>0</v>
      </c>
      <c r="C9" s="279">
        <f>SUMIF(ServExt[CENTRO DE CUSTO],CC_12[[#This Row],[CENTRO DE CUSTOS]],ServExt[VENDA COM IMPOSTOS])</f>
        <v>0</v>
      </c>
      <c r="D9" s="279">
        <f>SUMIF(ServInt10[CENTRO DE CUSTO],CC_12[[#This Row],[CENTRO DE CUSTOS]],ServInt10[VENDA COM IMPOSTOS])</f>
        <v>0</v>
      </c>
      <c r="E9" s="279">
        <f>SUMIF(ServExt8[CENTRO DE CUSTO],CC_12[[#This Row],[CENTRO DE CUSTOS]],ServExt8[VENDA COM IMPOSTOS])</f>
        <v>0</v>
      </c>
      <c r="F9" s="279">
        <f>SUMIF(ServTerc[CENTRO DE CUSTO],CC_12[[#This Row],[CENTRO DE CUSTOS]],ServTerc[TOTAL VENDA])</f>
        <v>0</v>
      </c>
      <c r="G9" s="279"/>
      <c r="H9" s="279">
        <f>SUM(CC_12[[#This Row],[SERVINT AUTPRO]:[MATERIAIS]])</f>
        <v>0</v>
      </c>
      <c r="I9" s="278">
        <f>IFERROR(CC_12[[#This Row],[TOTAL]]/CC_12[[#Totals],[TOTAL]],0)</f>
        <v>0</v>
      </c>
    </row>
    <row r="10" spans="1:9" x14ac:dyDescent="0.35">
      <c r="A10" s="151" t="s">
        <v>300</v>
      </c>
      <c r="B10" s="279">
        <f>SUMIF(ServInt[CENTRO DE CUSTO],CC_12[[#This Row],[CENTRO DE CUSTOS]],ServInt[VENDA COM IMPOSTOS])</f>
        <v>0</v>
      </c>
      <c r="C10" s="279">
        <f>SUMIF(ServExt[CENTRO DE CUSTO],CC_12[[#This Row],[CENTRO DE CUSTOS]],ServExt[VENDA COM IMPOSTOS])</f>
        <v>0</v>
      </c>
      <c r="D10" s="279">
        <f>SUMIF(ServInt10[CENTRO DE CUSTO],CC_12[[#This Row],[CENTRO DE CUSTOS]],ServInt10[VENDA COM IMPOSTOS])</f>
        <v>0</v>
      </c>
      <c r="E10" s="279">
        <f>SUMIF(ServExt8[CENTRO DE CUSTO],CC_12[[#This Row],[CENTRO DE CUSTOS]],ServExt8[VENDA COM IMPOSTOS])</f>
        <v>0</v>
      </c>
      <c r="F10" s="279">
        <f>SUMIF(ServTerc[CENTRO DE CUSTO],CC_12[[#This Row],[CENTRO DE CUSTOS]],ServTerc[TOTAL VENDA])</f>
        <v>151232.74022875173</v>
      </c>
      <c r="G10" s="279">
        <f>MateriaisCampo[[#Totals],[C/ IPI]]</f>
        <v>259656.4910251511</v>
      </c>
      <c r="H10" s="279">
        <f>SUM(CC_12[[#This Row],[SERVINT AUTPRO]:[MATERIAIS]])</f>
        <v>410889.23125390284</v>
      </c>
      <c r="I10" s="278">
        <f>IFERROR(CC_12[[#This Row],[TOTAL]]/CC_12[[#Totals],[TOTAL]],0)</f>
        <v>0.40686946321749984</v>
      </c>
    </row>
    <row r="11" spans="1:9" x14ac:dyDescent="0.35">
      <c r="A11" s="151" t="s">
        <v>388</v>
      </c>
      <c r="B11" s="279">
        <f>SUMIF(ServInt[CENTRO DE CUSTO],CC_12[[#This Row],[CENTRO DE CUSTOS]],ServInt[VENDA COM IMPOSTOS])</f>
        <v>0</v>
      </c>
      <c r="C11" s="279">
        <f>SUMIF(ServExt[CENTRO DE CUSTO],CC_12[[#This Row],[CENTRO DE CUSTOS]],ServExt[VENDA COM IMPOSTOS])</f>
        <v>0</v>
      </c>
      <c r="D11" s="279">
        <f>SUMIF(ServInt10[CENTRO DE CUSTO],CC_12[[#This Row],[CENTRO DE CUSTOS]],ServInt10[VENDA COM IMPOSTOS])</f>
        <v>0</v>
      </c>
      <c r="E11" s="279">
        <f>SUMIF(ServExt8[CENTRO DE CUSTO],CC_12[[#This Row],[CENTRO DE CUSTOS]],ServExt8[VENDA COM IMPOSTOS])</f>
        <v>0</v>
      </c>
      <c r="F11" s="279">
        <f>SUMIF(ServTerc[CENTRO DE CUSTO],CC_12[[#This Row],[CENTRO DE CUSTOS]],ServTerc[TOTAL VENDA])</f>
        <v>0</v>
      </c>
      <c r="G11" s="279"/>
      <c r="H11" s="279">
        <f>SUM(CC_12[[#This Row],[SERVINT AUTPRO]:[MATERIAIS]])</f>
        <v>0</v>
      </c>
      <c r="I11" s="278">
        <f>IFERROR(CC_12[[#This Row],[TOTAL]]/CC_12[[#Totals],[TOTAL]],0)</f>
        <v>0</v>
      </c>
    </row>
    <row r="12" spans="1:9" x14ac:dyDescent="0.35">
      <c r="A12" s="151" t="s">
        <v>153</v>
      </c>
      <c r="B12" s="279">
        <f>SUMIF(ServInt[CENTRO DE CUSTO],CC_12[[#This Row],[CENTRO DE CUSTOS]],ServInt[VENDA COM IMPOSTOS])</f>
        <v>24707.192221195932</v>
      </c>
      <c r="C12" s="279">
        <f>SUMIF(ServExt[CENTRO DE CUSTO],CC_12[[#This Row],[CENTRO DE CUSTOS]],ServExt[VENDA COM IMPOSTOS])</f>
        <v>0</v>
      </c>
      <c r="D12" s="279">
        <f>SUMIF(ServInt10[CENTRO DE CUSTO],CC_12[[#This Row],[CENTRO DE CUSTOS]],ServInt10[VENDA COM IMPOSTOS])</f>
        <v>0</v>
      </c>
      <c r="E12" s="279">
        <f>SUMIF(ServExt8[CENTRO DE CUSTO],CC_12[[#This Row],[CENTRO DE CUSTOS]],ServExt8[VENDA COM IMPOSTOS])</f>
        <v>0</v>
      </c>
      <c r="F12" s="279">
        <f>SUMIF(ServTerc[CENTRO DE CUSTO],CC_12[[#This Row],[CENTRO DE CUSTOS]],ServTerc[TOTAL VENDA])</f>
        <v>44588.184888335163</v>
      </c>
      <c r="G12" s="279"/>
      <c r="H12" s="279">
        <f>SUM(CC_12[[#This Row],[SERVINT AUTPRO]:[MATERIAIS]])</f>
        <v>69295.377109531095</v>
      </c>
      <c r="I12" s="278">
        <f>IFERROR(CC_12[[#This Row],[TOTAL]]/CC_12[[#Totals],[TOTAL]],0)</f>
        <v>6.8617453910801027E-2</v>
      </c>
    </row>
    <row r="13" spans="1:9" x14ac:dyDescent="0.35">
      <c r="A13" s="151" t="s">
        <v>389</v>
      </c>
      <c r="B13" s="279">
        <f>SUMIF(ServInt[CENTRO DE CUSTO],CC_12[[#This Row],[CENTRO DE CUSTOS]],ServInt[VENDA COM IMPOSTOS])</f>
        <v>0</v>
      </c>
      <c r="C13" s="279">
        <f>SUMIF(ServExt[CENTRO DE CUSTO],CC_12[[#This Row],[CENTRO DE CUSTOS]],ServExt[VENDA COM IMPOSTOS])</f>
        <v>0</v>
      </c>
      <c r="D13" s="279">
        <f>SUMIF(ServInt10[CENTRO DE CUSTO],CC_12[[#This Row],[CENTRO DE CUSTOS]],ServInt10[VENDA COM IMPOSTOS])</f>
        <v>0</v>
      </c>
      <c r="E13" s="279">
        <f>SUMIF(ServExt8[CENTRO DE CUSTO],CC_12[[#This Row],[CENTRO DE CUSTOS]],ServExt8[VENDA COM IMPOSTOS])</f>
        <v>0</v>
      </c>
      <c r="F13" s="279">
        <f>SUMIF(ServTerc[CENTRO DE CUSTO],CC_12[[#This Row],[CENTRO DE CUSTOS]],ServTerc[TOTAL VENDA])</f>
        <v>0</v>
      </c>
      <c r="G13" s="279"/>
      <c r="H13" s="279">
        <f>SUM(CC_12[[#This Row],[SERVINT AUTPRO]:[MATERIAIS]])</f>
        <v>0</v>
      </c>
      <c r="I13" s="278">
        <f>IFERROR(CC_12[[#This Row],[TOTAL]]/CC_12[[#Totals],[TOTAL]],0)</f>
        <v>0</v>
      </c>
    </row>
    <row r="14" spans="1:9" x14ac:dyDescent="0.35">
      <c r="A14" s="151" t="s">
        <v>390</v>
      </c>
      <c r="B14" s="279">
        <f>SUMIF(ServInt[CENTRO DE CUSTO],CC_12[[#This Row],[CENTRO DE CUSTOS]],ServInt[VENDA COM IMPOSTOS])</f>
        <v>0</v>
      </c>
      <c r="C14" s="279">
        <f>SUMIF(ServExt[CENTRO DE CUSTO],CC_12[[#This Row],[CENTRO DE CUSTOS]],ServExt[VENDA COM IMPOSTOS])</f>
        <v>0</v>
      </c>
      <c r="D14" s="279">
        <f>SUMIF(ServInt10[CENTRO DE CUSTO],CC_12[[#This Row],[CENTRO DE CUSTOS]],ServInt10[VENDA COM IMPOSTOS])</f>
        <v>0</v>
      </c>
      <c r="E14" s="279">
        <f>SUMIF(ServExt8[CENTRO DE CUSTO],CC_12[[#This Row],[CENTRO DE CUSTOS]],ServExt8[VENDA COM IMPOSTOS])</f>
        <v>0</v>
      </c>
      <c r="F14" s="279">
        <f>SUMIF(ServTerc[CENTRO DE CUSTO],CC_12[[#This Row],[CENTRO DE CUSTOS]],ServTerc[TOTAL VENDA])</f>
        <v>0</v>
      </c>
      <c r="G14" s="279"/>
      <c r="H14" s="279">
        <f>SUM(CC_12[[#This Row],[SERVINT AUTPRO]:[MATERIAIS]])</f>
        <v>0</v>
      </c>
      <c r="I14" s="278">
        <f>IFERROR(CC_12[[#This Row],[TOTAL]]/CC_12[[#Totals],[TOTAL]],0)</f>
        <v>0</v>
      </c>
    </row>
    <row r="15" spans="1:9" x14ac:dyDescent="0.35">
      <c r="A15" s="151" t="s">
        <v>156</v>
      </c>
      <c r="B15" s="279">
        <f>SUMIF(ServInt[CENTRO DE CUSTO],CC_12[[#This Row],[CENTRO DE CUSTOS]],ServInt[VENDA COM IMPOSTOS])</f>
        <v>0</v>
      </c>
      <c r="C15" s="279">
        <f>SUMIF(ServExt[CENTRO DE CUSTO],CC_12[[#This Row],[CENTRO DE CUSTOS]],ServExt[VENDA COM IMPOSTOS])</f>
        <v>139280.74046262415</v>
      </c>
      <c r="D15" s="279">
        <f>SUMIF(ServInt10[CENTRO DE CUSTO],CC_12[[#This Row],[CENTRO DE CUSTOS]],ServInt10[VENDA COM IMPOSTOS])</f>
        <v>0</v>
      </c>
      <c r="E15" s="279">
        <f>SUMIF(ServExt8[CENTRO DE CUSTO],CC_12[[#This Row],[CENTRO DE CUSTOS]],ServExt8[VENDA COM IMPOSTOS])</f>
        <v>380983.96832892834</v>
      </c>
      <c r="F15" s="279">
        <f>SUMIF(ServTerc[CENTRO DE CUSTO],CC_12[[#This Row],[CENTRO DE CUSTOS]],ServTerc[TOTAL VENDA])</f>
        <v>0</v>
      </c>
      <c r="G15" s="279"/>
      <c r="H15" s="279">
        <f>SUM(CC_12[[#This Row],[SERVINT AUTPRO]:[MATERIAIS]])</f>
        <v>520264.70879155246</v>
      </c>
      <c r="I15" s="278">
        <f>IFERROR(CC_12[[#This Row],[TOTAL]]/CC_12[[#Totals],[TOTAL]],0)</f>
        <v>0.51517491016021166</v>
      </c>
    </row>
    <row r="16" spans="1:9" x14ac:dyDescent="0.35">
      <c r="A16" s="151" t="s">
        <v>391</v>
      </c>
      <c r="B16" s="279">
        <f>SUMIF(ServInt[CENTRO DE CUSTO],CC_12[[#This Row],[CENTRO DE CUSTOS]],ServInt[VENDA COM IMPOSTOS])</f>
        <v>0</v>
      </c>
      <c r="C16" s="279">
        <f>SUMIF(ServExt[CENTRO DE CUSTO],CC_12[[#This Row],[CENTRO DE CUSTOS]],ServExt[VENDA COM IMPOSTOS])</f>
        <v>0</v>
      </c>
      <c r="D16" s="279">
        <f>SUMIF(ServInt10[CENTRO DE CUSTO],CC_12[[#This Row],[CENTRO DE CUSTOS]],ServInt10[VENDA COM IMPOSTOS])</f>
        <v>0</v>
      </c>
      <c r="E16" s="279">
        <f>SUMIF(ServExt8[CENTRO DE CUSTO],CC_12[[#This Row],[CENTRO DE CUSTOS]],ServExt8[VENDA COM IMPOSTOS])</f>
        <v>0</v>
      </c>
      <c r="F16" s="279">
        <f>SUMIF(ServTerc[CENTRO DE CUSTO],CC_12[[#This Row],[CENTRO DE CUSTOS]],ServTerc[TOTAL VENDA])</f>
        <v>0</v>
      </c>
      <c r="G16" s="279"/>
      <c r="H16" s="279">
        <f>SUM(CC_12[[#This Row],[SERVINT AUTPRO]:[MATERIAIS]])</f>
        <v>0</v>
      </c>
      <c r="I16" s="278">
        <f>IFERROR(CC_12[[#This Row],[TOTAL]]/CC_12[[#Totals],[TOTAL]],0)</f>
        <v>0</v>
      </c>
    </row>
    <row r="17" spans="1:9" x14ac:dyDescent="0.35">
      <c r="A17" s="151" t="s">
        <v>392</v>
      </c>
      <c r="B17" s="279">
        <f>SUMIF(ServInt[CENTRO DE CUSTO],CC_12[[#This Row],[CENTRO DE CUSTOS]],ServInt[VENDA COM IMPOSTOS])</f>
        <v>0</v>
      </c>
      <c r="C17" s="279">
        <f>SUMIF(ServExt[CENTRO DE CUSTO],CC_12[[#This Row],[CENTRO DE CUSTOS]],ServExt[VENDA COM IMPOSTOS])</f>
        <v>0</v>
      </c>
      <c r="D17" s="279">
        <f>SUMIF(ServInt10[CENTRO DE CUSTO],CC_12[[#This Row],[CENTRO DE CUSTOS]],ServInt10[VENDA COM IMPOSTOS])</f>
        <v>0</v>
      </c>
      <c r="E17" s="279">
        <f>SUMIF(ServExt8[CENTRO DE CUSTO],CC_12[[#This Row],[CENTRO DE CUSTOS]],ServExt8[VENDA COM IMPOSTOS])</f>
        <v>0</v>
      </c>
      <c r="F17" s="279">
        <f>SUMIF(ServTerc[CENTRO DE CUSTO],CC_12[[#This Row],[CENTRO DE CUSTOS]],ServTerc[TOTAL VENDA])</f>
        <v>0</v>
      </c>
      <c r="G17" s="279"/>
      <c r="H17" s="279">
        <f>SUM(CC_12[[#This Row],[SERVINT AUTPRO]:[MATERIAIS]])</f>
        <v>0</v>
      </c>
      <c r="I17" s="278">
        <f>IFERROR(CC_12[[#This Row],[TOTAL]]/CC_12[[#Totals],[TOTAL]],0)</f>
        <v>0</v>
      </c>
    </row>
    <row r="18" spans="1:9" x14ac:dyDescent="0.35">
      <c r="A18" s="151" t="s">
        <v>393</v>
      </c>
      <c r="B18" s="279">
        <f>SUMIF(ServInt[CENTRO DE CUSTO],CC_12[[#This Row],[CENTRO DE CUSTOS]],ServInt[VENDA COM IMPOSTOS])</f>
        <v>0</v>
      </c>
      <c r="C18" s="279">
        <f>SUMIF(ServExt[CENTRO DE CUSTO],CC_12[[#This Row],[CENTRO DE CUSTOS]],ServExt[VENDA COM IMPOSTOS])</f>
        <v>0</v>
      </c>
      <c r="D18" s="279">
        <f>SUMIF(ServInt10[CENTRO DE CUSTO],CC_12[[#This Row],[CENTRO DE CUSTOS]],ServInt10[VENDA COM IMPOSTOS])</f>
        <v>0</v>
      </c>
      <c r="E18" s="279">
        <f>SUMIF(ServExt8[CENTRO DE CUSTO],CC_12[[#This Row],[CENTRO DE CUSTOS]],ServExt8[VENDA COM IMPOSTOS])</f>
        <v>0</v>
      </c>
      <c r="F18" s="279">
        <f>SUMIF(ServTerc[CENTRO DE CUSTO],CC_12[[#This Row],[CENTRO DE CUSTOS]],ServTerc[TOTAL VENDA])</f>
        <v>0</v>
      </c>
      <c r="G18" s="279"/>
      <c r="H18" s="279">
        <f>SUM(CC_12[[#This Row],[SERVINT AUTPRO]:[MATERIAIS]])</f>
        <v>0</v>
      </c>
      <c r="I18" s="278">
        <f>IFERROR(CC_12[[#This Row],[TOTAL]]/CC_12[[#Totals],[TOTAL]],0)</f>
        <v>0</v>
      </c>
    </row>
    <row r="19" spans="1:9" x14ac:dyDescent="0.35">
      <c r="A19" s="151" t="s">
        <v>394</v>
      </c>
      <c r="B19" s="279">
        <f>SUMIF(ServInt[CENTRO DE CUSTO],CC_12[[#This Row],[CENTRO DE CUSTOS]],ServInt[VENDA COM IMPOSTOS])</f>
        <v>0</v>
      </c>
      <c r="C19" s="279">
        <f>SUMIF(ServExt[CENTRO DE CUSTO],CC_12[[#This Row],[CENTRO DE CUSTOS]],ServExt[VENDA COM IMPOSTOS])</f>
        <v>0</v>
      </c>
      <c r="D19" s="279">
        <f>SUMIF(ServInt10[CENTRO DE CUSTO],CC_12[[#This Row],[CENTRO DE CUSTOS]],ServInt10[VENDA COM IMPOSTOS])</f>
        <v>0</v>
      </c>
      <c r="E19" s="279">
        <f>SUMIF(ServExt8[CENTRO DE CUSTO],CC_12[[#This Row],[CENTRO DE CUSTOS]],ServExt8[VENDA COM IMPOSTOS])</f>
        <v>0</v>
      </c>
      <c r="F19" s="279">
        <f>SUMIF(ServTerc[CENTRO DE CUSTO],CC_12[[#This Row],[CENTRO DE CUSTOS]],ServTerc[TOTAL VENDA])</f>
        <v>0</v>
      </c>
      <c r="G19" s="279"/>
      <c r="H19" s="279">
        <f>SUM(CC_12[[#This Row],[SERVINT AUTPRO]:[MATERIAIS]])</f>
        <v>0</v>
      </c>
      <c r="I19" s="278">
        <f>IFERROR(CC_12[[#This Row],[TOTAL]]/CC_12[[#Totals],[TOTAL]],0)</f>
        <v>0</v>
      </c>
    </row>
    <row r="20" spans="1:9" x14ac:dyDescent="0.35">
      <c r="A20" s="151" t="s">
        <v>198</v>
      </c>
      <c r="B20" s="151"/>
      <c r="C20" s="151"/>
      <c r="D20" s="151"/>
      <c r="E20" s="151"/>
      <c r="F20" s="151"/>
      <c r="G20" s="151"/>
      <c r="H20" s="277">
        <f>SUBTOTAL(109,CC_12[TOTAL])</f>
        <v>1009879.7486658618</v>
      </c>
      <c r="I20" s="276"/>
    </row>
  </sheetData>
  <pageMargins left="0.511811024" right="0.511811024" top="0.78740157499999996" bottom="0.78740157499999996" header="0.31496062000000002" footer="0.31496062000000002"/>
  <ignoredErrors>
    <ignoredError sqref="B3:F19" calculatedColumn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DE18-CD95-49EC-899B-F2B45D6F314E}">
  <sheetPr>
    <pageSetUpPr fitToPage="1"/>
  </sheetPr>
  <dimension ref="B3:M182"/>
  <sheetViews>
    <sheetView zoomScale="85" zoomScaleNormal="85" workbookViewId="0">
      <selection activeCell="P10" sqref="P10"/>
    </sheetView>
  </sheetViews>
  <sheetFormatPr defaultColWidth="8.81640625" defaultRowHeight="14.5" x14ac:dyDescent="0.35"/>
  <cols>
    <col min="1" max="1" width="8.81640625" style="606"/>
    <col min="2" max="2" width="52.7265625" style="606" customWidth="1"/>
    <col min="3" max="3" width="36.7265625" style="606" bestFit="1" customWidth="1"/>
    <col min="4" max="4" width="12.81640625" style="606" customWidth="1"/>
    <col min="5" max="5" width="16.1796875" style="606" customWidth="1"/>
    <col min="6" max="6" width="21" style="606" customWidth="1"/>
    <col min="7" max="7" width="23.54296875" style="606" customWidth="1"/>
    <col min="8" max="8" width="8.81640625" style="606"/>
    <col min="9" max="9" width="15.7265625" style="606" customWidth="1"/>
    <col min="10" max="10" width="15.7265625" style="606" bestFit="1" customWidth="1"/>
    <col min="11" max="16384" width="8.81640625" style="606"/>
  </cols>
  <sheetData>
    <row r="3" spans="2:13" ht="15" thickBot="1" x14ac:dyDescent="0.4"/>
    <row r="4" spans="2:13" ht="15" thickBot="1" x14ac:dyDescent="0.4">
      <c r="B4" s="522" t="s">
        <v>616</v>
      </c>
      <c r="C4" s="523" t="s">
        <v>604</v>
      </c>
      <c r="D4" s="523" t="s">
        <v>605</v>
      </c>
      <c r="E4" s="523" t="s">
        <v>606</v>
      </c>
      <c r="F4" s="523" t="s">
        <v>607</v>
      </c>
      <c r="G4" s="523" t="s">
        <v>608</v>
      </c>
      <c r="H4" s="523" t="s">
        <v>609</v>
      </c>
      <c r="I4" s="527" t="s">
        <v>604</v>
      </c>
      <c r="J4" s="527" t="s">
        <v>605</v>
      </c>
      <c r="K4" s="527" t="s">
        <v>606</v>
      </c>
      <c r="L4" s="527" t="s">
        <v>607</v>
      </c>
      <c r="M4" s="527" t="s">
        <v>608</v>
      </c>
    </row>
    <row r="5" spans="2:13" ht="15" thickBot="1" x14ac:dyDescent="0.4">
      <c r="B5" s="524" t="s">
        <v>610</v>
      </c>
      <c r="C5" s="525"/>
      <c r="D5" s="525">
        <v>2</v>
      </c>
      <c r="E5" s="525">
        <v>2</v>
      </c>
      <c r="F5" s="525"/>
      <c r="G5" s="525"/>
      <c r="H5" s="525">
        <v>4</v>
      </c>
      <c r="I5" s="525">
        <f>C5*$H5*10</f>
        <v>0</v>
      </c>
      <c r="J5" s="525">
        <f t="shared" ref="J5:M5" si="0">D5*$H5*10</f>
        <v>80</v>
      </c>
      <c r="K5" s="525">
        <f t="shared" si="0"/>
        <v>80</v>
      </c>
      <c r="L5" s="525">
        <f t="shared" si="0"/>
        <v>0</v>
      </c>
      <c r="M5" s="525">
        <f t="shared" si="0"/>
        <v>0</v>
      </c>
    </row>
    <row r="6" spans="2:13" ht="15" thickBot="1" x14ac:dyDescent="0.4">
      <c r="B6" s="524" t="s">
        <v>611</v>
      </c>
      <c r="C6" s="525"/>
      <c r="D6" s="525">
        <v>2</v>
      </c>
      <c r="E6" s="525">
        <v>2</v>
      </c>
      <c r="F6" s="525"/>
      <c r="G6" s="525"/>
      <c r="H6" s="525">
        <v>2</v>
      </c>
      <c r="I6" s="525">
        <f t="shared" ref="I6:I10" si="1">C6*$H6*10</f>
        <v>0</v>
      </c>
      <c r="J6" s="525">
        <f t="shared" ref="J6:J10" si="2">D6*$H6*10</f>
        <v>40</v>
      </c>
      <c r="K6" s="525">
        <f t="shared" ref="K6:K10" si="3">E6*$H6*10</f>
        <v>40</v>
      </c>
      <c r="L6" s="525">
        <f t="shared" ref="L6:L10" si="4">F6*$H6*10</f>
        <v>0</v>
      </c>
      <c r="M6" s="525">
        <f t="shared" ref="M6:M10" si="5">G6*$H6*10</f>
        <v>0</v>
      </c>
    </row>
    <row r="7" spans="2:13" ht="15" thickBot="1" x14ac:dyDescent="0.4">
      <c r="B7" s="524" t="s">
        <v>612</v>
      </c>
      <c r="C7" s="525"/>
      <c r="D7" s="525">
        <v>2</v>
      </c>
      <c r="E7" s="525">
        <v>4</v>
      </c>
      <c r="F7" s="525"/>
      <c r="G7" s="525"/>
      <c r="H7" s="525">
        <v>6</v>
      </c>
      <c r="I7" s="525">
        <f t="shared" si="1"/>
        <v>0</v>
      </c>
      <c r="J7" s="525">
        <f t="shared" si="2"/>
        <v>120</v>
      </c>
      <c r="K7" s="525">
        <f t="shared" si="3"/>
        <v>240</v>
      </c>
      <c r="L7" s="525">
        <f t="shared" si="4"/>
        <v>0</v>
      </c>
      <c r="M7" s="525">
        <f t="shared" si="5"/>
        <v>0</v>
      </c>
    </row>
    <row r="8" spans="2:13" ht="15" thickBot="1" x14ac:dyDescent="0.4">
      <c r="B8" s="524" t="s">
        <v>613</v>
      </c>
      <c r="C8" s="525"/>
      <c r="D8" s="525"/>
      <c r="E8" s="525"/>
      <c r="F8" s="525">
        <v>1</v>
      </c>
      <c r="G8" s="525"/>
      <c r="H8" s="525">
        <v>1</v>
      </c>
      <c r="I8" s="525">
        <f t="shared" si="1"/>
        <v>0</v>
      </c>
      <c r="J8" s="525">
        <f t="shared" si="2"/>
        <v>0</v>
      </c>
      <c r="K8" s="525">
        <f t="shared" si="3"/>
        <v>0</v>
      </c>
      <c r="L8" s="525">
        <f t="shared" si="4"/>
        <v>10</v>
      </c>
      <c r="M8" s="525">
        <f t="shared" si="5"/>
        <v>0</v>
      </c>
    </row>
    <row r="9" spans="2:13" ht="15" thickBot="1" x14ac:dyDescent="0.4">
      <c r="B9" s="524" t="s">
        <v>614</v>
      </c>
      <c r="C9" s="525">
        <v>1</v>
      </c>
      <c r="D9" s="525"/>
      <c r="E9" s="525"/>
      <c r="F9" s="525"/>
      <c r="G9" s="525"/>
      <c r="H9" s="525">
        <v>0.5</v>
      </c>
      <c r="I9" s="525">
        <f t="shared" si="1"/>
        <v>5</v>
      </c>
      <c r="J9" s="525">
        <f t="shared" si="2"/>
        <v>0</v>
      </c>
      <c r="K9" s="525">
        <f t="shared" si="3"/>
        <v>0</v>
      </c>
      <c r="L9" s="525">
        <f t="shared" si="4"/>
        <v>0</v>
      </c>
      <c r="M9" s="525">
        <f t="shared" si="5"/>
        <v>0</v>
      </c>
    </row>
    <row r="10" spans="2:13" ht="15" thickBot="1" x14ac:dyDescent="0.4">
      <c r="B10" s="526" t="s">
        <v>615</v>
      </c>
      <c r="C10" s="525"/>
      <c r="D10" s="525"/>
      <c r="E10" s="525"/>
      <c r="F10" s="525">
        <v>1</v>
      </c>
      <c r="G10" s="525"/>
      <c r="H10" s="525">
        <v>0.5</v>
      </c>
      <c r="I10" s="525">
        <f t="shared" si="1"/>
        <v>0</v>
      </c>
      <c r="J10" s="525">
        <f t="shared" si="2"/>
        <v>0</v>
      </c>
      <c r="K10" s="525">
        <f t="shared" si="3"/>
        <v>0</v>
      </c>
      <c r="L10" s="525">
        <f t="shared" si="4"/>
        <v>5</v>
      </c>
      <c r="M10" s="525">
        <f t="shared" si="5"/>
        <v>0</v>
      </c>
    </row>
    <row r="11" spans="2:13" ht="21" x14ac:dyDescent="0.35">
      <c r="H11" s="607">
        <f>SUM(H5:H10)</f>
        <v>14</v>
      </c>
    </row>
    <row r="12" spans="2:13" ht="15" thickBot="1" x14ac:dyDescent="0.4"/>
    <row r="13" spans="2:13" ht="15" thickBot="1" x14ac:dyDescent="0.4">
      <c r="B13" s="522" t="s">
        <v>617</v>
      </c>
      <c r="C13" s="523" t="s">
        <v>604</v>
      </c>
      <c r="D13" s="523" t="s">
        <v>605</v>
      </c>
      <c r="E13" s="523" t="s">
        <v>606</v>
      </c>
      <c r="F13" s="523" t="s">
        <v>607</v>
      </c>
      <c r="G13" s="523" t="s">
        <v>608</v>
      </c>
      <c r="H13" s="523" t="s">
        <v>609</v>
      </c>
      <c r="I13" s="527" t="s">
        <v>604</v>
      </c>
      <c r="J13" s="527" t="s">
        <v>605</v>
      </c>
      <c r="K13" s="527" t="s">
        <v>606</v>
      </c>
      <c r="L13" s="527" t="s">
        <v>607</v>
      </c>
      <c r="M13" s="527" t="s">
        <v>608</v>
      </c>
    </row>
    <row r="14" spans="2:13" ht="15" thickBot="1" x14ac:dyDescent="0.4">
      <c r="B14" s="524" t="s">
        <v>610</v>
      </c>
      <c r="C14" s="525"/>
      <c r="D14" s="525">
        <v>2</v>
      </c>
      <c r="E14" s="525">
        <v>2</v>
      </c>
      <c r="F14" s="525"/>
      <c r="G14" s="525"/>
      <c r="H14" s="525">
        <v>6</v>
      </c>
      <c r="I14" s="525">
        <f>C14*$H14*10</f>
        <v>0</v>
      </c>
      <c r="J14" s="525">
        <f t="shared" ref="J14:J19" si="6">D14*$H14*10</f>
        <v>120</v>
      </c>
      <c r="K14" s="525">
        <f t="shared" ref="K14:K19" si="7">E14*$H14*10</f>
        <v>120</v>
      </c>
      <c r="L14" s="525">
        <f t="shared" ref="L14:L19" si="8">F14*$H14*10</f>
        <v>0</v>
      </c>
      <c r="M14" s="525">
        <f t="shared" ref="M14:M19" si="9">G14*$H14*10</f>
        <v>0</v>
      </c>
    </row>
    <row r="15" spans="2:13" ht="15" thickBot="1" x14ac:dyDescent="0.4">
      <c r="B15" s="524" t="s">
        <v>611</v>
      </c>
      <c r="C15" s="525"/>
      <c r="D15" s="525">
        <v>2</v>
      </c>
      <c r="E15" s="525">
        <v>2</v>
      </c>
      <c r="F15" s="525"/>
      <c r="G15" s="525"/>
      <c r="H15" s="525">
        <v>2</v>
      </c>
      <c r="I15" s="525">
        <f t="shared" ref="I15:I19" si="10">C15*$H15*10</f>
        <v>0</v>
      </c>
      <c r="J15" s="525">
        <f t="shared" si="6"/>
        <v>40</v>
      </c>
      <c r="K15" s="525">
        <f t="shared" si="7"/>
        <v>40</v>
      </c>
      <c r="L15" s="525">
        <f t="shared" si="8"/>
        <v>0</v>
      </c>
      <c r="M15" s="525">
        <f t="shared" si="9"/>
        <v>0</v>
      </c>
    </row>
    <row r="16" spans="2:13" ht="15" thickBot="1" x14ac:dyDescent="0.4">
      <c r="B16" s="524" t="s">
        <v>612</v>
      </c>
      <c r="C16" s="525"/>
      <c r="D16" s="525">
        <v>2</v>
      </c>
      <c r="E16" s="525">
        <v>4</v>
      </c>
      <c r="F16" s="525"/>
      <c r="G16" s="525"/>
      <c r="H16" s="525">
        <v>3</v>
      </c>
      <c r="I16" s="525">
        <f t="shared" si="10"/>
        <v>0</v>
      </c>
      <c r="J16" s="525">
        <f t="shared" si="6"/>
        <v>60</v>
      </c>
      <c r="K16" s="525">
        <f t="shared" si="7"/>
        <v>120</v>
      </c>
      <c r="L16" s="525">
        <f t="shared" si="8"/>
        <v>0</v>
      </c>
      <c r="M16" s="525">
        <f t="shared" si="9"/>
        <v>0</v>
      </c>
    </row>
    <row r="17" spans="2:13" ht="15" thickBot="1" x14ac:dyDescent="0.4">
      <c r="B17" s="524" t="s">
        <v>613</v>
      </c>
      <c r="C17" s="525"/>
      <c r="D17" s="525"/>
      <c r="E17" s="525"/>
      <c r="F17" s="525">
        <v>1</v>
      </c>
      <c r="G17" s="525"/>
      <c r="H17" s="525">
        <v>1</v>
      </c>
      <c r="I17" s="525">
        <f t="shared" si="10"/>
        <v>0</v>
      </c>
      <c r="J17" s="525">
        <f t="shared" si="6"/>
        <v>0</v>
      </c>
      <c r="K17" s="525">
        <f t="shared" si="7"/>
        <v>0</v>
      </c>
      <c r="L17" s="525">
        <f t="shared" si="8"/>
        <v>10</v>
      </c>
      <c r="M17" s="525">
        <f t="shared" si="9"/>
        <v>0</v>
      </c>
    </row>
    <row r="18" spans="2:13" ht="15" thickBot="1" x14ac:dyDescent="0.4">
      <c r="B18" s="524" t="s">
        <v>614</v>
      </c>
      <c r="C18" s="525">
        <v>1</v>
      </c>
      <c r="D18" s="525"/>
      <c r="E18" s="525"/>
      <c r="F18" s="525"/>
      <c r="G18" s="525"/>
      <c r="H18" s="525">
        <v>0.5</v>
      </c>
      <c r="I18" s="525">
        <f t="shared" si="10"/>
        <v>5</v>
      </c>
      <c r="J18" s="525">
        <f t="shared" si="6"/>
        <v>0</v>
      </c>
      <c r="K18" s="525">
        <f t="shared" si="7"/>
        <v>0</v>
      </c>
      <c r="L18" s="525">
        <f t="shared" si="8"/>
        <v>0</v>
      </c>
      <c r="M18" s="525">
        <f t="shared" si="9"/>
        <v>0</v>
      </c>
    </row>
    <row r="19" spans="2:13" ht="15" thickBot="1" x14ac:dyDescent="0.4">
      <c r="B19" s="526" t="s">
        <v>615</v>
      </c>
      <c r="C19" s="525"/>
      <c r="D19" s="525"/>
      <c r="E19" s="525"/>
      <c r="F19" s="525">
        <v>1</v>
      </c>
      <c r="G19" s="525"/>
      <c r="H19" s="525">
        <v>0.5</v>
      </c>
      <c r="I19" s="525">
        <f t="shared" si="10"/>
        <v>0</v>
      </c>
      <c r="J19" s="525">
        <f t="shared" si="6"/>
        <v>0</v>
      </c>
      <c r="K19" s="525">
        <f t="shared" si="7"/>
        <v>0</v>
      </c>
      <c r="L19" s="525">
        <f t="shared" si="8"/>
        <v>5</v>
      </c>
      <c r="M19" s="525">
        <f t="shared" si="9"/>
        <v>0</v>
      </c>
    </row>
    <row r="20" spans="2:13" ht="21" x14ac:dyDescent="0.35">
      <c r="H20" s="607">
        <f>SUM(H14:H19)</f>
        <v>13</v>
      </c>
    </row>
    <row r="23" spans="2:13" ht="15" thickBot="1" x14ac:dyDescent="0.4"/>
    <row r="24" spans="2:13" ht="15" thickBot="1" x14ac:dyDescent="0.4">
      <c r="B24" s="522" t="s">
        <v>627</v>
      </c>
      <c r="C24" s="523" t="s">
        <v>604</v>
      </c>
      <c r="D24" s="523" t="s">
        <v>605</v>
      </c>
      <c r="E24" s="523" t="s">
        <v>606</v>
      </c>
      <c r="F24" s="523" t="s">
        <v>607</v>
      </c>
      <c r="G24" s="523" t="s">
        <v>608</v>
      </c>
      <c r="H24" s="523" t="s">
        <v>609</v>
      </c>
      <c r="I24" s="527" t="s">
        <v>604</v>
      </c>
      <c r="J24" s="527" t="s">
        <v>605</v>
      </c>
      <c r="K24" s="527" t="s">
        <v>606</v>
      </c>
      <c r="L24" s="527" t="s">
        <v>607</v>
      </c>
      <c r="M24" s="527" t="s">
        <v>608</v>
      </c>
    </row>
    <row r="25" spans="2:13" ht="15" thickBot="1" x14ac:dyDescent="0.4">
      <c r="B25" s="524" t="s">
        <v>622</v>
      </c>
      <c r="C25" s="525"/>
      <c r="D25" s="525"/>
      <c r="E25" s="525"/>
      <c r="F25" s="525"/>
      <c r="G25" s="525"/>
      <c r="H25" s="525">
        <v>12</v>
      </c>
      <c r="I25" s="525">
        <f>C25*$H25*10</f>
        <v>0</v>
      </c>
      <c r="J25" s="525">
        <f t="shared" ref="J25:J29" si="11">D25*$H25*10</f>
        <v>0</v>
      </c>
      <c r="K25" s="525">
        <f t="shared" ref="K25:K29" si="12">E25*$H25*10</f>
        <v>0</v>
      </c>
      <c r="L25" s="525">
        <f t="shared" ref="L25:L29" si="13">F25*$H25*10</f>
        <v>0</v>
      </c>
      <c r="M25" s="525">
        <f t="shared" ref="M25:M29" si="14">G25*$H25*10</f>
        <v>0</v>
      </c>
    </row>
    <row r="26" spans="2:13" ht="15" thickBot="1" x14ac:dyDescent="0.4">
      <c r="B26" s="524" t="s">
        <v>623</v>
      </c>
      <c r="C26" s="525"/>
      <c r="D26" s="525">
        <v>1</v>
      </c>
      <c r="E26" s="525">
        <v>1</v>
      </c>
      <c r="F26" s="525"/>
      <c r="G26" s="525"/>
      <c r="H26" s="525">
        <v>12</v>
      </c>
      <c r="I26" s="525">
        <f t="shared" ref="I26:I29" si="15">C26*$H26*10</f>
        <v>0</v>
      </c>
      <c r="J26" s="525">
        <f t="shared" si="11"/>
        <v>120</v>
      </c>
      <c r="K26" s="525">
        <f t="shared" si="12"/>
        <v>120</v>
      </c>
      <c r="L26" s="525">
        <f t="shared" si="13"/>
        <v>0</v>
      </c>
      <c r="M26" s="525">
        <f t="shared" si="14"/>
        <v>0</v>
      </c>
    </row>
    <row r="27" spans="2:13" ht="15" thickBot="1" x14ac:dyDescent="0.4">
      <c r="B27" s="524" t="s">
        <v>624</v>
      </c>
      <c r="C27" s="525"/>
      <c r="D27" s="525">
        <v>1</v>
      </c>
      <c r="E27" s="525">
        <v>1</v>
      </c>
      <c r="F27" s="525"/>
      <c r="G27" s="525"/>
      <c r="H27" s="525">
        <v>6</v>
      </c>
      <c r="I27" s="525">
        <f t="shared" si="15"/>
        <v>0</v>
      </c>
      <c r="J27" s="525">
        <f t="shared" si="11"/>
        <v>60</v>
      </c>
      <c r="K27" s="525">
        <f t="shared" si="12"/>
        <v>60</v>
      </c>
      <c r="L27" s="525">
        <f t="shared" si="13"/>
        <v>0</v>
      </c>
      <c r="M27" s="525">
        <f t="shared" si="14"/>
        <v>0</v>
      </c>
    </row>
    <row r="28" spans="2:13" ht="15" thickBot="1" x14ac:dyDescent="0.4">
      <c r="B28" s="524" t="s">
        <v>625</v>
      </c>
      <c r="C28" s="525"/>
      <c r="D28" s="525">
        <v>1</v>
      </c>
      <c r="E28" s="525">
        <v>1</v>
      </c>
      <c r="F28" s="525"/>
      <c r="G28" s="525"/>
      <c r="H28" s="525">
        <v>5</v>
      </c>
      <c r="I28" s="525">
        <f t="shared" si="15"/>
        <v>0</v>
      </c>
      <c r="J28" s="525">
        <f t="shared" si="11"/>
        <v>50</v>
      </c>
      <c r="K28" s="525">
        <f t="shared" si="12"/>
        <v>50</v>
      </c>
      <c r="L28" s="525">
        <f t="shared" si="13"/>
        <v>0</v>
      </c>
      <c r="M28" s="525">
        <f t="shared" si="14"/>
        <v>0</v>
      </c>
    </row>
    <row r="29" spans="2:13" ht="15" thickBot="1" x14ac:dyDescent="0.4">
      <c r="B29" s="526" t="s">
        <v>626</v>
      </c>
      <c r="C29" s="525">
        <v>1</v>
      </c>
      <c r="D29" s="525"/>
      <c r="E29" s="525"/>
      <c r="F29" s="525"/>
      <c r="G29" s="525"/>
      <c r="H29" s="525">
        <v>1</v>
      </c>
      <c r="I29" s="525">
        <f t="shared" si="15"/>
        <v>10</v>
      </c>
      <c r="J29" s="525">
        <f t="shared" si="11"/>
        <v>0</v>
      </c>
      <c r="K29" s="525">
        <f t="shared" si="12"/>
        <v>0</v>
      </c>
      <c r="L29" s="525">
        <f t="shared" si="13"/>
        <v>0</v>
      </c>
      <c r="M29" s="525">
        <f t="shared" si="14"/>
        <v>0</v>
      </c>
    </row>
    <row r="30" spans="2:13" ht="21" x14ac:dyDescent="0.35">
      <c r="H30" s="607">
        <f>SUM(H25:H29)</f>
        <v>36</v>
      </c>
    </row>
    <row r="32" spans="2:13" ht="15" thickBot="1" x14ac:dyDescent="0.4"/>
    <row r="33" spans="2:13" ht="15" thickBot="1" x14ac:dyDescent="0.4">
      <c r="B33" s="522" t="s">
        <v>651</v>
      </c>
      <c r="C33" s="523" t="s">
        <v>604</v>
      </c>
      <c r="D33" s="523" t="s">
        <v>605</v>
      </c>
      <c r="E33" s="523" t="s">
        <v>606</v>
      </c>
      <c r="F33" s="523" t="s">
        <v>607</v>
      </c>
      <c r="G33" s="523" t="s">
        <v>608</v>
      </c>
      <c r="H33" s="523" t="s">
        <v>609</v>
      </c>
      <c r="I33" s="527" t="s">
        <v>604</v>
      </c>
      <c r="J33" s="527" t="s">
        <v>605</v>
      </c>
      <c r="K33" s="527" t="s">
        <v>606</v>
      </c>
      <c r="L33" s="527" t="s">
        <v>607</v>
      </c>
      <c r="M33" s="527" t="s">
        <v>608</v>
      </c>
    </row>
    <row r="34" spans="2:13" ht="15" thickBot="1" x14ac:dyDescent="0.4">
      <c r="B34" s="524" t="s">
        <v>650</v>
      </c>
      <c r="C34" s="525"/>
      <c r="D34" s="525">
        <v>1</v>
      </c>
      <c r="E34" s="525">
        <v>1</v>
      </c>
      <c r="F34" s="525"/>
      <c r="G34" s="525"/>
      <c r="H34" s="525">
        <v>15</v>
      </c>
      <c r="I34" s="525">
        <f>C34*$H34*10</f>
        <v>0</v>
      </c>
      <c r="J34" s="525">
        <f t="shared" ref="J34:J35" si="16">D34*$H34*10</f>
        <v>150</v>
      </c>
      <c r="K34" s="525">
        <f t="shared" ref="K34:K35" si="17">E34*$H34*10</f>
        <v>150</v>
      </c>
      <c r="L34" s="525">
        <f t="shared" ref="L34:L35" si="18">F34*$H34*10</f>
        <v>0</v>
      </c>
      <c r="M34" s="525">
        <f t="shared" ref="M34:M35" si="19">G34*$H34*10</f>
        <v>0</v>
      </c>
    </row>
    <row r="35" spans="2:13" ht="15" thickBot="1" x14ac:dyDescent="0.4">
      <c r="B35" s="526" t="s">
        <v>625</v>
      </c>
      <c r="C35" s="525"/>
      <c r="D35" s="525">
        <v>1</v>
      </c>
      <c r="E35" s="525">
        <v>1</v>
      </c>
      <c r="F35" s="525"/>
      <c r="G35" s="525"/>
      <c r="H35" s="525">
        <v>5</v>
      </c>
      <c r="I35" s="525">
        <f t="shared" ref="I35" si="20">C35*$H35*10</f>
        <v>0</v>
      </c>
      <c r="J35" s="525">
        <f t="shared" si="16"/>
        <v>50</v>
      </c>
      <c r="K35" s="525">
        <f t="shared" si="17"/>
        <v>50</v>
      </c>
      <c r="L35" s="525">
        <f t="shared" si="18"/>
        <v>0</v>
      </c>
      <c r="M35" s="525">
        <f t="shared" si="19"/>
        <v>0</v>
      </c>
    </row>
    <row r="36" spans="2:13" ht="21" x14ac:dyDescent="0.35">
      <c r="H36" s="607">
        <f>SUM(H34:H35)</f>
        <v>20</v>
      </c>
    </row>
    <row r="39" spans="2:13" ht="15" thickBot="1" x14ac:dyDescent="0.4"/>
    <row r="40" spans="2:13" ht="15" thickBot="1" x14ac:dyDescent="0.4">
      <c r="B40" s="522" t="s">
        <v>762</v>
      </c>
      <c r="C40" s="523" t="s">
        <v>604</v>
      </c>
      <c r="D40" s="523" t="s">
        <v>605</v>
      </c>
      <c r="E40" s="523" t="s">
        <v>606</v>
      </c>
      <c r="F40" s="523" t="s">
        <v>607</v>
      </c>
      <c r="G40" s="523" t="s">
        <v>608</v>
      </c>
      <c r="H40" s="523" t="s">
        <v>609</v>
      </c>
      <c r="I40" s="527" t="s">
        <v>604</v>
      </c>
      <c r="J40" s="527" t="s">
        <v>605</v>
      </c>
      <c r="K40" s="527" t="s">
        <v>606</v>
      </c>
      <c r="L40" s="527" t="s">
        <v>607</v>
      </c>
      <c r="M40" s="527" t="s">
        <v>608</v>
      </c>
    </row>
    <row r="41" spans="2:13" ht="15" thickBot="1" x14ac:dyDescent="0.4">
      <c r="B41" s="524" t="s">
        <v>610</v>
      </c>
      <c r="C41" s="525"/>
      <c r="D41" s="525">
        <v>4</v>
      </c>
      <c r="E41" s="525">
        <v>2</v>
      </c>
      <c r="F41" s="525"/>
      <c r="G41" s="525"/>
      <c r="H41" s="525">
        <v>6</v>
      </c>
      <c r="I41" s="525">
        <f>C41*$H41*10</f>
        <v>0</v>
      </c>
      <c r="J41" s="525">
        <f t="shared" ref="J41:J42" si="21">D41*$H41*10</f>
        <v>240</v>
      </c>
      <c r="K41" s="525">
        <f t="shared" ref="K41:K42" si="22">E41*$H41*10</f>
        <v>120</v>
      </c>
      <c r="L41" s="525">
        <f t="shared" ref="L41:L42" si="23">F41*$H41*10</f>
        <v>0</v>
      </c>
      <c r="M41" s="525">
        <f t="shared" ref="M41:M42" si="24">G41*$H41*10</f>
        <v>0</v>
      </c>
    </row>
    <row r="42" spans="2:13" ht="15" thickBot="1" x14ac:dyDescent="0.4">
      <c r="B42" s="524" t="s">
        <v>759</v>
      </c>
      <c r="C42" s="525"/>
      <c r="D42" s="525">
        <v>4</v>
      </c>
      <c r="E42" s="525">
        <v>2</v>
      </c>
      <c r="F42" s="525"/>
      <c r="G42" s="525"/>
      <c r="H42" s="525">
        <v>23</v>
      </c>
      <c r="I42" s="525">
        <f t="shared" ref="I42" si="25">C42*$H42*10</f>
        <v>0</v>
      </c>
      <c r="J42" s="525">
        <f t="shared" si="21"/>
        <v>920</v>
      </c>
      <c r="K42" s="525">
        <f t="shared" si="22"/>
        <v>460</v>
      </c>
      <c r="L42" s="525">
        <f t="shared" si="23"/>
        <v>0</v>
      </c>
      <c r="M42" s="525">
        <f t="shared" si="24"/>
        <v>0</v>
      </c>
    </row>
    <row r="43" spans="2:13" ht="15" thickBot="1" x14ac:dyDescent="0.4">
      <c r="B43" s="524" t="s">
        <v>760</v>
      </c>
      <c r="C43" s="525"/>
      <c r="D43" s="525">
        <v>4</v>
      </c>
      <c r="E43" s="525">
        <v>2</v>
      </c>
      <c r="F43" s="525"/>
      <c r="G43" s="525"/>
      <c r="H43" s="525">
        <v>6</v>
      </c>
      <c r="I43" s="525">
        <f t="shared" ref="I43:I46" si="26">C43*$H43*10</f>
        <v>0</v>
      </c>
      <c r="J43" s="525">
        <f t="shared" ref="J43:J46" si="27">D43*$H43*10</f>
        <v>240</v>
      </c>
      <c r="K43" s="525">
        <f t="shared" ref="K43:K46" si="28">E43*$H43*10</f>
        <v>120</v>
      </c>
      <c r="L43" s="525">
        <f t="shared" ref="L43:L46" si="29">F43*$H43*10</f>
        <v>0</v>
      </c>
      <c r="M43" s="525">
        <f t="shared" ref="M43:M46" si="30">G43*$H43*10</f>
        <v>0</v>
      </c>
    </row>
    <row r="44" spans="2:13" ht="15" thickBot="1" x14ac:dyDescent="0.4">
      <c r="B44" s="524" t="s">
        <v>761</v>
      </c>
      <c r="C44" s="525"/>
      <c r="D44" s="525">
        <v>4</v>
      </c>
      <c r="E44" s="525">
        <v>2</v>
      </c>
      <c r="F44" s="525"/>
      <c r="G44" s="525"/>
      <c r="H44" s="525">
        <v>25</v>
      </c>
      <c r="I44" s="525">
        <f t="shared" si="26"/>
        <v>0</v>
      </c>
      <c r="J44" s="525">
        <f t="shared" si="27"/>
        <v>1000</v>
      </c>
      <c r="K44" s="525">
        <f t="shared" si="28"/>
        <v>500</v>
      </c>
      <c r="L44" s="525">
        <f t="shared" si="29"/>
        <v>0</v>
      </c>
      <c r="M44" s="525">
        <f t="shared" si="30"/>
        <v>0</v>
      </c>
    </row>
    <row r="45" spans="2:13" ht="15" thickBot="1" x14ac:dyDescent="0.4">
      <c r="B45" s="524" t="s">
        <v>611</v>
      </c>
      <c r="C45" s="525"/>
      <c r="D45" s="525">
        <v>4</v>
      </c>
      <c r="E45" s="525">
        <v>2</v>
      </c>
      <c r="F45" s="525"/>
      <c r="G45" s="525"/>
      <c r="H45" s="525">
        <v>10</v>
      </c>
      <c r="I45" s="525">
        <f t="shared" si="26"/>
        <v>0</v>
      </c>
      <c r="J45" s="525">
        <f t="shared" si="27"/>
        <v>400</v>
      </c>
      <c r="K45" s="525">
        <f t="shared" si="28"/>
        <v>200</v>
      </c>
      <c r="L45" s="525">
        <f t="shared" si="29"/>
        <v>0</v>
      </c>
      <c r="M45" s="525">
        <f t="shared" si="30"/>
        <v>0</v>
      </c>
    </row>
    <row r="46" spans="2:13" ht="15" thickBot="1" x14ac:dyDescent="0.4">
      <c r="B46" s="526"/>
      <c r="C46" s="525"/>
      <c r="D46" s="525"/>
      <c r="E46" s="525"/>
      <c r="F46" s="525"/>
      <c r="G46" s="525"/>
      <c r="H46" s="525"/>
      <c r="I46" s="525">
        <f t="shared" si="26"/>
        <v>0</v>
      </c>
      <c r="J46" s="525">
        <f t="shared" si="27"/>
        <v>0</v>
      </c>
      <c r="K46" s="525">
        <f t="shared" si="28"/>
        <v>0</v>
      </c>
      <c r="L46" s="525">
        <f t="shared" si="29"/>
        <v>0</v>
      </c>
      <c r="M46" s="525">
        <f t="shared" si="30"/>
        <v>0</v>
      </c>
    </row>
    <row r="47" spans="2:13" ht="21" x14ac:dyDescent="0.35">
      <c r="H47" s="607">
        <f>SUM(H41:H45)</f>
        <v>70</v>
      </c>
      <c r="J47" s="606">
        <f>SUM(J41:J46)</f>
        <v>2800</v>
      </c>
      <c r="K47" s="606">
        <f>SUM(K41:K46)</f>
        <v>1400</v>
      </c>
    </row>
    <row r="48" spans="2:13" x14ac:dyDescent="0.35">
      <c r="J48" s="606">
        <v>2400</v>
      </c>
      <c r="K48" s="606">
        <v>1200</v>
      </c>
    </row>
    <row r="49" spans="2:13" ht="15" thickBot="1" x14ac:dyDescent="0.4">
      <c r="J49" s="606">
        <f>J47-J48</f>
        <v>400</v>
      </c>
      <c r="K49" s="606">
        <f t="shared" ref="K49:M49" si="31">K47-K48</f>
        <v>200</v>
      </c>
      <c r="L49" s="606">
        <f t="shared" si="31"/>
        <v>0</v>
      </c>
      <c r="M49" s="606">
        <f t="shared" si="31"/>
        <v>0</v>
      </c>
    </row>
    <row r="50" spans="2:13" ht="15" thickBot="1" x14ac:dyDescent="0.4">
      <c r="B50" s="522" t="s">
        <v>767</v>
      </c>
      <c r="C50" s="523" t="s">
        <v>604</v>
      </c>
      <c r="D50" s="523" t="s">
        <v>605</v>
      </c>
      <c r="E50" s="523" t="s">
        <v>606</v>
      </c>
      <c r="F50" s="523" t="s">
        <v>607</v>
      </c>
      <c r="G50" s="523" t="s">
        <v>608</v>
      </c>
      <c r="H50" s="523" t="s">
        <v>609</v>
      </c>
      <c r="I50" s="527" t="s">
        <v>604</v>
      </c>
      <c r="J50" s="527" t="s">
        <v>605</v>
      </c>
      <c r="K50" s="527" t="s">
        <v>606</v>
      </c>
      <c r="L50" s="527" t="s">
        <v>607</v>
      </c>
      <c r="M50" s="527" t="s">
        <v>608</v>
      </c>
    </row>
    <row r="51" spans="2:13" ht="15" thickBot="1" x14ac:dyDescent="0.4">
      <c r="B51" s="524" t="s">
        <v>763</v>
      </c>
      <c r="C51" s="583">
        <v>1</v>
      </c>
      <c r="D51" s="583">
        <v>1</v>
      </c>
      <c r="E51" s="583">
        <v>1</v>
      </c>
      <c r="F51" s="583"/>
      <c r="G51" s="583">
        <v>1</v>
      </c>
      <c r="H51" s="583">
        <v>4</v>
      </c>
      <c r="I51" s="525">
        <f>C51*$H51*10</f>
        <v>40</v>
      </c>
      <c r="J51" s="525">
        <f t="shared" ref="J51:J54" si="32">D51*$H51*10</f>
        <v>40</v>
      </c>
      <c r="K51" s="525">
        <f t="shared" ref="K51:K54" si="33">E51*$H51*10</f>
        <v>40</v>
      </c>
      <c r="L51" s="525">
        <f t="shared" ref="L51:L54" si="34">F51*$H51*10</f>
        <v>0</v>
      </c>
      <c r="M51" s="525">
        <f t="shared" ref="M51:M54" si="35">G51*$H51*10</f>
        <v>40</v>
      </c>
    </row>
    <row r="52" spans="2:13" ht="15" thickBot="1" x14ac:dyDescent="0.4">
      <c r="B52" s="524" t="s">
        <v>764</v>
      </c>
      <c r="C52" s="583"/>
      <c r="D52" s="583">
        <v>1</v>
      </c>
      <c r="E52" s="583">
        <v>1</v>
      </c>
      <c r="F52" s="583"/>
      <c r="G52" s="583">
        <v>1</v>
      </c>
      <c r="H52" s="583">
        <v>10</v>
      </c>
      <c r="I52" s="525">
        <f t="shared" ref="I52:I54" si="36">C52*$H52*10</f>
        <v>0</v>
      </c>
      <c r="J52" s="525">
        <f t="shared" si="32"/>
        <v>100</v>
      </c>
      <c r="K52" s="525">
        <f t="shared" si="33"/>
        <v>100</v>
      </c>
      <c r="L52" s="525">
        <f t="shared" si="34"/>
        <v>0</v>
      </c>
      <c r="M52" s="525">
        <f t="shared" si="35"/>
        <v>100</v>
      </c>
    </row>
    <row r="53" spans="2:13" ht="15" thickBot="1" x14ac:dyDescent="0.4">
      <c r="B53" s="524" t="s">
        <v>765</v>
      </c>
      <c r="C53" s="583"/>
      <c r="D53" s="583"/>
      <c r="E53" s="583"/>
      <c r="F53" s="583"/>
      <c r="G53" s="583">
        <v>1</v>
      </c>
      <c r="H53" s="583">
        <v>10</v>
      </c>
      <c r="I53" s="525">
        <f t="shared" si="36"/>
        <v>0</v>
      </c>
      <c r="J53" s="525">
        <f t="shared" si="32"/>
        <v>0</v>
      </c>
      <c r="K53" s="525">
        <f t="shared" si="33"/>
        <v>0</v>
      </c>
      <c r="L53" s="525">
        <f t="shared" si="34"/>
        <v>0</v>
      </c>
      <c r="M53" s="525">
        <f t="shared" si="35"/>
        <v>100</v>
      </c>
    </row>
    <row r="54" spans="2:13" ht="25.5" thickBot="1" x14ac:dyDescent="0.4">
      <c r="B54" s="526" t="s">
        <v>766</v>
      </c>
      <c r="C54" s="583"/>
      <c r="D54" s="583"/>
      <c r="E54" s="583"/>
      <c r="F54" s="583"/>
      <c r="G54" s="583">
        <v>1</v>
      </c>
      <c r="H54" s="583">
        <v>4</v>
      </c>
      <c r="I54" s="525">
        <f t="shared" si="36"/>
        <v>0</v>
      </c>
      <c r="J54" s="525">
        <f t="shared" si="32"/>
        <v>0</v>
      </c>
      <c r="K54" s="525">
        <f t="shared" si="33"/>
        <v>0</v>
      </c>
      <c r="L54" s="525">
        <f t="shared" si="34"/>
        <v>0</v>
      </c>
      <c r="M54" s="525">
        <f t="shared" si="35"/>
        <v>40</v>
      </c>
    </row>
    <row r="55" spans="2:13" ht="21" x14ac:dyDescent="0.35">
      <c r="H55" s="607">
        <f>SUM(H51:H54)</f>
        <v>28</v>
      </c>
      <c r="I55" s="606">
        <f>SUM(I51:I54)</f>
        <v>40</v>
      </c>
      <c r="J55" s="606">
        <f t="shared" ref="J55:M55" si="37">SUM(J51:J54)</f>
        <v>140</v>
      </c>
      <c r="K55" s="606">
        <f t="shared" si="37"/>
        <v>140</v>
      </c>
      <c r="L55" s="606">
        <f t="shared" si="37"/>
        <v>0</v>
      </c>
      <c r="M55" s="606">
        <f t="shared" si="37"/>
        <v>280</v>
      </c>
    </row>
    <row r="56" spans="2:13" x14ac:dyDescent="0.35">
      <c r="I56" s="606">
        <v>40</v>
      </c>
      <c r="J56" s="606">
        <v>90</v>
      </c>
      <c r="K56" s="606">
        <v>90</v>
      </c>
      <c r="L56" s="606">
        <v>0</v>
      </c>
      <c r="M56" s="606">
        <v>200</v>
      </c>
    </row>
    <row r="57" spans="2:13" ht="15" thickBot="1" x14ac:dyDescent="0.4">
      <c r="J57" s="606">
        <f>J55-J56</f>
        <v>50</v>
      </c>
      <c r="K57" s="606">
        <f t="shared" ref="K57:M57" si="38">K55-K56</f>
        <v>50</v>
      </c>
      <c r="L57" s="606">
        <f t="shared" si="38"/>
        <v>0</v>
      </c>
      <c r="M57" s="606">
        <f t="shared" si="38"/>
        <v>80</v>
      </c>
    </row>
    <row r="58" spans="2:13" ht="15" thickBot="1" x14ac:dyDescent="0.4">
      <c r="B58" s="522" t="s">
        <v>799</v>
      </c>
      <c r="C58" s="523" t="s">
        <v>604</v>
      </c>
      <c r="D58" s="523" t="s">
        <v>605</v>
      </c>
      <c r="E58" s="523" t="s">
        <v>606</v>
      </c>
      <c r="F58" s="523" t="s">
        <v>607</v>
      </c>
      <c r="G58" s="523" t="s">
        <v>608</v>
      </c>
      <c r="H58" s="523" t="s">
        <v>609</v>
      </c>
      <c r="I58" s="527" t="s">
        <v>604</v>
      </c>
      <c r="J58" s="527" t="s">
        <v>605</v>
      </c>
      <c r="K58" s="527" t="s">
        <v>606</v>
      </c>
      <c r="L58" s="527" t="s">
        <v>607</v>
      </c>
      <c r="M58" s="527" t="s">
        <v>608</v>
      </c>
    </row>
    <row r="59" spans="2:13" ht="15" thickBot="1" x14ac:dyDescent="0.4">
      <c r="B59" s="524" t="s">
        <v>796</v>
      </c>
      <c r="C59" s="583"/>
      <c r="D59" s="583">
        <v>2</v>
      </c>
      <c r="E59" s="583">
        <v>2</v>
      </c>
      <c r="F59" s="583"/>
      <c r="G59" s="583"/>
      <c r="H59" s="583">
        <v>5</v>
      </c>
      <c r="I59" s="525">
        <f>C59*$H59*10</f>
        <v>0</v>
      </c>
      <c r="J59" s="525">
        <f t="shared" ref="J59:J61" si="39">D59*$H59*10</f>
        <v>100</v>
      </c>
      <c r="K59" s="525">
        <f t="shared" ref="K59:K61" si="40">E59*$H59*10</f>
        <v>100</v>
      </c>
      <c r="L59" s="525">
        <f t="shared" ref="L59:L61" si="41">F59*$H59*10</f>
        <v>0</v>
      </c>
      <c r="M59" s="525">
        <f t="shared" ref="M59:M61" si="42">G59*$H59*10</f>
        <v>0</v>
      </c>
    </row>
    <row r="60" spans="2:13" ht="15" thickBot="1" x14ac:dyDescent="0.4">
      <c r="B60" s="524" t="s">
        <v>797</v>
      </c>
      <c r="C60" s="583">
        <v>1</v>
      </c>
      <c r="D60" s="583"/>
      <c r="E60" s="583"/>
      <c r="F60" s="583"/>
      <c r="G60" s="583"/>
      <c r="H60" s="583">
        <v>3</v>
      </c>
      <c r="I60" s="525">
        <f t="shared" ref="I60:I61" si="43">C60*$H60*10</f>
        <v>30</v>
      </c>
      <c r="J60" s="525">
        <f t="shared" si="39"/>
        <v>0</v>
      </c>
      <c r="K60" s="525">
        <f t="shared" si="40"/>
        <v>0</v>
      </c>
      <c r="L60" s="525">
        <f t="shared" si="41"/>
        <v>0</v>
      </c>
      <c r="M60" s="525">
        <f t="shared" si="42"/>
        <v>0</v>
      </c>
    </row>
    <row r="61" spans="2:13" ht="15" thickBot="1" x14ac:dyDescent="0.4">
      <c r="B61" s="526" t="s">
        <v>798</v>
      </c>
      <c r="C61" s="583">
        <v>1</v>
      </c>
      <c r="D61" s="583"/>
      <c r="E61" s="583"/>
      <c r="F61" s="583"/>
      <c r="G61" s="583"/>
      <c r="H61" s="583">
        <v>2</v>
      </c>
      <c r="I61" s="525">
        <f t="shared" si="43"/>
        <v>20</v>
      </c>
      <c r="J61" s="525">
        <f t="shared" si="39"/>
        <v>0</v>
      </c>
      <c r="K61" s="525">
        <f t="shared" si="40"/>
        <v>0</v>
      </c>
      <c r="L61" s="525">
        <f t="shared" si="41"/>
        <v>0</v>
      </c>
      <c r="M61" s="525">
        <f t="shared" si="42"/>
        <v>0</v>
      </c>
    </row>
    <row r="62" spans="2:13" ht="21" x14ac:dyDescent="0.35">
      <c r="H62" s="607">
        <f>SUM(H59:H61)</f>
        <v>10</v>
      </c>
    </row>
    <row r="63" spans="2:13" ht="15" thickBot="1" x14ac:dyDescent="0.4"/>
    <row r="64" spans="2:13" ht="15" thickBot="1" x14ac:dyDescent="0.4">
      <c r="B64" s="522" t="s">
        <v>812</v>
      </c>
      <c r="C64" s="523" t="s">
        <v>604</v>
      </c>
      <c r="D64" s="523" t="s">
        <v>605</v>
      </c>
      <c r="E64" s="523" t="s">
        <v>606</v>
      </c>
      <c r="F64" s="523" t="s">
        <v>607</v>
      </c>
      <c r="G64" s="523" t="s">
        <v>608</v>
      </c>
      <c r="H64" s="523" t="s">
        <v>609</v>
      </c>
      <c r="I64" s="527" t="s">
        <v>604</v>
      </c>
      <c r="J64" s="527" t="s">
        <v>605</v>
      </c>
      <c r="K64" s="527" t="s">
        <v>606</v>
      </c>
      <c r="L64" s="527" t="s">
        <v>607</v>
      </c>
      <c r="M64" s="527" t="s">
        <v>608</v>
      </c>
    </row>
    <row r="65" spans="2:13" ht="15" thickBot="1" x14ac:dyDescent="0.4">
      <c r="B65" s="524" t="s">
        <v>806</v>
      </c>
      <c r="C65" s="525"/>
      <c r="D65" s="525">
        <v>3</v>
      </c>
      <c r="E65" s="525">
        <v>3</v>
      </c>
      <c r="F65" s="525"/>
      <c r="G65" s="525"/>
      <c r="H65" s="586">
        <v>10</v>
      </c>
      <c r="I65" s="525">
        <f>C65*$H65*10</f>
        <v>0</v>
      </c>
      <c r="J65" s="525">
        <f t="shared" ref="J65:J67" si="44">D65*$H65*10</f>
        <v>300</v>
      </c>
      <c r="K65" s="525">
        <f t="shared" ref="K65:K67" si="45">E65*$H65*10</f>
        <v>300</v>
      </c>
      <c r="L65" s="525">
        <f t="shared" ref="L65:L67" si="46">F65*$H65*10</f>
        <v>0</v>
      </c>
      <c r="M65" s="525">
        <f t="shared" ref="M65:M67" si="47">G65*$H65*10</f>
        <v>0</v>
      </c>
    </row>
    <row r="66" spans="2:13" ht="15" thickBot="1" x14ac:dyDescent="0.4">
      <c r="B66" s="524" t="s">
        <v>807</v>
      </c>
      <c r="C66" s="583"/>
      <c r="D66" s="583">
        <v>3</v>
      </c>
      <c r="E66" s="583">
        <v>3</v>
      </c>
      <c r="F66" s="583"/>
      <c r="G66" s="525"/>
      <c r="H66" s="586">
        <v>7</v>
      </c>
      <c r="I66" s="525">
        <f t="shared" ref="I66:I67" si="48">C66*$H66*10</f>
        <v>0</v>
      </c>
      <c r="J66" s="525">
        <f t="shared" si="44"/>
        <v>210</v>
      </c>
      <c r="K66" s="525">
        <f t="shared" si="45"/>
        <v>210</v>
      </c>
      <c r="L66" s="525">
        <f t="shared" si="46"/>
        <v>0</v>
      </c>
      <c r="M66" s="525">
        <f t="shared" si="47"/>
        <v>0</v>
      </c>
    </row>
    <row r="67" spans="2:13" ht="15" thickBot="1" x14ac:dyDescent="0.4">
      <c r="B67" s="524" t="s">
        <v>808</v>
      </c>
      <c r="C67" s="583"/>
      <c r="D67" s="583">
        <v>3</v>
      </c>
      <c r="E67" s="583">
        <v>3</v>
      </c>
      <c r="F67" s="583"/>
      <c r="G67" s="525"/>
      <c r="H67" s="587">
        <v>5</v>
      </c>
      <c r="I67" s="525">
        <f t="shared" si="48"/>
        <v>0</v>
      </c>
      <c r="J67" s="525">
        <f t="shared" si="44"/>
        <v>150</v>
      </c>
      <c r="K67" s="525">
        <f t="shared" si="45"/>
        <v>150</v>
      </c>
      <c r="L67" s="525">
        <f t="shared" si="46"/>
        <v>0</v>
      </c>
      <c r="M67" s="525">
        <f t="shared" si="47"/>
        <v>0</v>
      </c>
    </row>
    <row r="68" spans="2:13" ht="15" thickBot="1" x14ac:dyDescent="0.4">
      <c r="B68" s="524" t="s">
        <v>809</v>
      </c>
      <c r="C68" s="583"/>
      <c r="D68" s="583">
        <v>3</v>
      </c>
      <c r="E68" s="583">
        <v>3</v>
      </c>
      <c r="F68" s="583"/>
      <c r="G68" s="525"/>
      <c r="H68" s="587">
        <v>8</v>
      </c>
      <c r="I68" s="525">
        <f t="shared" ref="I68:I71" si="49">C68*$H68*10</f>
        <v>0</v>
      </c>
      <c r="J68" s="525">
        <f t="shared" ref="J68:J71" si="50">D68*$H68*10</f>
        <v>240</v>
      </c>
      <c r="K68" s="525">
        <f t="shared" ref="K68:K71" si="51">E68*$H68*10</f>
        <v>240</v>
      </c>
      <c r="L68" s="525">
        <f t="shared" ref="L68:L71" si="52">F68*$H68*10</f>
        <v>0</v>
      </c>
      <c r="M68" s="525">
        <f t="shared" ref="M68:M71" si="53">G68*$H68*10</f>
        <v>0</v>
      </c>
    </row>
    <row r="69" spans="2:13" ht="15" thickBot="1" x14ac:dyDescent="0.4">
      <c r="B69" s="524" t="s">
        <v>810</v>
      </c>
      <c r="C69" s="583">
        <v>1</v>
      </c>
      <c r="D69" s="583"/>
      <c r="E69" s="583">
        <v>1</v>
      </c>
      <c r="F69" s="583"/>
      <c r="G69" s="525"/>
      <c r="H69" s="586">
        <v>5</v>
      </c>
      <c r="I69" s="525">
        <f t="shared" si="49"/>
        <v>50</v>
      </c>
      <c r="J69" s="525">
        <f t="shared" si="50"/>
        <v>0</v>
      </c>
      <c r="K69" s="525">
        <f t="shared" si="51"/>
        <v>50</v>
      </c>
      <c r="L69" s="525">
        <f t="shared" si="52"/>
        <v>0</v>
      </c>
      <c r="M69" s="525">
        <f t="shared" si="53"/>
        <v>0</v>
      </c>
    </row>
    <row r="70" spans="2:13" ht="15" thickBot="1" x14ac:dyDescent="0.4">
      <c r="B70" s="524" t="s">
        <v>811</v>
      </c>
      <c r="C70" s="583">
        <v>1</v>
      </c>
      <c r="D70" s="583">
        <v>1</v>
      </c>
      <c r="E70" s="583">
        <v>1</v>
      </c>
      <c r="F70" s="583"/>
      <c r="G70" s="525"/>
      <c r="H70" s="586">
        <v>5</v>
      </c>
      <c r="I70" s="525">
        <f t="shared" si="49"/>
        <v>50</v>
      </c>
      <c r="J70" s="525">
        <f t="shared" si="50"/>
        <v>50</v>
      </c>
      <c r="K70" s="525">
        <f t="shared" si="51"/>
        <v>50</v>
      </c>
      <c r="L70" s="525">
        <f t="shared" si="52"/>
        <v>0</v>
      </c>
      <c r="M70" s="525">
        <f t="shared" si="53"/>
        <v>0</v>
      </c>
    </row>
    <row r="71" spans="2:13" ht="15" thickBot="1" x14ac:dyDescent="0.4">
      <c r="B71" s="526"/>
      <c r="C71" s="583"/>
      <c r="D71" s="583"/>
      <c r="E71" s="583"/>
      <c r="F71" s="583"/>
      <c r="G71" s="525"/>
      <c r="H71" s="525"/>
      <c r="I71" s="525">
        <f t="shared" si="49"/>
        <v>0</v>
      </c>
      <c r="J71" s="525">
        <f t="shared" si="50"/>
        <v>0</v>
      </c>
      <c r="K71" s="525">
        <f t="shared" si="51"/>
        <v>0</v>
      </c>
      <c r="L71" s="525">
        <f t="shared" si="52"/>
        <v>0</v>
      </c>
      <c r="M71" s="525">
        <f t="shared" si="53"/>
        <v>0</v>
      </c>
    </row>
    <row r="72" spans="2:13" ht="21" x14ac:dyDescent="0.35">
      <c r="H72" s="607">
        <f>SUM(H65:H70)</f>
        <v>40</v>
      </c>
    </row>
    <row r="74" spans="2:13" ht="15" thickBot="1" x14ac:dyDescent="0.4"/>
    <row r="75" spans="2:13" ht="15" thickBot="1" x14ac:dyDescent="0.4">
      <c r="B75" s="588" t="s">
        <v>822</v>
      </c>
      <c r="C75" s="523" t="s">
        <v>604</v>
      </c>
      <c r="D75" s="523" t="s">
        <v>605</v>
      </c>
      <c r="E75" s="523" t="s">
        <v>606</v>
      </c>
      <c r="F75" s="523" t="s">
        <v>607</v>
      </c>
      <c r="G75" s="523" t="s">
        <v>608</v>
      </c>
      <c r="H75" s="523" t="s">
        <v>609</v>
      </c>
      <c r="I75" s="527" t="s">
        <v>604</v>
      </c>
      <c r="J75" s="527" t="s">
        <v>605</v>
      </c>
      <c r="K75" s="527" t="s">
        <v>606</v>
      </c>
      <c r="L75" s="527" t="s">
        <v>607</v>
      </c>
      <c r="M75" s="527" t="s">
        <v>608</v>
      </c>
    </row>
    <row r="76" spans="2:13" ht="15" thickBot="1" x14ac:dyDescent="0.4">
      <c r="B76" s="526" t="s">
        <v>822</v>
      </c>
      <c r="C76" s="525">
        <v>1</v>
      </c>
      <c r="D76" s="525"/>
      <c r="E76" s="525"/>
      <c r="F76" s="525">
        <v>1</v>
      </c>
      <c r="G76" s="525">
        <v>1</v>
      </c>
      <c r="H76" s="586">
        <v>10</v>
      </c>
      <c r="I76" s="525">
        <f>C76*$H76*10</f>
        <v>100</v>
      </c>
      <c r="J76" s="525">
        <f t="shared" ref="J76" si="54">D76*$H76*10</f>
        <v>0</v>
      </c>
      <c r="K76" s="525">
        <f t="shared" ref="K76" si="55">E76*$H76*10</f>
        <v>0</v>
      </c>
      <c r="L76" s="525">
        <f t="shared" ref="L76" si="56">F76*$H76*10</f>
        <v>100</v>
      </c>
      <c r="M76" s="525">
        <f t="shared" ref="M76" si="57">G76*$H76*10</f>
        <v>100</v>
      </c>
    </row>
    <row r="77" spans="2:13" ht="21" x14ac:dyDescent="0.35">
      <c r="H77" s="607">
        <f>H76</f>
        <v>10</v>
      </c>
    </row>
    <row r="79" spans="2:13" ht="15" thickBot="1" x14ac:dyDescent="0.4"/>
    <row r="80" spans="2:13" ht="15" thickBot="1" x14ac:dyDescent="0.4">
      <c r="B80" s="522" t="s">
        <v>823</v>
      </c>
      <c r="C80" s="523" t="s">
        <v>829</v>
      </c>
      <c r="D80" s="523" t="s">
        <v>826</v>
      </c>
      <c r="E80" s="523" t="s">
        <v>825</v>
      </c>
      <c r="F80" s="523" t="s">
        <v>824</v>
      </c>
      <c r="G80" s="523" t="s">
        <v>830</v>
      </c>
      <c r="H80" s="523" t="s">
        <v>609</v>
      </c>
      <c r="I80" s="523" t="s">
        <v>829</v>
      </c>
      <c r="J80" s="523" t="s">
        <v>826</v>
      </c>
      <c r="K80" s="523" t="s">
        <v>825</v>
      </c>
      <c r="L80" s="523" t="s">
        <v>824</v>
      </c>
      <c r="M80" s="523" t="s">
        <v>830</v>
      </c>
    </row>
    <row r="81" spans="2:13" ht="15" thickBot="1" x14ac:dyDescent="0.4">
      <c r="B81" s="524" t="s">
        <v>827</v>
      </c>
      <c r="C81" s="525"/>
      <c r="D81" s="525"/>
      <c r="E81" s="525"/>
      <c r="F81" s="525">
        <v>1</v>
      </c>
      <c r="G81" s="525"/>
      <c r="H81" s="586">
        <v>20</v>
      </c>
      <c r="I81" s="525">
        <f>C81*$H81*10</f>
        <v>0</v>
      </c>
      <c r="J81" s="525">
        <f t="shared" ref="J81:J86" si="58">D81*$H81*10</f>
        <v>0</v>
      </c>
      <c r="K81" s="525">
        <f t="shared" ref="K81:K86" si="59">E81*$H81*10</f>
        <v>0</v>
      </c>
      <c r="L81" s="525">
        <f t="shared" ref="L81:L86" si="60">F81*$H81*10</f>
        <v>200</v>
      </c>
      <c r="M81" s="525">
        <f t="shared" ref="M81:M86" si="61">G81*$H81*10</f>
        <v>0</v>
      </c>
    </row>
    <row r="82" spans="2:13" ht="15" thickBot="1" x14ac:dyDescent="0.4">
      <c r="B82" s="524" t="s">
        <v>828</v>
      </c>
      <c r="C82" s="583"/>
      <c r="D82" s="583"/>
      <c r="E82" s="583">
        <v>1</v>
      </c>
      <c r="F82" s="583"/>
      <c r="G82" s="525"/>
      <c r="H82" s="586">
        <v>150</v>
      </c>
      <c r="I82" s="525">
        <f t="shared" ref="I82:I86" si="62">C82*$H82*10</f>
        <v>0</v>
      </c>
      <c r="J82" s="525">
        <f t="shared" si="58"/>
        <v>0</v>
      </c>
      <c r="K82" s="525">
        <f t="shared" si="59"/>
        <v>1500</v>
      </c>
      <c r="L82" s="525">
        <f t="shared" si="60"/>
        <v>0</v>
      </c>
      <c r="M82" s="525">
        <f t="shared" si="61"/>
        <v>0</v>
      </c>
    </row>
    <row r="83" spans="2:13" ht="15" thickBot="1" x14ac:dyDescent="0.4">
      <c r="B83" s="524" t="s">
        <v>831</v>
      </c>
      <c r="C83" s="583"/>
      <c r="D83" s="583">
        <v>1</v>
      </c>
      <c r="E83" s="583"/>
      <c r="F83" s="583"/>
      <c r="G83" s="525"/>
      <c r="H83" s="586">
        <v>150</v>
      </c>
      <c r="I83" s="525">
        <f t="shared" si="62"/>
        <v>0</v>
      </c>
      <c r="J83" s="525">
        <f t="shared" si="58"/>
        <v>1500</v>
      </c>
      <c r="K83" s="525">
        <f t="shared" si="59"/>
        <v>0</v>
      </c>
      <c r="L83" s="525">
        <f t="shared" si="60"/>
        <v>0</v>
      </c>
      <c r="M83" s="525">
        <f t="shared" si="61"/>
        <v>0</v>
      </c>
    </row>
    <row r="84" spans="2:13" ht="15" thickBot="1" x14ac:dyDescent="0.4">
      <c r="B84" s="524" t="s">
        <v>833</v>
      </c>
      <c r="C84" s="583">
        <v>1</v>
      </c>
      <c r="D84" s="583"/>
      <c r="E84" s="583"/>
      <c r="F84" s="583"/>
      <c r="G84" s="525"/>
      <c r="H84" s="586">
        <v>150</v>
      </c>
      <c r="I84" s="525">
        <f t="shared" si="62"/>
        <v>1500</v>
      </c>
      <c r="J84" s="525">
        <f t="shared" si="58"/>
        <v>0</v>
      </c>
      <c r="K84" s="525">
        <f t="shared" si="59"/>
        <v>0</v>
      </c>
      <c r="L84" s="525">
        <f t="shared" si="60"/>
        <v>0</v>
      </c>
      <c r="M84" s="525">
        <f t="shared" si="61"/>
        <v>0</v>
      </c>
    </row>
    <row r="85" spans="2:13" ht="15" thickBot="1" x14ac:dyDescent="0.4">
      <c r="B85" s="524" t="s">
        <v>832</v>
      </c>
      <c r="C85" s="583"/>
      <c r="D85" s="583"/>
      <c r="E85" s="583"/>
      <c r="F85" s="583"/>
      <c r="G85" s="525">
        <v>1</v>
      </c>
      <c r="H85" s="586">
        <v>150</v>
      </c>
      <c r="I85" s="525">
        <f t="shared" si="62"/>
        <v>0</v>
      </c>
      <c r="J85" s="525">
        <f t="shared" si="58"/>
        <v>0</v>
      </c>
      <c r="K85" s="525">
        <f t="shared" si="59"/>
        <v>0</v>
      </c>
      <c r="L85" s="525">
        <f t="shared" si="60"/>
        <v>0</v>
      </c>
      <c r="M85" s="525">
        <f t="shared" si="61"/>
        <v>1500</v>
      </c>
    </row>
    <row r="86" spans="2:13" ht="15" thickBot="1" x14ac:dyDescent="0.4">
      <c r="B86" s="526"/>
      <c r="C86" s="583"/>
      <c r="D86" s="583"/>
      <c r="E86" s="583"/>
      <c r="F86" s="583"/>
      <c r="G86" s="525"/>
      <c r="H86" s="525"/>
      <c r="I86" s="525">
        <f t="shared" si="62"/>
        <v>0</v>
      </c>
      <c r="J86" s="525">
        <f t="shared" si="58"/>
        <v>0</v>
      </c>
      <c r="K86" s="525">
        <f t="shared" si="59"/>
        <v>0</v>
      </c>
      <c r="L86" s="525">
        <f t="shared" si="60"/>
        <v>0</v>
      </c>
      <c r="M86" s="525">
        <f t="shared" si="61"/>
        <v>0</v>
      </c>
    </row>
    <row r="88" spans="2:13" ht="15" thickBot="1" x14ac:dyDescent="0.4"/>
    <row r="89" spans="2:13" ht="15" thickBot="1" x14ac:dyDescent="0.4">
      <c r="B89" s="522" t="s">
        <v>758</v>
      </c>
      <c r="C89" s="589" t="s">
        <v>839</v>
      </c>
      <c r="E89" s="608">
        <v>75</v>
      </c>
    </row>
    <row r="90" spans="2:13" x14ac:dyDescent="0.35">
      <c r="B90" s="609" t="s">
        <v>835</v>
      </c>
      <c r="C90" s="610">
        <f>SUM(K76,K65:K71,K59:K61,K51:K54,K41:K46,K34:K35,K25:K29,K14:K19,K5:K10)</f>
        <v>3710</v>
      </c>
      <c r="E90" s="608">
        <f>C90/(E$89*9)</f>
        <v>5.496296296296296</v>
      </c>
    </row>
    <row r="91" spans="2:13" x14ac:dyDescent="0.35">
      <c r="B91" s="609" t="s">
        <v>834</v>
      </c>
      <c r="C91" s="610">
        <f>SUM(J76,J65:J71,J59:J61,J51:J54,J41:J46,J34:J35,J25:J29,J14:J19,J5:J10)</f>
        <v>4880</v>
      </c>
      <c r="E91" s="608">
        <f t="shared" ref="E91:E94" si="63">C91/(E$89*9)</f>
        <v>7.2296296296296294</v>
      </c>
    </row>
    <row r="92" spans="2:13" x14ac:dyDescent="0.35">
      <c r="B92" s="609" t="s">
        <v>836</v>
      </c>
      <c r="C92" s="610">
        <f>SUM(L76,L65:L71,L59:L61,L51:L54,L41:L46,L34:L35,L25:L29,L14:L19,L5:L10)</f>
        <v>130</v>
      </c>
      <c r="E92" s="608">
        <f t="shared" si="63"/>
        <v>0.19259259259259259</v>
      </c>
    </row>
    <row r="93" spans="2:13" x14ac:dyDescent="0.35">
      <c r="B93" s="609" t="s">
        <v>837</v>
      </c>
      <c r="C93" s="610">
        <f>SUM(M76,M65:M71,M59:M61,M51:M54,M41:M46,M34:M35,M25:M29,M14:M19,M5:M10)</f>
        <v>380</v>
      </c>
      <c r="E93" s="608">
        <f t="shared" si="63"/>
        <v>0.562962962962963</v>
      </c>
    </row>
    <row r="94" spans="2:13" ht="15" thickBot="1" x14ac:dyDescent="0.4">
      <c r="B94" s="609" t="s">
        <v>838</v>
      </c>
      <c r="C94" s="610">
        <f>SUM(I76,I65:I71,I59:I61,I51:I54,I41:I46,I34:I35,I25:I29,I14:I19,I5:I10)</f>
        <v>310</v>
      </c>
      <c r="E94" s="608">
        <f t="shared" si="63"/>
        <v>0.45925925925925926</v>
      </c>
    </row>
    <row r="95" spans="2:13" ht="15" thickBot="1" x14ac:dyDescent="0.4">
      <c r="B95" s="522" t="s">
        <v>840</v>
      </c>
      <c r="C95" s="589">
        <f>SUM(C90:C94)</f>
        <v>9410</v>
      </c>
    </row>
    <row r="97" spans="2:5" ht="15" thickBot="1" x14ac:dyDescent="0.4"/>
    <row r="98" spans="2:5" ht="15" thickBot="1" x14ac:dyDescent="0.4">
      <c r="B98" s="522" t="s">
        <v>841</v>
      </c>
      <c r="C98" s="589" t="s">
        <v>839</v>
      </c>
    </row>
    <row r="99" spans="2:5" x14ac:dyDescent="0.35">
      <c r="B99" s="609" t="s">
        <v>842</v>
      </c>
      <c r="C99" s="610">
        <f>SUM(L81:L86)</f>
        <v>200</v>
      </c>
    </row>
    <row r="100" spans="2:5" x14ac:dyDescent="0.35">
      <c r="B100" s="609" t="s">
        <v>843</v>
      </c>
      <c r="C100" s="610">
        <v>800</v>
      </c>
    </row>
    <row r="101" spans="2:5" x14ac:dyDescent="0.35">
      <c r="B101" s="609" t="s">
        <v>844</v>
      </c>
      <c r="C101" s="610">
        <v>800</v>
      </c>
    </row>
    <row r="102" spans="2:5" x14ac:dyDescent="0.35">
      <c r="B102" s="609" t="s">
        <v>833</v>
      </c>
      <c r="C102" s="610">
        <v>800</v>
      </c>
    </row>
    <row r="103" spans="2:5" ht="15" thickBot="1" x14ac:dyDescent="0.4">
      <c r="B103" s="609" t="s">
        <v>845</v>
      </c>
      <c r="C103" s="610">
        <v>800</v>
      </c>
    </row>
    <row r="104" spans="2:5" ht="15" thickBot="1" x14ac:dyDescent="0.4">
      <c r="B104" s="522" t="s">
        <v>840</v>
      </c>
      <c r="C104" s="589">
        <f>SUM(C99:C103)</f>
        <v>3400</v>
      </c>
    </row>
    <row r="108" spans="2:5" ht="15" thickBot="1" x14ac:dyDescent="0.4"/>
    <row r="109" spans="2:5" ht="15" thickBot="1" x14ac:dyDescent="0.4">
      <c r="B109" s="590" t="s">
        <v>852</v>
      </c>
      <c r="C109" s="591" t="s">
        <v>854</v>
      </c>
      <c r="D109" s="591" t="s">
        <v>853</v>
      </c>
      <c r="E109" s="591" t="s">
        <v>291</v>
      </c>
    </row>
    <row r="110" spans="2:5" x14ac:dyDescent="0.35">
      <c r="B110" s="611" t="s">
        <v>855</v>
      </c>
      <c r="C110" s="612">
        <v>5</v>
      </c>
      <c r="D110" s="612" t="s">
        <v>139</v>
      </c>
      <c r="E110" s="612" t="s">
        <v>857</v>
      </c>
    </row>
    <row r="111" spans="2:5" x14ac:dyDescent="0.35">
      <c r="B111" s="613" t="s">
        <v>856</v>
      </c>
      <c r="C111" s="614">
        <v>2</v>
      </c>
      <c r="D111" s="614" t="s">
        <v>862</v>
      </c>
      <c r="E111" s="614" t="s">
        <v>858</v>
      </c>
    </row>
    <row r="112" spans="2:5" x14ac:dyDescent="0.35">
      <c r="B112" s="611" t="s">
        <v>865</v>
      </c>
      <c r="C112" s="612">
        <v>4</v>
      </c>
      <c r="D112" s="612" t="s">
        <v>862</v>
      </c>
      <c r="E112" s="612" t="s">
        <v>857</v>
      </c>
    </row>
    <row r="113" spans="2:10" x14ac:dyDescent="0.35">
      <c r="B113" s="611" t="s">
        <v>860</v>
      </c>
      <c r="C113" s="612">
        <v>1</v>
      </c>
      <c r="D113" s="612" t="s">
        <v>859</v>
      </c>
      <c r="E113" s="612" t="s">
        <v>857</v>
      </c>
    </row>
    <row r="114" spans="2:10" x14ac:dyDescent="0.35">
      <c r="B114" s="611" t="s">
        <v>861</v>
      </c>
      <c r="C114" s="612">
        <v>1</v>
      </c>
      <c r="D114" s="612" t="s">
        <v>862</v>
      </c>
      <c r="E114" s="612" t="s">
        <v>857</v>
      </c>
    </row>
    <row r="115" spans="2:10" x14ac:dyDescent="0.35">
      <c r="B115" s="611" t="s">
        <v>863</v>
      </c>
      <c r="C115" s="612">
        <v>1</v>
      </c>
      <c r="D115" s="612" t="s">
        <v>859</v>
      </c>
      <c r="E115" s="612" t="s">
        <v>857</v>
      </c>
    </row>
    <row r="116" spans="2:10" x14ac:dyDescent="0.35">
      <c r="B116" s="611" t="s">
        <v>864</v>
      </c>
      <c r="C116" s="612">
        <v>1</v>
      </c>
      <c r="D116" s="612" t="s">
        <v>862</v>
      </c>
      <c r="E116" s="612" t="s">
        <v>857</v>
      </c>
    </row>
    <row r="117" spans="2:10" ht="15" thickBot="1" x14ac:dyDescent="0.4">
      <c r="B117" s="611" t="s">
        <v>866</v>
      </c>
      <c r="C117" s="612">
        <v>1</v>
      </c>
      <c r="D117" s="612" t="s">
        <v>859</v>
      </c>
      <c r="E117" s="612" t="s">
        <v>857</v>
      </c>
    </row>
    <row r="118" spans="2:10" ht="15" thickBot="1" x14ac:dyDescent="0.4">
      <c r="B118" s="590"/>
      <c r="C118" s="590"/>
      <c r="D118" s="590"/>
      <c r="E118" s="590"/>
    </row>
    <row r="119" spans="2:10" x14ac:dyDescent="0.35">
      <c r="C119" s="608"/>
      <c r="D119" s="608"/>
      <c r="E119" s="608"/>
    </row>
    <row r="120" spans="2:10" x14ac:dyDescent="0.35">
      <c r="D120" s="608"/>
    </row>
    <row r="125" spans="2:10" ht="15" thickBot="1" x14ac:dyDescent="0.4"/>
    <row r="126" spans="2:10" ht="15" thickBot="1" x14ac:dyDescent="0.4">
      <c r="C126" s="745" t="s">
        <v>890</v>
      </c>
      <c r="D126" s="746"/>
      <c r="E126" s="746"/>
      <c r="F126" s="746"/>
      <c r="G126" s="746"/>
      <c r="H126" s="746"/>
      <c r="I126" s="746"/>
      <c r="J126" s="747"/>
    </row>
    <row r="127" spans="2:10" ht="26.5" thickBot="1" x14ac:dyDescent="0.4">
      <c r="C127" s="595" t="s">
        <v>363</v>
      </c>
      <c r="D127" s="596" t="s">
        <v>38</v>
      </c>
      <c r="E127" s="596" t="s">
        <v>872</v>
      </c>
      <c r="F127" s="596" t="s">
        <v>873</v>
      </c>
      <c r="G127" s="595" t="s">
        <v>874</v>
      </c>
      <c r="H127" s="596" t="s">
        <v>889</v>
      </c>
      <c r="I127" s="596" t="s">
        <v>102</v>
      </c>
      <c r="J127" s="596" t="s">
        <v>875</v>
      </c>
    </row>
    <row r="128" spans="2:10" ht="25.5" thickBot="1" x14ac:dyDescent="0.4">
      <c r="C128" s="602" t="s">
        <v>876</v>
      </c>
      <c r="D128" s="597" t="s">
        <v>877</v>
      </c>
      <c r="E128" s="597" t="s">
        <v>42</v>
      </c>
      <c r="F128" s="597" t="s">
        <v>881</v>
      </c>
      <c r="G128" s="597" t="s">
        <v>6</v>
      </c>
      <c r="H128" s="598">
        <v>3.6499999999999998E-2</v>
      </c>
      <c r="I128" s="598">
        <v>0.02</v>
      </c>
      <c r="J128" s="599">
        <f>D138</f>
        <v>26225</v>
      </c>
    </row>
    <row r="129" spans="3:10" ht="38" thickBot="1" x14ac:dyDescent="0.4">
      <c r="C129" s="602" t="s">
        <v>876</v>
      </c>
      <c r="D129" s="597" t="s">
        <v>883</v>
      </c>
      <c r="E129" s="597" t="s">
        <v>886</v>
      </c>
      <c r="F129" s="597" t="s">
        <v>880</v>
      </c>
      <c r="G129" s="597" t="s">
        <v>6</v>
      </c>
      <c r="H129" s="598">
        <v>3.6499999999999998E-2</v>
      </c>
      <c r="I129" s="598">
        <v>0.02</v>
      </c>
      <c r="J129" s="599">
        <f>D139</f>
        <v>137762.93268382005</v>
      </c>
    </row>
    <row r="130" spans="3:10" ht="38" thickBot="1" x14ac:dyDescent="0.4">
      <c r="C130" s="602" t="s">
        <v>876</v>
      </c>
      <c r="D130" s="597" t="s">
        <v>887</v>
      </c>
      <c r="E130" s="597" t="s">
        <v>878</v>
      </c>
      <c r="F130" s="597" t="s">
        <v>880</v>
      </c>
      <c r="G130" s="597" t="s">
        <v>6</v>
      </c>
      <c r="H130" s="598">
        <v>3.6499999999999998E-2</v>
      </c>
      <c r="I130" s="598">
        <v>0.02</v>
      </c>
      <c r="J130" s="599">
        <f>D140</f>
        <v>380983.96832892828</v>
      </c>
    </row>
    <row r="131" spans="3:10" ht="38" thickBot="1" x14ac:dyDescent="0.4">
      <c r="C131" s="602" t="s">
        <v>876</v>
      </c>
      <c r="D131" s="597" t="s">
        <v>888</v>
      </c>
      <c r="E131" s="597" t="s">
        <v>878</v>
      </c>
      <c r="F131" s="597" t="s">
        <v>880</v>
      </c>
      <c r="G131" s="597" t="s">
        <v>6</v>
      </c>
      <c r="H131" s="598">
        <v>3.6499999999999998E-2</v>
      </c>
      <c r="I131" s="598">
        <v>0.02</v>
      </c>
      <c r="J131" s="599">
        <f>D137</f>
        <v>411638.10529445071</v>
      </c>
    </row>
    <row r="132" spans="3:10" ht="38" thickBot="1" x14ac:dyDescent="0.4">
      <c r="C132" s="602" t="s">
        <v>876</v>
      </c>
      <c r="D132" s="597" t="s">
        <v>879</v>
      </c>
      <c r="E132" s="597" t="s">
        <v>878</v>
      </c>
      <c r="F132" s="597" t="s">
        <v>880</v>
      </c>
      <c r="G132" s="597" t="s">
        <v>6</v>
      </c>
      <c r="H132" s="598">
        <v>3.6499999999999998E-2</v>
      </c>
      <c r="I132" s="598">
        <v>0.02</v>
      </c>
      <c r="J132" s="599">
        <f>D141</f>
        <v>220643.29590657682</v>
      </c>
    </row>
    <row r="133" spans="3:10" ht="27" customHeight="1" thickBot="1" x14ac:dyDescent="0.4">
      <c r="C133" s="742" t="s">
        <v>75</v>
      </c>
      <c r="D133" s="743"/>
      <c r="E133" s="743"/>
      <c r="F133" s="743"/>
      <c r="G133" s="743"/>
      <c r="H133" s="743"/>
      <c r="I133" s="744"/>
      <c r="J133" s="601">
        <f>SUM(J128:J132)</f>
        <v>1177253.3022137759</v>
      </c>
    </row>
    <row r="137" spans="3:10" x14ac:dyDescent="0.35">
      <c r="C137" s="593" t="s">
        <v>328</v>
      </c>
      <c r="D137" s="615">
        <f>RESUMO!M49</f>
        <v>411638.10529445071</v>
      </c>
    </row>
    <row r="138" spans="3:10" x14ac:dyDescent="0.35">
      <c r="C138" s="593" t="s">
        <v>882</v>
      </c>
      <c r="D138" s="615">
        <f>RESUMO!M50</f>
        <v>26225</v>
      </c>
    </row>
    <row r="139" spans="3:10" x14ac:dyDescent="0.35">
      <c r="C139" s="593" t="s">
        <v>883</v>
      </c>
      <c r="D139" s="615">
        <f>RESUMO!M51</f>
        <v>137762.93268382005</v>
      </c>
    </row>
    <row r="140" spans="3:10" x14ac:dyDescent="0.35">
      <c r="C140" s="593" t="s">
        <v>884</v>
      </c>
      <c r="D140" s="615">
        <f>RESUMO!M52</f>
        <v>380983.96832892828</v>
      </c>
    </row>
    <row r="141" spans="3:10" x14ac:dyDescent="0.35">
      <c r="C141" s="593" t="s">
        <v>885</v>
      </c>
      <c r="D141" s="615">
        <f>RESUMO!M53</f>
        <v>220643.29590657682</v>
      </c>
    </row>
    <row r="142" spans="3:10" x14ac:dyDescent="0.35">
      <c r="C142" s="593" t="s">
        <v>379</v>
      </c>
      <c r="D142" s="615">
        <f>SUM(RESUMO!M38,RESUMO!M39)</f>
        <v>269086.92253602663</v>
      </c>
    </row>
    <row r="143" spans="3:10" x14ac:dyDescent="0.35">
      <c r="C143" s="594" t="s">
        <v>50</v>
      </c>
      <c r="D143" s="615">
        <f>RESUMO!L41</f>
        <v>397106.92104799993</v>
      </c>
    </row>
    <row r="144" spans="3:10" x14ac:dyDescent="0.35">
      <c r="D144" s="615">
        <f>SUM(D137:D143)</f>
        <v>1843447.1457978026</v>
      </c>
    </row>
    <row r="145" spans="2:10" ht="15" thickBot="1" x14ac:dyDescent="0.4"/>
    <row r="146" spans="2:10" ht="15" thickBot="1" x14ac:dyDescent="0.4">
      <c r="C146" s="751" t="s">
        <v>379</v>
      </c>
      <c r="D146" s="752"/>
      <c r="E146" s="752"/>
      <c r="F146" s="752"/>
      <c r="G146" s="752"/>
      <c r="H146" s="752"/>
      <c r="I146" s="752"/>
    </row>
    <row r="147" spans="2:10" ht="21.5" thickBot="1" x14ac:dyDescent="0.4">
      <c r="C147" s="603" t="s">
        <v>363</v>
      </c>
      <c r="D147" s="603" t="s">
        <v>38</v>
      </c>
      <c r="E147" s="603" t="s">
        <v>334</v>
      </c>
      <c r="F147" s="603" t="s">
        <v>99</v>
      </c>
      <c r="G147" s="603" t="s">
        <v>889</v>
      </c>
      <c r="H147" s="603" t="s">
        <v>891</v>
      </c>
      <c r="I147" s="603" t="s">
        <v>875</v>
      </c>
    </row>
    <row r="148" spans="2:10" ht="30.5" thickBot="1" x14ac:dyDescent="0.4">
      <c r="B148" s="598"/>
      <c r="C148" s="600" t="s">
        <v>892</v>
      </c>
      <c r="D148" s="600" t="s">
        <v>893</v>
      </c>
      <c r="E148" s="600" t="s">
        <v>46</v>
      </c>
      <c r="F148" s="600">
        <v>0.12</v>
      </c>
      <c r="G148" s="600">
        <v>3.6499999999999998E-2</v>
      </c>
      <c r="H148" s="600">
        <v>0</v>
      </c>
      <c r="I148" s="604">
        <f>D142</f>
        <v>269086.92253602663</v>
      </c>
    </row>
    <row r="149" spans="2:10" ht="15" customHeight="1" thickBot="1" x14ac:dyDescent="0.4">
      <c r="C149" s="748" t="s">
        <v>894</v>
      </c>
      <c r="D149" s="749"/>
      <c r="E149" s="749"/>
      <c r="F149" s="749"/>
      <c r="G149" s="749"/>
      <c r="H149" s="750"/>
      <c r="I149" s="605">
        <f>I148</f>
        <v>269086.92253602663</v>
      </c>
    </row>
    <row r="153" spans="2:10" ht="15" thickBot="1" x14ac:dyDescent="0.4"/>
    <row r="154" spans="2:10" ht="21.5" thickBot="1" x14ac:dyDescent="0.4">
      <c r="B154" s="596" t="s">
        <v>38</v>
      </c>
      <c r="C154" s="596"/>
      <c r="D154" s="596"/>
      <c r="E154" s="596"/>
      <c r="F154" s="596" t="s">
        <v>854</v>
      </c>
      <c r="G154" s="596" t="s">
        <v>875</v>
      </c>
      <c r="H154" s="617" t="s">
        <v>875</v>
      </c>
      <c r="I154" s="603"/>
    </row>
    <row r="155" spans="2:10" ht="63" customHeight="1" thickBot="1" x14ac:dyDescent="0.4">
      <c r="B155" s="741" t="str">
        <f>'FAT. DIRETO'!C9</f>
        <v>1 X 185MM² 8,5/15KV EPR 105, CABO SINGELO DE COBRE NÚ, TÊMPERA MOLE, ENCORDOAMENTO CLASSE 2, CAMADA SEMICONDUTORA APLICADA POR EXTRUSÃO, ISOLAÇÃO COMPOSTO TERMOFIXO DE EPR 105ºC, BLINDAGEM DE ISOLAÇÃO NÃO METÁLICA E PARTE METÁLICA FIOS DE COBRE NÚ, TÊMPERA MOLE, SEÇÃO 6MM², COBERTURA EM PVC NA COR PRETA.</v>
      </c>
      <c r="C155" s="741"/>
      <c r="D155" s="741"/>
      <c r="E155" s="741"/>
      <c r="F155" s="618">
        <f>'FAT. DIRETO'!G9</f>
        <v>570</v>
      </c>
      <c r="G155" s="619">
        <f>'FAT. DIRETO'!K9</f>
        <v>104901.71699999999</v>
      </c>
      <c r="J155" s="606">
        <v>104901.71699999999</v>
      </c>
    </row>
    <row r="156" spans="2:10" ht="55.15" customHeight="1" thickBot="1" x14ac:dyDescent="0.4">
      <c r="B156" s="741" t="str">
        <f>'FAT. DIRETO'!C10</f>
        <v>1 X 185MM² 8,5/15KV EPR 105, CABO SINGELO DE COBRE NÚ, TÊMPERA MOLE, ENCORDOAMENTO CLASSE 2, CAMADA SEMICONDUTORA APLICADA POR EXTRUSÃO, ISOLAÇÃO COMPOSTO TERMOFIXO DE EPR 105ºC, BLINDAGEM DE ISOLAÇÃO NÃO METÁLICA E PARTE METÁLICA FIOS DE COBRE NÚ, TÊMPERA MOLE, SEÇÃO 6MM², COBERTURA EM PVC NA COR PRETA.</v>
      </c>
      <c r="C156" s="741"/>
      <c r="D156" s="741"/>
      <c r="E156" s="741"/>
      <c r="F156" s="618">
        <f>'FAT. DIRETO'!G10</f>
        <v>165</v>
      </c>
      <c r="G156" s="619">
        <f>'FAT. DIRETO'!K10</f>
        <v>30366.286499999998</v>
      </c>
      <c r="J156" s="606">
        <v>30366.286499999998</v>
      </c>
    </row>
    <row r="157" spans="2:10" ht="36" customHeight="1" thickBot="1" x14ac:dyDescent="0.4">
      <c r="B157" s="741" t="str">
        <f>'FAT. DIRETO'!C11</f>
        <v>3 X 2,5MM² 0,6/1KV HEPR 105, CABO MULTIPOLAR DE COBRE NÚ, TÊMPERA MOLE, ENCORDOAMENTO CLASSE 5, ISOLAÇÃO HEPR 90ºC, COBERTURA PVC NA COR PRETA</v>
      </c>
      <c r="C157" s="741"/>
      <c r="D157" s="741"/>
      <c r="E157" s="741"/>
      <c r="F157" s="618">
        <f>'FAT. DIRETO'!G11</f>
        <v>35</v>
      </c>
      <c r="G157" s="619">
        <f>'FAT. DIRETO'!K11</f>
        <v>216.76396</v>
      </c>
      <c r="J157" s="606">
        <v>216.76396</v>
      </c>
    </row>
    <row r="158" spans="2:10" ht="30" customHeight="1" thickBot="1" x14ac:dyDescent="0.4">
      <c r="B158" s="741" t="str">
        <f>'FAT. DIRETO'!C12</f>
        <v>4 X 2,5MM² 0,6/1KV HEPR 105, CABO MULTIPOLAR DE COBRE NÚ, TÊMPERA MOLE, ENCORDOAMENTO CLASSE 5, ISOLAÇÃO HEPR 90ºC, COBERTURA PVC NA COR PRETA</v>
      </c>
      <c r="C158" s="741"/>
      <c r="D158" s="741"/>
      <c r="E158" s="741"/>
      <c r="F158" s="618">
        <f>'FAT. DIRETO'!G12</f>
        <v>1360</v>
      </c>
      <c r="G158" s="619">
        <f>'FAT. DIRETO'!K12</f>
        <v>15817.208000000001</v>
      </c>
      <c r="J158" s="606">
        <v>15817.208000000001</v>
      </c>
    </row>
    <row r="159" spans="2:10" ht="35.5" customHeight="1" thickBot="1" x14ac:dyDescent="0.4">
      <c r="B159" s="741" t="str">
        <f>'FAT. DIRETO'!C13</f>
        <v>4 X 4,0MM² 0,6/1KV HEPR 105, CABO MULTIPOLAR DE COBRE NÚ, TÊMPERA MOLE, ENCORDOAMENTO CLASSE 5, ISOLAÇÃO HEPR 90ºC, COBERTURA PVC NA COR PRETA</v>
      </c>
      <c r="C159" s="741"/>
      <c r="D159" s="741"/>
      <c r="E159" s="741"/>
      <c r="F159" s="618">
        <f>'FAT. DIRETO'!G13</f>
        <v>720</v>
      </c>
      <c r="G159" s="619">
        <f>'FAT. DIRETO'!K13</f>
        <v>17460</v>
      </c>
      <c r="J159" s="606">
        <v>17460</v>
      </c>
    </row>
    <row r="160" spans="2:10" ht="37.9" customHeight="1" thickBot="1" x14ac:dyDescent="0.4">
      <c r="B160" s="741" t="str">
        <f>'FAT. DIRETO'!C14</f>
        <v>4 X 6,0MM² 0,6/1KV HEPR 105, CABO MULTIPOLAR DE COBRE NÚ, TÊMPERA MOLE, ENCORDOAMENTO CLASSE 5, ISOLAÇÃO HEPR 90ºC, COBERTURA PVC NA COR PRETA</v>
      </c>
      <c r="C160" s="741"/>
      <c r="D160" s="741"/>
      <c r="E160" s="741"/>
      <c r="F160" s="618">
        <f>'FAT. DIRETO'!G14</f>
        <v>1207</v>
      </c>
      <c r="G160" s="619">
        <f>'FAT. DIRETO'!K14</f>
        <v>39806.859999999993</v>
      </c>
      <c r="J160" s="606">
        <v>39806.859999999993</v>
      </c>
    </row>
    <row r="161" spans="2:10" ht="34.9" customHeight="1" thickBot="1" x14ac:dyDescent="0.4">
      <c r="B161" s="741" t="str">
        <f>'FAT. DIRETO'!C15</f>
        <v>4 X 25,0MM² 0,6/1KV HEPR 105, CABO MULTIPOLAR DE COBRE NÚ, TÊMPERA MOLE, ENCORDOAMENTO CLASSE 5, ISOLAÇÃO HEPR 90ºC, COBERTURA PVC NA COR PRETA</v>
      </c>
      <c r="C161" s="741"/>
      <c r="D161" s="741"/>
      <c r="E161" s="741"/>
      <c r="F161" s="618">
        <f>'FAT. DIRETO'!G15</f>
        <v>331</v>
      </c>
      <c r="G161" s="619">
        <f>'FAT. DIRETO'!K15</f>
        <v>25232.377587999996</v>
      </c>
      <c r="J161" s="606">
        <v>25232.377587999996</v>
      </c>
    </row>
    <row r="162" spans="2:10" ht="34.9" customHeight="1" thickBot="1" x14ac:dyDescent="0.4">
      <c r="B162" s="741" t="str">
        <f>'FAT. DIRETO'!C16</f>
        <v>1 X 185MM² 0,6/1KV HEPR 90, CABO SINGELO DE COBRE NÚ, TÊMPERA MOLE, ENCORDOAMENTO CLASSE 5, ISOLAÇÃO HEPR 90ºC, COBERTURA PVC NA COR VERDE</v>
      </c>
      <c r="C162" s="741"/>
      <c r="D162" s="741"/>
      <c r="E162" s="741"/>
      <c r="F162" s="618">
        <f>'FAT. DIRETO'!G16</f>
        <v>255</v>
      </c>
      <c r="G162" s="619">
        <f>'FAT. DIRETO'!K16</f>
        <v>32655.147000000004</v>
      </c>
      <c r="J162" s="606">
        <v>32655.147000000004</v>
      </c>
    </row>
    <row r="163" spans="2:10" ht="29.5" customHeight="1" thickBot="1" x14ac:dyDescent="0.4">
      <c r="B163" s="741" t="str">
        <f>'FAT. DIRETO'!C17</f>
        <v>12 X 1,50MM² 1KV SB, CABO DE COMANDO/CONTROLE VEIAS NUMERADAS, SEM BLINDAGEM, 1KV, CLASSE 5, ISOLAÇÃO E COBERTURA PVC 70ºC PRETO</v>
      </c>
      <c r="C163" s="741"/>
      <c r="D163" s="741"/>
      <c r="E163" s="741"/>
      <c r="F163" s="618">
        <f>'FAT. DIRETO'!G17</f>
        <v>200</v>
      </c>
      <c r="G163" s="619">
        <f>'FAT. DIRETO'!K17</f>
        <v>3420.22</v>
      </c>
      <c r="J163" s="606">
        <v>3420.22</v>
      </c>
    </row>
    <row r="164" spans="2:10" ht="28.15" customHeight="1" thickBot="1" x14ac:dyDescent="0.4">
      <c r="B164" s="741" t="str">
        <f>'FAT. DIRETO'!C18</f>
        <v>1 X 2 X 1,00MM² 300V, CABO DE INSTRUMENTAÇÃO/SINAL , COM BLINDAGEM TOTAL + DRENO, CLASSE 5, ISOLAÇÃO E COBERTURA PVC ST2</v>
      </c>
      <c r="C164" s="741"/>
      <c r="D164" s="741"/>
      <c r="E164" s="741"/>
      <c r="F164" s="618">
        <f>'FAT. DIRETO'!G18</f>
        <v>2100</v>
      </c>
      <c r="G164" s="619">
        <f>'FAT. DIRETO'!K18</f>
        <v>8268.1830000000009</v>
      </c>
      <c r="J164" s="606">
        <v>8268.1830000000009</v>
      </c>
    </row>
    <row r="165" spans="2:10" ht="28.15" customHeight="1" thickBot="1" x14ac:dyDescent="0.4">
      <c r="B165" s="741" t="str">
        <f>'FAT. DIRETO'!C19</f>
        <v>6 X 1,50MM² 1KV SB, CABO DE COMANDO/CONTROLE VEIAS NUMERADAS, SEM BLINDAGEM, 1KV, CLASSE 5, ISOLAÇÃO E COBERTURA PVC 70ºC PRETO</v>
      </c>
      <c r="C165" s="741"/>
      <c r="D165" s="741"/>
      <c r="E165" s="741"/>
      <c r="F165" s="618">
        <f>'FAT. DIRETO'!G19</f>
        <v>1000</v>
      </c>
      <c r="G165" s="619">
        <f>'FAT. DIRETO'!K19</f>
        <v>10260.66</v>
      </c>
    </row>
    <row r="166" spans="2:10" ht="36" customHeight="1" thickBot="1" x14ac:dyDescent="0.4">
      <c r="B166" s="741" t="str">
        <f>'FAT. DIRETO'!C20</f>
        <v>CABO DE COBRE NÚ, MEIO DURO, 70MM², NORMA DE FABRICAÇÃO ABNT NBR 6524, FORMAÇÃO 7 FIOS, DIÂMETRO DO FIO 3,0MM, DIÂMETRO EXTERNO 9,0MM</v>
      </c>
      <c r="C166" s="741"/>
      <c r="D166" s="741"/>
      <c r="E166" s="741"/>
      <c r="F166" s="618">
        <f>'FAT. DIRETO'!G20</f>
        <v>300</v>
      </c>
      <c r="G166" s="619">
        <f>'FAT. DIRETO'!K20</f>
        <v>22113.089999999997</v>
      </c>
      <c r="J166" s="606">
        <v>10260.66</v>
      </c>
    </row>
    <row r="167" spans="2:10" ht="34.15" customHeight="1" thickBot="1" x14ac:dyDescent="0.4">
      <c r="B167" s="741" t="str">
        <f>'FAT. DIRETO'!C21</f>
        <v>CABO DE COBRE NÚ, MEIO DURO, 35MM², NORMA DE FABRICAÇÃO ABNT NBR 6524, FORMAÇÃO 7 FIOS, DIÂMETRO DO FIO 4,12MM</v>
      </c>
      <c r="C167" s="741"/>
      <c r="D167" s="741"/>
      <c r="E167" s="741"/>
      <c r="F167" s="618">
        <f>'FAT. DIRETO'!G21</f>
        <v>230</v>
      </c>
      <c r="G167" s="619">
        <f>'FAT. DIRETO'!K21</f>
        <v>9144.8690000000006</v>
      </c>
      <c r="J167" s="606">
        <v>41277.767999999996</v>
      </c>
    </row>
    <row r="168" spans="2:10" ht="24.65" customHeight="1" thickBot="1" x14ac:dyDescent="0.4">
      <c r="B168" s="741" t="str">
        <f>'FAT. DIRETO'!C22</f>
        <v>CABO DE COBRE NÚ, MEIO DURO, 16MM², NORMA DE FABRICAÇÃO ABNT NBR 6524, FORMAÇÃO 7 FIOS, DIÂMETRO DO FIO 4,12MM</v>
      </c>
      <c r="C168" s="741"/>
      <c r="D168" s="741"/>
      <c r="E168" s="741"/>
      <c r="F168" s="618">
        <f>'FAT. DIRETO'!G22</f>
        <v>130</v>
      </c>
      <c r="G168" s="619">
        <f>'FAT. DIRETO'!K22</f>
        <v>2268.5389999999998</v>
      </c>
      <c r="J168" s="606">
        <v>9144.8690000000006</v>
      </c>
    </row>
    <row r="169" spans="2:10" ht="24.65" customHeight="1" thickBot="1" x14ac:dyDescent="0.4">
      <c r="B169" s="741" t="str">
        <f>'FAT. DIRETO'!C23</f>
        <v>PLATAFORMA ELEVATÓRIA 15MTS - 2 MESES</v>
      </c>
      <c r="C169" s="741"/>
      <c r="D169" s="741"/>
      <c r="E169" s="741"/>
      <c r="F169" s="618">
        <f>'FAT. DIRETO'!G23</f>
        <v>1</v>
      </c>
      <c r="G169" s="619">
        <f>'FAT. DIRETO'!K23</f>
        <v>38800</v>
      </c>
      <c r="J169" s="606">
        <v>2268.5389999999998</v>
      </c>
    </row>
    <row r="170" spans="2:10" ht="15" thickBot="1" x14ac:dyDescent="0.4">
      <c r="B170" s="741" t="str">
        <f>'FAT. DIRETO'!C24</f>
        <v>PLATAFORMA ELEVATÓRIA 25MTS - 1 MÊS</v>
      </c>
      <c r="C170" s="741"/>
      <c r="D170" s="741"/>
      <c r="E170" s="741"/>
      <c r="F170" s="618">
        <f>'FAT. DIRETO'!G24</f>
        <v>1</v>
      </c>
      <c r="G170" s="619">
        <f>'FAT. DIRETO'!K24</f>
        <v>36375</v>
      </c>
      <c r="J170" s="606">
        <v>38800</v>
      </c>
    </row>
    <row r="171" spans="2:10" ht="15" thickBot="1" x14ac:dyDescent="0.4">
      <c r="B171" s="753" t="s">
        <v>896</v>
      </c>
      <c r="C171" s="753"/>
      <c r="D171" s="753"/>
      <c r="E171" s="753"/>
      <c r="F171" s="753"/>
      <c r="G171" s="616">
        <f>SUM(G155:G170)</f>
        <v>397106.92104799993</v>
      </c>
      <c r="J171" s="606">
        <v>36375</v>
      </c>
    </row>
    <row r="178" spans="2:3" ht="15" thickBot="1" x14ac:dyDescent="0.4"/>
    <row r="179" spans="2:3" ht="16" thickBot="1" x14ac:dyDescent="0.4">
      <c r="B179" s="620" t="s">
        <v>75</v>
      </c>
      <c r="C179" s="622">
        <v>1171161.43</v>
      </c>
    </row>
    <row r="180" spans="2:3" ht="16" thickBot="1" x14ac:dyDescent="0.4">
      <c r="B180" s="620" t="s">
        <v>897</v>
      </c>
      <c r="C180" s="621">
        <f>I149</f>
        <v>269086.92253602663</v>
      </c>
    </row>
    <row r="181" spans="2:3" ht="16" thickBot="1" x14ac:dyDescent="0.4">
      <c r="B181" s="620" t="s">
        <v>896</v>
      </c>
      <c r="C181" s="621">
        <f>G171</f>
        <v>397106.92104799993</v>
      </c>
    </row>
    <row r="182" spans="2:3" ht="16" thickBot="1" x14ac:dyDescent="0.4">
      <c r="B182" s="620" t="s">
        <v>898</v>
      </c>
      <c r="C182" s="622">
        <f>SUM(C179:C181)</f>
        <v>1837355.2735840266</v>
      </c>
    </row>
  </sheetData>
  <mergeCells count="21">
    <mergeCell ref="B171:F171"/>
    <mergeCell ref="B166:E166"/>
    <mergeCell ref="B167:E167"/>
    <mergeCell ref="B168:E168"/>
    <mergeCell ref="B169:E169"/>
    <mergeCell ref="B170:E170"/>
    <mergeCell ref="B165:E165"/>
    <mergeCell ref="C133:I133"/>
    <mergeCell ref="C126:J126"/>
    <mergeCell ref="B164:E164"/>
    <mergeCell ref="C149:H149"/>
    <mergeCell ref="C146:I146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</mergeCells>
  <phoneticPr fontId="25" type="noConversion"/>
  <pageMargins left="0.511811024" right="0.511811024" top="0.78740157499999996" bottom="0.78740157499999996" header="0.31496062000000002" footer="0.31496062000000002"/>
  <pageSetup paperSize="9" scale="58" fitToHeight="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5DB5-EC33-4F17-AEE6-F593F71CE416}">
  <dimension ref="B4:E35"/>
  <sheetViews>
    <sheetView topLeftCell="A20" workbookViewId="0">
      <selection activeCell="B32" sqref="B32"/>
    </sheetView>
  </sheetViews>
  <sheetFormatPr defaultRowHeight="14.5" x14ac:dyDescent="0.35"/>
  <cols>
    <col min="2" max="2" width="64.7265625" customWidth="1"/>
  </cols>
  <sheetData>
    <row r="4" spans="2:3" ht="34.5" x14ac:dyDescent="0.35">
      <c r="B4" s="584" t="s">
        <v>781</v>
      </c>
      <c r="C4" t="str">
        <f>UPPER(B4)</f>
        <v>PROJETOR LED, COM ALÇA DE AJUSTE PARA ANGULAÇÃO, 36W, 5000 LUMENS, FACHO 90°, PINTURA EPÓXI CINZA MUNSELL N6.5, TGVP, FORNECIDO COM PRENSA CABO, NÃO DIMERIZÁVEL</v>
      </c>
    </row>
    <row r="5" spans="2:3" ht="34.5" x14ac:dyDescent="0.35">
      <c r="B5" s="585" t="s">
        <v>782</v>
      </c>
      <c r="C5" t="str">
        <f t="shared" ref="C5:C9" si="0">UPPER(B5)</f>
        <v>PROJETOR LED, COM ALÇA DE AJUSTE PARA ANGULAÇÃO, 120W, 18260 LUMENS, FACHO 90°, PINTURA EPÓXI CINZA MUNSELL N6.5, TGVP, FORNECIDO COM PRENSA CABO, NÃO DIMERIZÁVEL</v>
      </c>
    </row>
    <row r="6" spans="2:3" ht="34.5" x14ac:dyDescent="0.35">
      <c r="B6" s="584" t="s">
        <v>783</v>
      </c>
      <c r="C6" t="str">
        <f t="shared" si="0"/>
        <v>PROJETOR LED, COM ALÇA DE AJUSTE PARA ANGULAÇÃO, 250W, 37550 LUMENS, FACHO 90°, PINTURA EPÓXI CINZA MUNSELL N6.5, TGVP, FORNECIDO COM PRENSA CABO, NÃO DIMERIZÁVEL</v>
      </c>
    </row>
    <row r="7" spans="2:3" ht="23" x14ac:dyDescent="0.35">
      <c r="B7" s="585" t="s">
        <v>784</v>
      </c>
      <c r="C7" t="str">
        <f t="shared" si="0"/>
        <v>POSTES METÁLICOS CURVOS SIMPLES COM ALTURA ÚTIL DE OITO (06) METROS, GALVANIZADO A FOGO, CONEXÃO À LUMINÁRIA Ø2" - ARRUAMENTO</v>
      </c>
    </row>
    <row r="8" spans="2:3" ht="23" x14ac:dyDescent="0.35">
      <c r="B8" s="584" t="s">
        <v>785</v>
      </c>
      <c r="C8" t="str">
        <f t="shared" si="0"/>
        <v>LUMINÁRIA LED, PÚBLICA, 100W, IP66, 85~265VCA, CONEXÃO AO POSTE DE Ø2", BRANCA NEUTRA (5000~6000K), FLUXO MÍNIMO DE ~10.000 LUMENS</v>
      </c>
    </row>
    <row r="9" spans="2:3" ht="23" x14ac:dyDescent="0.35">
      <c r="B9" s="584" t="s">
        <v>790</v>
      </c>
      <c r="C9" t="str">
        <f t="shared" si="0"/>
        <v>BLOCO AUTÔNOMO DE ILUMINAÇÃO DE EMERGÊNCIA, IP-65, COM DOIS PROJETORES DE LED DE 2200 LUMENS CADA, E AUTONOMIA DE 2 HORAS, BIVOLT, 100~240VCA</v>
      </c>
    </row>
    <row r="13" spans="2:3" x14ac:dyDescent="0.35">
      <c r="C13">
        <v>5</v>
      </c>
    </row>
    <row r="14" spans="2:3" x14ac:dyDescent="0.35">
      <c r="C14">
        <f>C13*500</f>
        <v>2500</v>
      </c>
    </row>
    <row r="15" spans="2:3" x14ac:dyDescent="0.35">
      <c r="C15">
        <f>700*2</f>
        <v>1400</v>
      </c>
    </row>
    <row r="17" spans="2:5" x14ac:dyDescent="0.35">
      <c r="C17" s="626">
        <v>75</v>
      </c>
      <c r="D17" s="627">
        <v>6</v>
      </c>
      <c r="E17">
        <f>450/6/8.8</f>
        <v>8.5227272727272716</v>
      </c>
    </row>
    <row r="18" spans="2:5" x14ac:dyDescent="0.35">
      <c r="C18" s="628">
        <v>75</v>
      </c>
      <c r="D18" s="629">
        <v>5</v>
      </c>
    </row>
    <row r="22" spans="2:5" ht="15" thickBot="1" x14ac:dyDescent="0.4">
      <c r="B22" s="634">
        <v>26225</v>
      </c>
    </row>
    <row r="23" spans="2:5" ht="15" thickBot="1" x14ac:dyDescent="0.4">
      <c r="B23" s="634">
        <v>128388.29</v>
      </c>
    </row>
    <row r="24" spans="2:5" ht="15" thickBot="1" x14ac:dyDescent="0.4">
      <c r="B24" s="634">
        <v>371733.65</v>
      </c>
    </row>
    <row r="25" spans="2:5" ht="15" thickBot="1" x14ac:dyDescent="0.4">
      <c r="B25" s="634">
        <v>404968.81</v>
      </c>
    </row>
    <row r="26" spans="2:5" ht="15" thickBot="1" x14ac:dyDescent="0.4">
      <c r="B26" s="634">
        <v>204535.53</v>
      </c>
    </row>
    <row r="27" spans="2:5" x14ac:dyDescent="0.35">
      <c r="B27" s="633">
        <f>SUM(B22:B26)</f>
        <v>1135851.28</v>
      </c>
    </row>
    <row r="29" spans="2:5" ht="15" thickBot="1" x14ac:dyDescent="0.4">
      <c r="B29" s="635">
        <v>1135851.28</v>
      </c>
    </row>
    <row r="30" spans="2:5" ht="15" thickBot="1" x14ac:dyDescent="0.4">
      <c r="B30" s="635">
        <v>268134.06</v>
      </c>
    </row>
    <row r="31" spans="2:5" ht="15" thickBot="1" x14ac:dyDescent="0.4">
      <c r="B31" s="635">
        <v>323013.53999999998</v>
      </c>
    </row>
    <row r="32" spans="2:5" x14ac:dyDescent="0.35">
      <c r="B32" s="633">
        <f>SUM(B29:B31)</f>
        <v>1726998.8800000001</v>
      </c>
    </row>
    <row r="34" spans="2:2" x14ac:dyDescent="0.35">
      <c r="B34" s="636">
        <f>RESUMO!M46-Planilha1!B32</f>
        <v>116448.26579780248</v>
      </c>
    </row>
    <row r="35" spans="2:2" x14ac:dyDescent="0.35">
      <c r="B35" s="633">
        <f>B30+B34</f>
        <v>384582.32579780248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22FC-7DDB-4072-AB14-1F100027ED78}">
  <dimension ref="A1:BA129"/>
  <sheetViews>
    <sheetView topLeftCell="XFD1048576" workbookViewId="0">
      <selection activeCell="P24" sqref="A1:XFD1048576"/>
    </sheetView>
  </sheetViews>
  <sheetFormatPr defaultColWidth="0" defaultRowHeight="11.5" zeroHeight="1" x14ac:dyDescent="0.25"/>
  <cols>
    <col min="1" max="1" width="4" style="311" hidden="1" customWidth="1"/>
    <col min="2" max="2" width="39.453125" style="311" hidden="1" customWidth="1"/>
    <col min="3" max="3" width="12.54296875" style="332" hidden="1" customWidth="1"/>
    <col min="4" max="4" width="12.54296875" style="311" hidden="1" customWidth="1"/>
    <col min="5" max="5" width="8.26953125" style="311" hidden="1" customWidth="1"/>
    <col min="6" max="8" width="10.1796875" style="311" hidden="1" customWidth="1"/>
    <col min="9" max="9" width="9.1796875" style="311" hidden="1" customWidth="1"/>
    <col min="10" max="10" width="12.54296875" style="311" hidden="1" customWidth="1"/>
    <col min="11" max="11" width="17.26953125" style="311" hidden="1" customWidth="1"/>
    <col min="12" max="12" width="13.1796875" style="311" hidden="1" customWidth="1"/>
    <col min="13" max="13" width="8.1796875" style="311" hidden="1" customWidth="1"/>
    <col min="14" max="14" width="13.453125" style="311" hidden="1" customWidth="1"/>
    <col min="15" max="15" width="11.1796875" style="311" hidden="1" customWidth="1"/>
    <col min="16" max="16" width="38.7265625" style="311" hidden="1" customWidth="1"/>
    <col min="17" max="18" width="6.7265625" style="311" hidden="1" customWidth="1"/>
    <col min="19" max="19" width="7.1796875" style="311" hidden="1" customWidth="1"/>
    <col min="20" max="20" width="6.81640625" style="311" hidden="1" customWidth="1"/>
    <col min="21" max="21" width="23" style="311" hidden="1" customWidth="1"/>
    <col min="22" max="22" width="19.7265625" style="311" hidden="1" customWidth="1"/>
    <col min="23" max="23" width="15.453125" style="311" hidden="1" customWidth="1"/>
    <col min="24" max="24" width="19.81640625" style="311" hidden="1" customWidth="1"/>
    <col min="25" max="25" width="9.1796875" style="311" hidden="1" customWidth="1"/>
    <col min="26" max="26" width="17.26953125" style="311" hidden="1" customWidth="1"/>
    <col min="27" max="27" width="9.1796875" style="311" hidden="1" customWidth="1"/>
    <col min="28" max="28" width="5.7265625" style="311" hidden="1" customWidth="1"/>
    <col min="29" max="29" width="11.453125" style="311" hidden="1" customWidth="1"/>
    <col min="30" max="30" width="9.1796875" style="311" hidden="1" customWidth="1"/>
    <col min="31" max="31" width="5.7265625" style="311" hidden="1" customWidth="1"/>
    <col min="32" max="32" width="13.54296875" style="311" hidden="1" customWidth="1"/>
    <col min="33" max="33" width="9.1796875" style="311" hidden="1" customWidth="1"/>
    <col min="34" max="34" width="6.7265625" style="311" hidden="1" customWidth="1"/>
    <col min="35" max="35" width="16.453125" style="311" hidden="1" customWidth="1"/>
    <col min="36" max="36" width="9.1796875" style="311" hidden="1" customWidth="1"/>
    <col min="37" max="37" width="6.7265625" style="311" hidden="1" customWidth="1"/>
    <col min="38" max="38" width="12.453125" style="311" hidden="1" customWidth="1"/>
    <col min="39" max="39" width="9.1796875" style="311" hidden="1" customWidth="1"/>
    <col min="40" max="40" width="5.7265625" style="311" hidden="1" customWidth="1"/>
    <col min="41" max="41" width="9.1796875" style="311" hidden="1" customWidth="1"/>
    <col min="42" max="42" width="21" style="311" hidden="1" customWidth="1"/>
    <col min="43" max="43" width="13.1796875" style="311" hidden="1" customWidth="1"/>
    <col min="44" max="44" width="9.453125" style="312" hidden="1" customWidth="1"/>
    <col min="45" max="45" width="4.7265625" style="312" hidden="1" customWidth="1"/>
    <col min="46" max="46" width="8" style="312" hidden="1" customWidth="1"/>
    <col min="47" max="47" width="11.54296875" style="311" hidden="1" customWidth="1"/>
    <col min="48" max="52" width="9.1796875" style="311" hidden="1" customWidth="1"/>
    <col min="53" max="53" width="37.7265625" style="311" hidden="1" customWidth="1"/>
    <col min="54" max="16384" width="0" style="311" hidden="1"/>
  </cols>
  <sheetData>
    <row r="1" spans="1:53" hidden="1" x14ac:dyDescent="0.25">
      <c r="A1" s="754"/>
      <c r="B1" s="127" t="s">
        <v>395</v>
      </c>
      <c r="C1" s="310"/>
      <c r="D1" s="128">
        <v>220</v>
      </c>
      <c r="E1" s="128"/>
      <c r="F1" s="755" t="s">
        <v>69</v>
      </c>
      <c r="G1" s="756" t="s">
        <v>396</v>
      </c>
      <c r="H1" s="756" t="s">
        <v>397</v>
      </c>
    </row>
    <row r="2" spans="1:53" hidden="1" x14ac:dyDescent="0.25">
      <c r="A2" s="754"/>
      <c r="B2" s="757" t="s">
        <v>129</v>
      </c>
      <c r="C2" s="310"/>
      <c r="D2" s="128" t="s">
        <v>398</v>
      </c>
      <c r="E2" s="128" t="s">
        <v>399</v>
      </c>
      <c r="F2" s="755"/>
      <c r="G2" s="756"/>
      <c r="H2" s="756"/>
      <c r="J2" s="311" t="s">
        <v>400</v>
      </c>
      <c r="K2" s="311" t="s">
        <v>401</v>
      </c>
      <c r="L2" s="122" t="s">
        <v>99</v>
      </c>
      <c r="M2" s="122" t="s">
        <v>120</v>
      </c>
      <c r="N2" s="122" t="s">
        <v>291</v>
      </c>
      <c r="O2" s="122" t="s">
        <v>142</v>
      </c>
      <c r="P2" s="122" t="s">
        <v>402</v>
      </c>
      <c r="Q2" s="122" t="s">
        <v>403</v>
      </c>
      <c r="R2" s="122" t="s">
        <v>93</v>
      </c>
      <c r="S2" s="122" t="s">
        <v>95</v>
      </c>
      <c r="T2" s="122" t="s">
        <v>96</v>
      </c>
      <c r="U2" s="122" t="s">
        <v>404</v>
      </c>
      <c r="V2" s="122" t="s">
        <v>405</v>
      </c>
      <c r="W2" s="122" t="s">
        <v>406</v>
      </c>
      <c r="X2" s="311" t="s">
        <v>333</v>
      </c>
      <c r="Z2" s="311" t="s">
        <v>407</v>
      </c>
      <c r="AC2" s="311" t="s">
        <v>18</v>
      </c>
      <c r="AF2" s="311" t="s">
        <v>408</v>
      </c>
      <c r="AI2" s="311" t="s">
        <v>409</v>
      </c>
      <c r="AL2" s="311" t="s">
        <v>410</v>
      </c>
      <c r="AP2" s="122" t="s">
        <v>402</v>
      </c>
      <c r="AQ2" s="122" t="s">
        <v>99</v>
      </c>
      <c r="AR2" s="312" t="s">
        <v>411</v>
      </c>
      <c r="AS2" s="312" t="s">
        <v>412</v>
      </c>
      <c r="AT2" s="312" t="s">
        <v>413</v>
      </c>
      <c r="AU2" s="311" t="s">
        <v>414</v>
      </c>
      <c r="BA2" s="311" t="s">
        <v>373</v>
      </c>
    </row>
    <row r="3" spans="1:53" hidden="1" x14ac:dyDescent="0.25">
      <c r="A3" s="754"/>
      <c r="B3" s="757"/>
      <c r="C3" s="310"/>
      <c r="D3" s="128" t="s">
        <v>415</v>
      </c>
      <c r="E3" s="128" t="s">
        <v>416</v>
      </c>
      <c r="F3" s="128" t="s">
        <v>417</v>
      </c>
      <c r="G3" s="122" t="s">
        <v>417</v>
      </c>
      <c r="H3" s="122" t="s">
        <v>417</v>
      </c>
      <c r="J3" s="313">
        <v>0</v>
      </c>
      <c r="K3" s="311" t="s">
        <v>18</v>
      </c>
      <c r="L3" s="311" t="s">
        <v>16</v>
      </c>
      <c r="M3" s="314">
        <v>1</v>
      </c>
      <c r="N3" s="311" t="s">
        <v>155</v>
      </c>
      <c r="O3" s="311" t="s">
        <v>155</v>
      </c>
      <c r="P3" s="311" t="s">
        <v>418</v>
      </c>
      <c r="Q3" s="311" t="s">
        <v>419</v>
      </c>
      <c r="R3" s="313">
        <v>0</v>
      </c>
      <c r="S3" s="313"/>
      <c r="T3" s="313"/>
      <c r="U3" s="315" t="s">
        <v>11</v>
      </c>
      <c r="V3" s="315" t="s">
        <v>11</v>
      </c>
      <c r="W3" s="316">
        <v>2550</v>
      </c>
      <c r="X3" s="311" t="s">
        <v>420</v>
      </c>
      <c r="Z3" s="758" t="s">
        <v>421</v>
      </c>
      <c r="AA3" s="758"/>
      <c r="AB3" s="317">
        <v>6.4999999999999997E-3</v>
      </c>
      <c r="AC3" s="758" t="s">
        <v>421</v>
      </c>
      <c r="AD3" s="758"/>
      <c r="AE3" s="317">
        <v>1.6500000000000001E-2</v>
      </c>
      <c r="AF3" s="758" t="s">
        <v>421</v>
      </c>
      <c r="AG3" s="758"/>
      <c r="AH3" s="317">
        <v>0</v>
      </c>
      <c r="AI3" s="758" t="s">
        <v>421</v>
      </c>
      <c r="AJ3" s="758"/>
      <c r="AK3" s="317">
        <v>0</v>
      </c>
      <c r="AL3" s="758" t="s">
        <v>421</v>
      </c>
      <c r="AM3" s="758"/>
      <c r="AN3" s="317">
        <v>0</v>
      </c>
      <c r="AO3" s="317"/>
      <c r="AP3" s="311" t="s">
        <v>418</v>
      </c>
      <c r="AQ3" s="311" t="s">
        <v>419</v>
      </c>
      <c r="AR3" s="312">
        <v>7.0000000000000007E-2</v>
      </c>
      <c r="AS3" s="312">
        <v>0.02</v>
      </c>
      <c r="AT3" s="312">
        <v>0.17</v>
      </c>
      <c r="AU3" s="318">
        <f>AT3+AS3</f>
        <v>0.19</v>
      </c>
      <c r="BA3" s="311" t="s">
        <v>381</v>
      </c>
    </row>
    <row r="4" spans="1:53" hidden="1" x14ac:dyDescent="0.25">
      <c r="A4" s="167">
        <v>0</v>
      </c>
      <c r="B4" s="167">
        <v>0</v>
      </c>
      <c r="C4" s="310">
        <v>0</v>
      </c>
      <c r="D4" s="310">
        <v>0</v>
      </c>
      <c r="E4" s="310">
        <f t="shared" ref="E4:E67" si="0">(D4*4%)/$D$1</f>
        <v>0</v>
      </c>
      <c r="F4" s="310">
        <f t="shared" ref="F4" si="1">D4/$D$1</f>
        <v>0</v>
      </c>
      <c r="G4" s="310">
        <f t="shared" ref="G4" si="2">ROUND(F4,0)</f>
        <v>0</v>
      </c>
      <c r="H4" s="319">
        <f t="shared" ref="H4" si="3">ROUND(G4*1.35,0)</f>
        <v>0</v>
      </c>
      <c r="K4" s="311" t="s">
        <v>407</v>
      </c>
      <c r="L4" s="311" t="s">
        <v>6</v>
      </c>
      <c r="M4" s="314">
        <v>0.85</v>
      </c>
      <c r="N4" s="311" t="s">
        <v>422</v>
      </c>
      <c r="O4" s="311" t="s">
        <v>423</v>
      </c>
      <c r="P4" s="311" t="s">
        <v>424</v>
      </c>
      <c r="Q4" s="311" t="s">
        <v>425</v>
      </c>
      <c r="R4" s="313">
        <v>0.15</v>
      </c>
      <c r="S4" s="313"/>
      <c r="T4" s="313"/>
      <c r="U4" s="315" t="s">
        <v>6</v>
      </c>
      <c r="V4" s="315" t="s">
        <v>6</v>
      </c>
      <c r="W4" s="316">
        <f>W3/30</f>
        <v>85</v>
      </c>
      <c r="X4" s="311" t="s">
        <v>426</v>
      </c>
      <c r="Z4" s="758" t="s">
        <v>427</v>
      </c>
      <c r="AA4" s="758"/>
      <c r="AB4" s="317">
        <v>0.03</v>
      </c>
      <c r="AC4" s="758" t="s">
        <v>427</v>
      </c>
      <c r="AD4" s="758"/>
      <c r="AE4" s="317">
        <v>7.5999999999999998E-2</v>
      </c>
      <c r="AF4" s="758" t="s">
        <v>427</v>
      </c>
      <c r="AG4" s="758"/>
      <c r="AH4" s="317">
        <v>0</v>
      </c>
      <c r="AI4" s="758" t="s">
        <v>427</v>
      </c>
      <c r="AJ4" s="758"/>
      <c r="AK4" s="317">
        <v>0</v>
      </c>
      <c r="AL4" s="758" t="s">
        <v>427</v>
      </c>
      <c r="AM4" s="758"/>
      <c r="AN4" s="317">
        <v>0</v>
      </c>
      <c r="AO4" s="317"/>
      <c r="AP4" s="311" t="s">
        <v>424</v>
      </c>
      <c r="AQ4" s="311" t="s">
        <v>425</v>
      </c>
      <c r="AR4" s="312">
        <v>7.0000000000000007E-2</v>
      </c>
      <c r="AS4" s="312">
        <v>0.02</v>
      </c>
      <c r="AT4" s="312">
        <v>0.12</v>
      </c>
      <c r="AU4" s="318">
        <f t="shared" ref="AU4:AU30" si="4">AT4+AS4</f>
        <v>0.13999999999999999</v>
      </c>
      <c r="BA4" s="311" t="s">
        <v>382</v>
      </c>
    </row>
    <row r="5" spans="1:53" hidden="1" x14ac:dyDescent="0.25">
      <c r="A5" s="167">
        <v>1</v>
      </c>
      <c r="B5" s="167" t="s">
        <v>133</v>
      </c>
      <c r="C5" s="310">
        <v>9010.3252011285476</v>
      </c>
      <c r="D5" s="310">
        <f t="shared" ref="D5:D36" si="5">C5*1.12</f>
        <v>10091.564225263974</v>
      </c>
      <c r="E5" s="310">
        <f t="shared" si="0"/>
        <v>1.8348298591389045</v>
      </c>
      <c r="F5" s="310">
        <f>D5/$D$1</f>
        <v>45.870746478472604</v>
      </c>
      <c r="G5" s="310">
        <f>ROUND(F5,1)</f>
        <v>45.9</v>
      </c>
      <c r="H5" s="319">
        <f>ROUND(G5*1.1,0)</f>
        <v>50</v>
      </c>
      <c r="J5" s="320">
        <f>D5*(1+$J$3)</f>
        <v>10091.564225263974</v>
      </c>
      <c r="K5" s="311" t="s">
        <v>408</v>
      </c>
      <c r="N5" s="311" t="s">
        <v>428</v>
      </c>
      <c r="O5" s="311" t="s">
        <v>429</v>
      </c>
      <c r="P5" s="311" t="s">
        <v>430</v>
      </c>
      <c r="Q5" s="311" t="s">
        <v>431</v>
      </c>
      <c r="R5" s="313">
        <v>0.1125</v>
      </c>
      <c r="S5" s="313"/>
      <c r="T5" s="313"/>
      <c r="X5" s="311" t="s">
        <v>95</v>
      </c>
      <c r="Z5" s="758" t="s">
        <v>432</v>
      </c>
      <c r="AA5" s="758"/>
      <c r="AB5" s="321"/>
      <c r="AC5" s="758" t="s">
        <v>432</v>
      </c>
      <c r="AD5" s="758"/>
      <c r="AE5" s="321"/>
      <c r="AF5" s="758" t="s">
        <v>432</v>
      </c>
      <c r="AG5" s="758"/>
      <c r="AH5" s="317">
        <f>RESUMO!$M$9</f>
        <v>0.12</v>
      </c>
      <c r="AI5" s="758" t="s">
        <v>432</v>
      </c>
      <c r="AJ5" s="758"/>
      <c r="AK5" s="317">
        <f>RESUMO!$M$9</f>
        <v>0.12</v>
      </c>
      <c r="AL5" s="758" t="s">
        <v>432</v>
      </c>
      <c r="AM5" s="758"/>
      <c r="AN5" s="321"/>
      <c r="AO5" s="321"/>
      <c r="AP5" s="311" t="s">
        <v>433</v>
      </c>
      <c r="AQ5" s="311" t="s">
        <v>434</v>
      </c>
      <c r="AR5" s="312">
        <v>7.0000000000000007E-2</v>
      </c>
      <c r="AS5" s="312">
        <v>0.02</v>
      </c>
      <c r="AT5" s="312">
        <v>0.18</v>
      </c>
      <c r="AU5" s="318">
        <f t="shared" si="4"/>
        <v>0.19999999999999998</v>
      </c>
      <c r="BA5" s="311" t="s">
        <v>383</v>
      </c>
    </row>
    <row r="6" spans="1:53" hidden="1" x14ac:dyDescent="0.25">
      <c r="A6" s="167">
        <v>2</v>
      </c>
      <c r="B6" s="167" t="s">
        <v>152</v>
      </c>
      <c r="C6" s="310">
        <v>10782.355824017166</v>
      </c>
      <c r="D6" s="310">
        <f t="shared" si="5"/>
        <v>12076.238522899228</v>
      </c>
      <c r="E6" s="310">
        <f t="shared" si="0"/>
        <v>2.1956797314362233</v>
      </c>
      <c r="F6" s="310">
        <f t="shared" ref="F6:F69" si="6">D6/$D$1</f>
        <v>54.891993285905585</v>
      </c>
      <c r="G6" s="310">
        <f t="shared" ref="G6:G69" si="7">ROUND(F6,1)</f>
        <v>54.9</v>
      </c>
      <c r="H6" s="319">
        <f t="shared" ref="H6:H69" si="8">ROUND(G6*1.1,0)</f>
        <v>60</v>
      </c>
      <c r="J6" s="320">
        <f t="shared" ref="J6:J69" si="9">D6*(1+$J$3)</f>
        <v>12076.238522899228</v>
      </c>
      <c r="K6" s="311" t="s">
        <v>409</v>
      </c>
      <c r="O6" s="311" t="s">
        <v>435</v>
      </c>
      <c r="P6" s="311" t="s">
        <v>433</v>
      </c>
      <c r="Q6" s="311" t="s">
        <v>434</v>
      </c>
      <c r="R6" s="313">
        <v>9.7500000000000003E-2</v>
      </c>
      <c r="S6" s="313"/>
      <c r="T6" s="313"/>
      <c r="X6" s="311" t="s">
        <v>436</v>
      </c>
      <c r="AP6" s="311" t="s">
        <v>430</v>
      </c>
      <c r="AQ6" s="311" t="s">
        <v>431</v>
      </c>
      <c r="AR6" s="312">
        <v>7.0000000000000007E-2</v>
      </c>
      <c r="AS6" s="312">
        <v>0</v>
      </c>
      <c r="AT6" s="312">
        <v>0.18</v>
      </c>
      <c r="AU6" s="318">
        <f t="shared" si="4"/>
        <v>0.18</v>
      </c>
      <c r="BA6" s="311" t="s">
        <v>384</v>
      </c>
    </row>
    <row r="7" spans="1:53" hidden="1" x14ac:dyDescent="0.25">
      <c r="A7" s="167">
        <v>3</v>
      </c>
      <c r="B7" s="167" t="s">
        <v>157</v>
      </c>
      <c r="C7" s="310">
        <v>13091.925505913277</v>
      </c>
      <c r="D7" s="310">
        <f t="shared" si="5"/>
        <v>14662.956566622872</v>
      </c>
      <c r="E7" s="310">
        <f t="shared" si="0"/>
        <v>2.6659921030223406</v>
      </c>
      <c r="F7" s="310">
        <f t="shared" si="6"/>
        <v>66.64980257555851</v>
      </c>
      <c r="G7" s="310">
        <f t="shared" si="7"/>
        <v>66.599999999999994</v>
      </c>
      <c r="H7" s="319">
        <f t="shared" si="8"/>
        <v>73</v>
      </c>
      <c r="J7" s="320">
        <f t="shared" si="9"/>
        <v>14662.956566622872</v>
      </c>
      <c r="K7" s="311" t="s">
        <v>410</v>
      </c>
      <c r="O7" s="311" t="s">
        <v>437</v>
      </c>
      <c r="P7" s="311" t="s">
        <v>438</v>
      </c>
      <c r="Q7" s="311" t="s">
        <v>439</v>
      </c>
      <c r="X7" s="311" t="s">
        <v>440</v>
      </c>
      <c r="AP7" s="311" t="s">
        <v>438</v>
      </c>
      <c r="AQ7" s="311" t="s">
        <v>439</v>
      </c>
      <c r="AR7" s="312">
        <v>7.0000000000000007E-2</v>
      </c>
      <c r="AS7" s="312">
        <v>0.02</v>
      </c>
      <c r="AT7" s="312">
        <v>0.18</v>
      </c>
      <c r="AU7" s="318">
        <f t="shared" si="4"/>
        <v>0.19999999999999998</v>
      </c>
      <c r="BA7" s="311" t="s">
        <v>385</v>
      </c>
    </row>
    <row r="8" spans="1:53" hidden="1" x14ac:dyDescent="0.25">
      <c r="A8" s="167">
        <v>4</v>
      </c>
      <c r="B8" s="167" t="s">
        <v>158</v>
      </c>
      <c r="C8" s="310">
        <v>13815.831975063778</v>
      </c>
      <c r="D8" s="310">
        <f t="shared" si="5"/>
        <v>15473.731812071434</v>
      </c>
      <c r="E8" s="310">
        <f t="shared" si="0"/>
        <v>2.8134057840129882</v>
      </c>
      <c r="F8" s="310">
        <f t="shared" si="6"/>
        <v>70.335144600324696</v>
      </c>
      <c r="G8" s="310">
        <f t="shared" si="7"/>
        <v>70.3</v>
      </c>
      <c r="H8" s="319">
        <f t="shared" si="8"/>
        <v>77</v>
      </c>
      <c r="J8" s="320">
        <f t="shared" si="9"/>
        <v>15473.731812071434</v>
      </c>
      <c r="K8" s="320"/>
      <c r="P8" s="311" t="s">
        <v>441</v>
      </c>
      <c r="Q8" s="311" t="s">
        <v>442</v>
      </c>
      <c r="X8" s="311" t="s">
        <v>443</v>
      </c>
      <c r="AP8" s="311" t="s">
        <v>441</v>
      </c>
      <c r="AQ8" s="311" t="s">
        <v>442</v>
      </c>
      <c r="AR8" s="312">
        <v>7.0000000000000007E-2</v>
      </c>
      <c r="AS8" s="312">
        <v>0.02</v>
      </c>
      <c r="AT8" s="312">
        <v>0.18</v>
      </c>
      <c r="AU8" s="318">
        <f t="shared" si="4"/>
        <v>0.19999999999999998</v>
      </c>
      <c r="BA8" s="311" t="s">
        <v>386</v>
      </c>
    </row>
    <row r="9" spans="1:53" hidden="1" x14ac:dyDescent="0.25">
      <c r="A9" s="167">
        <v>5</v>
      </c>
      <c r="B9" s="167" t="s">
        <v>159</v>
      </c>
      <c r="C9" s="310">
        <v>15017.208668547586</v>
      </c>
      <c r="D9" s="310">
        <f t="shared" si="5"/>
        <v>16819.273708773297</v>
      </c>
      <c r="E9" s="310">
        <f t="shared" si="0"/>
        <v>3.0580497652315088</v>
      </c>
      <c r="F9" s="310">
        <f t="shared" si="6"/>
        <v>76.451244130787714</v>
      </c>
      <c r="G9" s="310">
        <f t="shared" si="7"/>
        <v>76.5</v>
      </c>
      <c r="H9" s="319">
        <f t="shared" si="8"/>
        <v>84</v>
      </c>
      <c r="J9" s="320">
        <f t="shared" si="9"/>
        <v>16819.273708773297</v>
      </c>
      <c r="P9" s="311" t="s">
        <v>444</v>
      </c>
      <c r="Q9" s="311" t="s">
        <v>445</v>
      </c>
      <c r="X9" s="311" t="s">
        <v>316</v>
      </c>
      <c r="AP9" s="311" t="s">
        <v>444</v>
      </c>
      <c r="AQ9" s="311" t="s">
        <v>445</v>
      </c>
      <c r="AR9" s="312">
        <v>7.0000000000000007E-2</v>
      </c>
      <c r="AS9" s="312">
        <v>0.02</v>
      </c>
      <c r="AT9" s="312">
        <v>0.18</v>
      </c>
      <c r="AU9" s="318">
        <f t="shared" si="4"/>
        <v>0.19999999999999998</v>
      </c>
      <c r="BA9" s="311" t="s">
        <v>387</v>
      </c>
    </row>
    <row r="10" spans="1:53" hidden="1" x14ac:dyDescent="0.25">
      <c r="A10" s="167">
        <v>6</v>
      </c>
      <c r="B10" s="167" t="s">
        <v>160</v>
      </c>
      <c r="C10" s="310">
        <v>9241.3899851752685</v>
      </c>
      <c r="D10" s="310">
        <f t="shared" si="5"/>
        <v>10350.356783396302</v>
      </c>
      <c r="E10" s="310">
        <f t="shared" si="0"/>
        <v>1.8818830515266005</v>
      </c>
      <c r="F10" s="310">
        <f t="shared" si="6"/>
        <v>47.047076288165009</v>
      </c>
      <c r="G10" s="310">
        <f t="shared" si="7"/>
        <v>47</v>
      </c>
      <c r="H10" s="319">
        <f t="shared" si="8"/>
        <v>52</v>
      </c>
      <c r="J10" s="320">
        <f t="shared" si="9"/>
        <v>10350.356783396302</v>
      </c>
      <c r="P10" s="311" t="s">
        <v>446</v>
      </c>
      <c r="Q10" s="311" t="s">
        <v>447</v>
      </c>
      <c r="X10" s="311" t="s">
        <v>448</v>
      </c>
      <c r="AP10" s="311" t="s">
        <v>446</v>
      </c>
      <c r="AQ10" s="311" t="s">
        <v>447</v>
      </c>
      <c r="AR10" s="312">
        <v>7.0000000000000007E-2</v>
      </c>
      <c r="AS10" s="312">
        <v>0.02</v>
      </c>
      <c r="AT10" s="312">
        <v>0.17</v>
      </c>
      <c r="AU10" s="318">
        <f t="shared" si="4"/>
        <v>0.19</v>
      </c>
      <c r="BA10" s="311" t="s">
        <v>300</v>
      </c>
    </row>
    <row r="11" spans="1:53" hidden="1" x14ac:dyDescent="0.25">
      <c r="A11" s="167">
        <v>7</v>
      </c>
      <c r="B11" s="167" t="s">
        <v>161</v>
      </c>
      <c r="C11" s="310">
        <v>10782.355824017166</v>
      </c>
      <c r="D11" s="310">
        <f t="shared" si="5"/>
        <v>12076.238522899228</v>
      </c>
      <c r="E11" s="310">
        <f t="shared" si="0"/>
        <v>2.1956797314362233</v>
      </c>
      <c r="F11" s="310">
        <f t="shared" si="6"/>
        <v>54.891993285905585</v>
      </c>
      <c r="G11" s="310">
        <f t="shared" si="7"/>
        <v>54.9</v>
      </c>
      <c r="H11" s="319">
        <f t="shared" si="8"/>
        <v>60</v>
      </c>
      <c r="J11" s="320">
        <f t="shared" si="9"/>
        <v>12076.238522899228</v>
      </c>
      <c r="P11" s="311" t="s">
        <v>449</v>
      </c>
      <c r="Q11" s="311" t="s">
        <v>450</v>
      </c>
      <c r="X11" s="311" t="s">
        <v>451</v>
      </c>
      <c r="AP11" s="311" t="s">
        <v>449</v>
      </c>
      <c r="AQ11" s="311" t="s">
        <v>450</v>
      </c>
      <c r="AR11" s="312">
        <v>7.0000000000000007E-2</v>
      </c>
      <c r="AS11" s="312">
        <v>0.02</v>
      </c>
      <c r="AT11" s="312">
        <v>0.17</v>
      </c>
      <c r="AU11" s="318">
        <f t="shared" si="4"/>
        <v>0.19</v>
      </c>
      <c r="BA11" s="311" t="s">
        <v>388</v>
      </c>
    </row>
    <row r="12" spans="1:53" hidden="1" x14ac:dyDescent="0.25">
      <c r="A12" s="167">
        <v>8</v>
      </c>
      <c r="B12" s="167" t="s">
        <v>162</v>
      </c>
      <c r="C12" s="310">
        <v>13091.925505913277</v>
      </c>
      <c r="D12" s="310">
        <f t="shared" si="5"/>
        <v>14662.956566622872</v>
      </c>
      <c r="E12" s="310">
        <f t="shared" si="0"/>
        <v>2.6659921030223406</v>
      </c>
      <c r="F12" s="310">
        <f t="shared" si="6"/>
        <v>66.64980257555851</v>
      </c>
      <c r="G12" s="310">
        <f t="shared" si="7"/>
        <v>66.599999999999994</v>
      </c>
      <c r="H12" s="319">
        <f t="shared" si="8"/>
        <v>73</v>
      </c>
      <c r="J12" s="320">
        <f t="shared" si="9"/>
        <v>14662.956566622872</v>
      </c>
      <c r="P12" s="311" t="s">
        <v>452</v>
      </c>
      <c r="Q12" s="311" t="s">
        <v>453</v>
      </c>
      <c r="X12" s="311" t="s">
        <v>454</v>
      </c>
      <c r="AP12" s="311" t="s">
        <v>455</v>
      </c>
      <c r="AQ12" s="311" t="s">
        <v>456</v>
      </c>
      <c r="AR12" s="312">
        <v>0.04</v>
      </c>
      <c r="AS12" s="312">
        <v>0</v>
      </c>
      <c r="AT12" s="312">
        <v>0.04</v>
      </c>
      <c r="AU12" s="318">
        <f t="shared" si="4"/>
        <v>0.04</v>
      </c>
      <c r="BA12" s="311" t="s">
        <v>153</v>
      </c>
    </row>
    <row r="13" spans="1:53" hidden="1" x14ac:dyDescent="0.25">
      <c r="A13" s="167">
        <v>9</v>
      </c>
      <c r="B13" s="167" t="s">
        <v>163</v>
      </c>
      <c r="C13" s="310">
        <v>13815.831975063778</v>
      </c>
      <c r="D13" s="310">
        <f t="shared" si="5"/>
        <v>15473.731812071434</v>
      </c>
      <c r="E13" s="310">
        <f t="shared" si="0"/>
        <v>2.8134057840129882</v>
      </c>
      <c r="F13" s="310">
        <f t="shared" si="6"/>
        <v>70.335144600324696</v>
      </c>
      <c r="G13" s="310">
        <f t="shared" si="7"/>
        <v>70.3</v>
      </c>
      <c r="H13" s="319">
        <f t="shared" si="8"/>
        <v>77</v>
      </c>
      <c r="J13" s="320">
        <f t="shared" si="9"/>
        <v>15473.731812071434</v>
      </c>
      <c r="P13" s="311" t="s">
        <v>457</v>
      </c>
      <c r="Q13" s="311" t="s">
        <v>458</v>
      </c>
      <c r="X13" s="311" t="s">
        <v>459</v>
      </c>
      <c r="AP13" s="311" t="s">
        <v>452</v>
      </c>
      <c r="AQ13" s="311" t="s">
        <v>453</v>
      </c>
      <c r="AR13" s="312">
        <v>7.0000000000000007E-2</v>
      </c>
      <c r="AS13" s="312">
        <v>0.02</v>
      </c>
      <c r="AT13" s="312">
        <v>0.18</v>
      </c>
      <c r="AU13" s="318">
        <f t="shared" si="4"/>
        <v>0.19999999999999998</v>
      </c>
      <c r="BA13" s="311" t="s">
        <v>389</v>
      </c>
    </row>
    <row r="14" spans="1:53" hidden="1" x14ac:dyDescent="0.25">
      <c r="A14" s="167">
        <v>10</v>
      </c>
      <c r="B14" s="167" t="s">
        <v>164</v>
      </c>
      <c r="C14" s="310">
        <v>15017.208668547586</v>
      </c>
      <c r="D14" s="310">
        <f t="shared" si="5"/>
        <v>16819.273708773297</v>
      </c>
      <c r="E14" s="310">
        <f t="shared" si="0"/>
        <v>3.0580497652315088</v>
      </c>
      <c r="F14" s="310">
        <f t="shared" si="6"/>
        <v>76.451244130787714</v>
      </c>
      <c r="G14" s="310">
        <f t="shared" si="7"/>
        <v>76.5</v>
      </c>
      <c r="H14" s="319">
        <f t="shared" si="8"/>
        <v>84</v>
      </c>
      <c r="J14" s="320">
        <f t="shared" si="9"/>
        <v>16819.273708773297</v>
      </c>
      <c r="P14" s="311" t="s">
        <v>460</v>
      </c>
      <c r="Q14" s="311" t="s">
        <v>461</v>
      </c>
      <c r="X14" s="311" t="s">
        <v>462</v>
      </c>
      <c r="AP14" s="311" t="s">
        <v>463</v>
      </c>
      <c r="AQ14" s="311" t="s">
        <v>464</v>
      </c>
      <c r="AR14" s="312">
        <v>0.12</v>
      </c>
      <c r="AS14" s="312">
        <v>0.02</v>
      </c>
      <c r="AT14" s="312">
        <v>0.18</v>
      </c>
      <c r="AU14" s="318">
        <f t="shared" si="4"/>
        <v>0.19999999999999998</v>
      </c>
      <c r="BA14" s="311" t="s">
        <v>390</v>
      </c>
    </row>
    <row r="15" spans="1:53" hidden="1" x14ac:dyDescent="0.25">
      <c r="A15" s="167">
        <v>11</v>
      </c>
      <c r="B15" s="167" t="s">
        <v>165</v>
      </c>
      <c r="C15" s="310">
        <v>9010.3252011285476</v>
      </c>
      <c r="D15" s="310">
        <f t="shared" si="5"/>
        <v>10091.564225263974</v>
      </c>
      <c r="E15" s="310">
        <f t="shared" si="0"/>
        <v>1.8348298591389045</v>
      </c>
      <c r="F15" s="310">
        <f t="shared" si="6"/>
        <v>45.870746478472604</v>
      </c>
      <c r="G15" s="310">
        <f t="shared" si="7"/>
        <v>45.9</v>
      </c>
      <c r="H15" s="319">
        <f t="shared" si="8"/>
        <v>50</v>
      </c>
      <c r="J15" s="320">
        <f t="shared" si="9"/>
        <v>10091.564225263974</v>
      </c>
      <c r="P15" s="311" t="s">
        <v>463</v>
      </c>
      <c r="Q15" s="311" t="s">
        <v>464</v>
      </c>
      <c r="X15" s="311" t="s">
        <v>465</v>
      </c>
      <c r="AP15" s="311" t="s">
        <v>460</v>
      </c>
      <c r="AQ15" s="311" t="s">
        <v>461</v>
      </c>
      <c r="AR15" s="312">
        <v>7.0000000000000007E-2</v>
      </c>
      <c r="AS15" s="312">
        <v>0.02</v>
      </c>
      <c r="AT15" s="312">
        <v>0.17</v>
      </c>
      <c r="AU15" s="318">
        <f t="shared" si="4"/>
        <v>0.19</v>
      </c>
      <c r="BA15" s="311" t="s">
        <v>156</v>
      </c>
    </row>
    <row r="16" spans="1:53" hidden="1" x14ac:dyDescent="0.25">
      <c r="A16" s="167">
        <v>12</v>
      </c>
      <c r="B16" s="167" t="s">
        <v>166</v>
      </c>
      <c r="C16" s="310">
        <v>11024.633457203066</v>
      </c>
      <c r="D16" s="310">
        <f t="shared" si="5"/>
        <v>12347.589472067435</v>
      </c>
      <c r="E16" s="310">
        <f t="shared" si="0"/>
        <v>2.2450162676486243</v>
      </c>
      <c r="F16" s="310">
        <f t="shared" si="6"/>
        <v>56.125406691215616</v>
      </c>
      <c r="G16" s="310">
        <f t="shared" si="7"/>
        <v>56.1</v>
      </c>
      <c r="H16" s="319">
        <f t="shared" si="8"/>
        <v>62</v>
      </c>
      <c r="J16" s="320">
        <f t="shared" si="9"/>
        <v>12347.589472067435</v>
      </c>
      <c r="P16" s="311" t="s">
        <v>466</v>
      </c>
      <c r="Q16" s="311" t="s">
        <v>467</v>
      </c>
      <c r="AP16" s="311" t="s">
        <v>457</v>
      </c>
      <c r="AQ16" s="311" t="s">
        <v>458</v>
      </c>
      <c r="AR16" s="312">
        <v>7.0000000000000007E-2</v>
      </c>
      <c r="AS16" s="312">
        <v>0.02</v>
      </c>
      <c r="AT16" s="312">
        <v>0.17</v>
      </c>
      <c r="AU16" s="318">
        <f t="shared" si="4"/>
        <v>0.19</v>
      </c>
      <c r="BA16" s="311" t="s">
        <v>391</v>
      </c>
    </row>
    <row r="17" spans="1:53" hidden="1" x14ac:dyDescent="0.25">
      <c r="A17" s="167">
        <v>13</v>
      </c>
      <c r="B17" s="167" t="s">
        <v>167</v>
      </c>
      <c r="C17" s="310">
        <v>13091.925505913277</v>
      </c>
      <c r="D17" s="310">
        <f t="shared" si="5"/>
        <v>14662.956566622872</v>
      </c>
      <c r="E17" s="310">
        <f t="shared" si="0"/>
        <v>2.6659921030223406</v>
      </c>
      <c r="F17" s="310">
        <f t="shared" si="6"/>
        <v>66.64980257555851</v>
      </c>
      <c r="G17" s="310">
        <f t="shared" si="7"/>
        <v>66.599999999999994</v>
      </c>
      <c r="H17" s="319">
        <f t="shared" si="8"/>
        <v>73</v>
      </c>
      <c r="J17" s="320">
        <f t="shared" si="9"/>
        <v>14662.956566622872</v>
      </c>
      <c r="P17" s="311" t="s">
        <v>468</v>
      </c>
      <c r="Q17" s="311" t="s">
        <v>469</v>
      </c>
      <c r="AP17" s="311" t="s">
        <v>466</v>
      </c>
      <c r="AQ17" s="311" t="s">
        <v>467</v>
      </c>
      <c r="AR17" s="312">
        <v>7.0000000000000007E-2</v>
      </c>
      <c r="AS17" s="312">
        <v>0</v>
      </c>
      <c r="AT17" s="312">
        <v>0.17</v>
      </c>
      <c r="AU17" s="318">
        <f t="shared" si="4"/>
        <v>0.17</v>
      </c>
      <c r="BA17" s="311" t="s">
        <v>392</v>
      </c>
    </row>
    <row r="18" spans="1:53" hidden="1" x14ac:dyDescent="0.25">
      <c r="A18" s="167">
        <v>14</v>
      </c>
      <c r="B18" s="167" t="s">
        <v>168</v>
      </c>
      <c r="C18" s="310">
        <v>13815.831975063778</v>
      </c>
      <c r="D18" s="310">
        <f t="shared" si="5"/>
        <v>15473.731812071434</v>
      </c>
      <c r="E18" s="310">
        <f t="shared" si="0"/>
        <v>2.8134057840129882</v>
      </c>
      <c r="F18" s="310">
        <f t="shared" si="6"/>
        <v>70.335144600324696</v>
      </c>
      <c r="G18" s="310">
        <f t="shared" si="7"/>
        <v>70.3</v>
      </c>
      <c r="H18" s="319">
        <f t="shared" si="8"/>
        <v>77</v>
      </c>
      <c r="J18" s="320">
        <f t="shared" si="9"/>
        <v>15473.731812071434</v>
      </c>
      <c r="P18" s="311" t="s">
        <v>470</v>
      </c>
      <c r="Q18" s="311" t="s">
        <v>471</v>
      </c>
      <c r="W18" s="322"/>
      <c r="AP18" s="311" t="s">
        <v>468</v>
      </c>
      <c r="AQ18" s="311" t="s">
        <v>469</v>
      </c>
      <c r="AR18" s="312">
        <v>7.0000000000000007E-2</v>
      </c>
      <c r="AS18" s="312">
        <v>0.02</v>
      </c>
      <c r="AT18" s="312">
        <v>0.18</v>
      </c>
      <c r="AU18" s="318">
        <f t="shared" si="4"/>
        <v>0.19999999999999998</v>
      </c>
      <c r="BA18" s="311" t="s">
        <v>393</v>
      </c>
    </row>
    <row r="19" spans="1:53" hidden="1" x14ac:dyDescent="0.25">
      <c r="A19" s="167">
        <v>15</v>
      </c>
      <c r="B19" s="167" t="s">
        <v>169</v>
      </c>
      <c r="C19" s="310">
        <v>15017.208668547586</v>
      </c>
      <c r="D19" s="310">
        <f t="shared" si="5"/>
        <v>16819.273708773297</v>
      </c>
      <c r="E19" s="310">
        <f t="shared" si="0"/>
        <v>3.0580497652315088</v>
      </c>
      <c r="F19" s="310">
        <f t="shared" si="6"/>
        <v>76.451244130787714</v>
      </c>
      <c r="G19" s="310">
        <f t="shared" si="7"/>
        <v>76.5</v>
      </c>
      <c r="H19" s="319">
        <f t="shared" si="8"/>
        <v>84</v>
      </c>
      <c r="J19" s="320">
        <f t="shared" si="9"/>
        <v>16819.273708773297</v>
      </c>
      <c r="P19" s="311" t="s">
        <v>472</v>
      </c>
      <c r="Q19" s="311" t="s">
        <v>473</v>
      </c>
      <c r="AP19" s="311" t="s">
        <v>472</v>
      </c>
      <c r="AQ19" s="311" t="s">
        <v>473</v>
      </c>
      <c r="AR19" s="312">
        <v>7.0000000000000007E-2</v>
      </c>
      <c r="AS19" s="312">
        <v>0.02</v>
      </c>
      <c r="AT19" s="312">
        <v>0.18</v>
      </c>
      <c r="AU19" s="318">
        <f t="shared" si="4"/>
        <v>0.19999999999999998</v>
      </c>
      <c r="BA19" s="311" t="s">
        <v>394</v>
      </c>
    </row>
    <row r="20" spans="1:53" hidden="1" x14ac:dyDescent="0.25">
      <c r="A20" s="167">
        <v>16</v>
      </c>
      <c r="B20" s="167" t="s">
        <v>170</v>
      </c>
      <c r="C20" s="323">
        <v>9010.3252011285476</v>
      </c>
      <c r="D20" s="310">
        <f t="shared" si="5"/>
        <v>10091.564225263974</v>
      </c>
      <c r="E20" s="310">
        <f t="shared" si="0"/>
        <v>1.8348298591389045</v>
      </c>
      <c r="F20" s="310">
        <f t="shared" si="6"/>
        <v>45.870746478472604</v>
      </c>
      <c r="G20" s="310">
        <f t="shared" si="7"/>
        <v>45.9</v>
      </c>
      <c r="H20" s="319">
        <f t="shared" si="8"/>
        <v>50</v>
      </c>
      <c r="J20" s="320">
        <f t="shared" si="9"/>
        <v>10091.564225263974</v>
      </c>
      <c r="P20" s="311" t="s">
        <v>474</v>
      </c>
      <c r="Q20" s="311" t="s">
        <v>475</v>
      </c>
      <c r="AP20" s="311" t="s">
        <v>474</v>
      </c>
      <c r="AQ20" s="311" t="s">
        <v>475</v>
      </c>
      <c r="AR20" s="312">
        <v>7.0000000000000007E-2</v>
      </c>
      <c r="AS20" s="312">
        <v>0.02</v>
      </c>
      <c r="AT20" s="312">
        <v>0.18</v>
      </c>
      <c r="AU20" s="318">
        <f t="shared" si="4"/>
        <v>0.19999999999999998</v>
      </c>
    </row>
    <row r="21" spans="1:53" hidden="1" x14ac:dyDescent="0.25">
      <c r="A21" s="167">
        <v>17</v>
      </c>
      <c r="B21" s="167" t="s">
        <v>171</v>
      </c>
      <c r="C21" s="323">
        <v>10782.355824017166</v>
      </c>
      <c r="D21" s="310">
        <f t="shared" si="5"/>
        <v>12076.238522899228</v>
      </c>
      <c r="E21" s="310">
        <f t="shared" si="0"/>
        <v>2.1956797314362233</v>
      </c>
      <c r="F21" s="310">
        <f t="shared" si="6"/>
        <v>54.891993285905585</v>
      </c>
      <c r="G21" s="310">
        <f t="shared" si="7"/>
        <v>54.9</v>
      </c>
      <c r="H21" s="319">
        <f t="shared" si="8"/>
        <v>60</v>
      </c>
      <c r="J21" s="320">
        <f t="shared" si="9"/>
        <v>12076.238522899228</v>
      </c>
      <c r="P21" s="311" t="s">
        <v>476</v>
      </c>
      <c r="Q21" s="311" t="s">
        <v>477</v>
      </c>
      <c r="AP21" s="311" t="s">
        <v>470</v>
      </c>
      <c r="AQ21" s="311" t="s">
        <v>471</v>
      </c>
      <c r="AR21" s="312">
        <v>0.12</v>
      </c>
      <c r="AS21" s="312">
        <v>0.02</v>
      </c>
      <c r="AT21" s="312">
        <v>0.18</v>
      </c>
      <c r="AU21" s="318">
        <f t="shared" si="4"/>
        <v>0.19999999999999998</v>
      </c>
    </row>
    <row r="22" spans="1:53" hidden="1" x14ac:dyDescent="0.25">
      <c r="A22" s="167">
        <v>18</v>
      </c>
      <c r="B22" s="167" t="s">
        <v>172</v>
      </c>
      <c r="C22" s="323">
        <v>13091.925505913277</v>
      </c>
      <c r="D22" s="310">
        <f t="shared" si="5"/>
        <v>14662.956566622872</v>
      </c>
      <c r="E22" s="310">
        <f t="shared" si="0"/>
        <v>2.6659921030223406</v>
      </c>
      <c r="F22" s="310">
        <f t="shared" si="6"/>
        <v>66.64980257555851</v>
      </c>
      <c r="G22" s="310">
        <f t="shared" si="7"/>
        <v>66.599999999999994</v>
      </c>
      <c r="H22" s="319">
        <f t="shared" si="8"/>
        <v>73</v>
      </c>
      <c r="J22" s="320">
        <f t="shared" si="9"/>
        <v>14662.956566622872</v>
      </c>
      <c r="P22" s="311" t="s">
        <v>478</v>
      </c>
      <c r="Q22" s="311" t="s">
        <v>479</v>
      </c>
      <c r="AP22" s="311" t="s">
        <v>476</v>
      </c>
      <c r="AQ22" s="311" t="s">
        <v>477</v>
      </c>
      <c r="AR22" s="312">
        <v>0.12</v>
      </c>
      <c r="AS22" s="312">
        <v>0.04</v>
      </c>
      <c r="AT22" s="312">
        <v>0.2</v>
      </c>
      <c r="AU22" s="318">
        <f t="shared" si="4"/>
        <v>0.24000000000000002</v>
      </c>
    </row>
    <row r="23" spans="1:53" hidden="1" x14ac:dyDescent="0.25">
      <c r="A23" s="167">
        <v>19</v>
      </c>
      <c r="B23" s="167" t="s">
        <v>173</v>
      </c>
      <c r="C23" s="323">
        <v>13815.831975063778</v>
      </c>
      <c r="D23" s="310">
        <f t="shared" si="5"/>
        <v>15473.731812071434</v>
      </c>
      <c r="E23" s="310">
        <f t="shared" si="0"/>
        <v>2.8134057840129882</v>
      </c>
      <c r="F23" s="310">
        <f t="shared" si="6"/>
        <v>70.335144600324696</v>
      </c>
      <c r="G23" s="310">
        <f t="shared" si="7"/>
        <v>70.3</v>
      </c>
      <c r="H23" s="319">
        <f t="shared" si="8"/>
        <v>77</v>
      </c>
      <c r="J23" s="320">
        <f t="shared" si="9"/>
        <v>15473.731812071434</v>
      </c>
      <c r="P23" s="311" t="s">
        <v>480</v>
      </c>
      <c r="Q23" s="311" t="s">
        <v>481</v>
      </c>
      <c r="AP23" s="311" t="s">
        <v>478</v>
      </c>
      <c r="AQ23" s="311" t="s">
        <v>479</v>
      </c>
      <c r="AR23" s="312">
        <v>7.0000000000000007E-2</v>
      </c>
      <c r="AS23" s="312">
        <v>0.02</v>
      </c>
      <c r="AT23" s="312">
        <v>0.18</v>
      </c>
      <c r="AU23" s="318">
        <f t="shared" si="4"/>
        <v>0.19999999999999998</v>
      </c>
    </row>
    <row r="24" spans="1:53" hidden="1" x14ac:dyDescent="0.25">
      <c r="A24" s="167">
        <v>20</v>
      </c>
      <c r="B24" s="167" t="s">
        <v>174</v>
      </c>
      <c r="C24" s="323">
        <v>15017.208668547586</v>
      </c>
      <c r="D24" s="310">
        <f t="shared" si="5"/>
        <v>16819.273708773297</v>
      </c>
      <c r="E24" s="310">
        <f t="shared" si="0"/>
        <v>3.0580497652315088</v>
      </c>
      <c r="F24" s="310">
        <f t="shared" si="6"/>
        <v>76.451244130787714</v>
      </c>
      <c r="G24" s="310">
        <f t="shared" si="7"/>
        <v>76.5</v>
      </c>
      <c r="H24" s="319">
        <f t="shared" si="8"/>
        <v>84</v>
      </c>
      <c r="J24" s="320">
        <f t="shared" si="9"/>
        <v>16819.273708773297</v>
      </c>
      <c r="P24" s="311" t="s">
        <v>482</v>
      </c>
      <c r="Q24" s="311" t="s">
        <v>483</v>
      </c>
      <c r="AP24" s="311" t="s">
        <v>482</v>
      </c>
      <c r="AQ24" s="311" t="s">
        <v>483</v>
      </c>
      <c r="AR24" s="312">
        <v>7.0000000000000007E-2</v>
      </c>
      <c r="AS24" s="312">
        <v>0.02</v>
      </c>
      <c r="AT24" s="312">
        <v>0.17499999999999999</v>
      </c>
      <c r="AU24" s="318">
        <f t="shared" si="4"/>
        <v>0.19499999999999998</v>
      </c>
    </row>
    <row r="25" spans="1:53" hidden="1" x14ac:dyDescent="0.25">
      <c r="A25" s="167">
        <v>21</v>
      </c>
      <c r="B25" s="167" t="s">
        <v>175</v>
      </c>
      <c r="C25" s="323">
        <v>4645.3232148040534</v>
      </c>
      <c r="D25" s="310">
        <f t="shared" si="5"/>
        <v>5202.7620005805402</v>
      </c>
      <c r="E25" s="310">
        <f t="shared" si="0"/>
        <v>0.94595672737828007</v>
      </c>
      <c r="F25" s="310">
        <f t="shared" si="6"/>
        <v>23.648918184456999</v>
      </c>
      <c r="G25" s="310">
        <f t="shared" si="7"/>
        <v>23.6</v>
      </c>
      <c r="H25" s="319">
        <f t="shared" si="8"/>
        <v>26</v>
      </c>
      <c r="J25" s="320">
        <f t="shared" si="9"/>
        <v>5202.7620005805402</v>
      </c>
      <c r="P25" s="311" t="s">
        <v>484</v>
      </c>
      <c r="Q25" s="311" t="s">
        <v>485</v>
      </c>
      <c r="AP25" s="311" t="s">
        <v>484</v>
      </c>
      <c r="AQ25" s="311" t="s">
        <v>485</v>
      </c>
      <c r="AR25" s="312">
        <v>7.0000000000000007E-2</v>
      </c>
      <c r="AS25" s="312">
        <v>0.02</v>
      </c>
      <c r="AT25" s="312">
        <v>0.17</v>
      </c>
      <c r="AU25" s="318">
        <f t="shared" si="4"/>
        <v>0.19</v>
      </c>
    </row>
    <row r="26" spans="1:53" hidden="1" x14ac:dyDescent="0.25">
      <c r="A26" s="167">
        <v>22</v>
      </c>
      <c r="B26" s="167" t="s">
        <v>176</v>
      </c>
      <c r="C26" s="323">
        <v>5016.949071988377</v>
      </c>
      <c r="D26" s="310">
        <f t="shared" si="5"/>
        <v>5618.9829606269832</v>
      </c>
      <c r="E26" s="310">
        <f t="shared" si="0"/>
        <v>1.0216332655685425</v>
      </c>
      <c r="F26" s="310">
        <f t="shared" si="6"/>
        <v>25.540831639213561</v>
      </c>
      <c r="G26" s="310">
        <f t="shared" si="7"/>
        <v>25.5</v>
      </c>
      <c r="H26" s="319">
        <f t="shared" si="8"/>
        <v>28</v>
      </c>
      <c r="J26" s="320">
        <f t="shared" si="9"/>
        <v>5618.9829606269832</v>
      </c>
      <c r="P26" s="311" t="s">
        <v>486</v>
      </c>
      <c r="Q26" s="311" t="s">
        <v>487</v>
      </c>
      <c r="U26" s="311" t="s">
        <v>488</v>
      </c>
      <c r="V26" s="324">
        <f>IF(RESUMO!L44="SIM",IFERROR(V27/SUM(V35:V36),0),0)</f>
        <v>4.7865116279069775E-3</v>
      </c>
      <c r="AP26" s="311" t="s">
        <v>480</v>
      </c>
      <c r="AQ26" s="311" t="s">
        <v>481</v>
      </c>
      <c r="AR26" s="312">
        <v>0.12</v>
      </c>
      <c r="AS26" s="312">
        <v>0.02</v>
      </c>
      <c r="AT26" s="312">
        <v>0.18</v>
      </c>
      <c r="AU26" s="318">
        <f t="shared" si="4"/>
        <v>0.19999999999999998</v>
      </c>
    </row>
    <row r="27" spans="1:53" hidden="1" x14ac:dyDescent="0.25">
      <c r="A27" s="167">
        <v>23</v>
      </c>
      <c r="B27" s="167" t="s">
        <v>177</v>
      </c>
      <c r="C27" s="323">
        <v>5418.3049977474484</v>
      </c>
      <c r="D27" s="310">
        <f t="shared" si="5"/>
        <v>6068.5015974771432</v>
      </c>
      <c r="E27" s="310">
        <f t="shared" si="0"/>
        <v>1.1033639268140261</v>
      </c>
      <c r="F27" s="310">
        <f t="shared" si="6"/>
        <v>27.58409817035065</v>
      </c>
      <c r="G27" s="310">
        <f t="shared" si="7"/>
        <v>27.6</v>
      </c>
      <c r="H27" s="319">
        <f t="shared" si="8"/>
        <v>30</v>
      </c>
      <c r="J27" s="320">
        <f t="shared" si="9"/>
        <v>6068.5015974771432</v>
      </c>
      <c r="P27" s="311" t="s">
        <v>295</v>
      </c>
      <c r="Q27" s="311" t="s">
        <v>22</v>
      </c>
      <c r="U27" s="311" t="s">
        <v>489</v>
      </c>
      <c r="V27" s="322">
        <f>V28*(V35+V36)*20%</f>
        <v>4730.5168400607527</v>
      </c>
      <c r="AP27" s="311" t="s">
        <v>486</v>
      </c>
      <c r="AQ27" s="311" t="s">
        <v>487</v>
      </c>
      <c r="AR27" s="312">
        <v>0.12</v>
      </c>
      <c r="AS27" s="312">
        <v>0</v>
      </c>
      <c r="AT27" s="312">
        <v>0.17</v>
      </c>
      <c r="AU27" s="318">
        <f t="shared" si="4"/>
        <v>0.17</v>
      </c>
    </row>
    <row r="28" spans="1:53" hidden="1" x14ac:dyDescent="0.25">
      <c r="A28" s="167">
        <v>24</v>
      </c>
      <c r="B28" s="167" t="s">
        <v>178</v>
      </c>
      <c r="C28" s="323">
        <v>5851.7693975672446</v>
      </c>
      <c r="D28" s="310">
        <f t="shared" si="5"/>
        <v>6553.9817252753146</v>
      </c>
      <c r="E28" s="310">
        <f t="shared" si="0"/>
        <v>1.1916330409591482</v>
      </c>
      <c r="F28" s="310">
        <f t="shared" si="6"/>
        <v>29.790826023978703</v>
      </c>
      <c r="G28" s="310">
        <f t="shared" si="7"/>
        <v>29.8</v>
      </c>
      <c r="H28" s="319">
        <f t="shared" si="8"/>
        <v>33</v>
      </c>
      <c r="J28" s="320">
        <f t="shared" si="9"/>
        <v>6553.9817252753146</v>
      </c>
      <c r="P28" s="311" t="s">
        <v>490</v>
      </c>
      <c r="Q28" s="311" t="s">
        <v>491</v>
      </c>
      <c r="U28" s="311" t="s">
        <v>492</v>
      </c>
      <c r="V28" s="324">
        <f>_xlfn.XLOOKUP(RESUMO!L42,BASE!Z30:Z46,BASE!X30:X46,0,0,1)</f>
        <v>2.3932558139534887E-2</v>
      </c>
      <c r="AP28" s="311" t="s">
        <v>490</v>
      </c>
      <c r="AQ28" s="311" t="s">
        <v>491</v>
      </c>
      <c r="AR28" s="312">
        <v>7.0000000000000007E-2</v>
      </c>
      <c r="AS28" s="312">
        <v>0.02</v>
      </c>
      <c r="AT28" s="312">
        <v>0.18</v>
      </c>
      <c r="AU28" s="318">
        <f t="shared" si="4"/>
        <v>0.19999999999999998</v>
      </c>
    </row>
    <row r="29" spans="1:53" hidden="1" x14ac:dyDescent="0.25">
      <c r="A29" s="167">
        <v>25</v>
      </c>
      <c r="B29" s="167" t="s">
        <v>179</v>
      </c>
      <c r="C29" s="323">
        <v>6319.9109493726246</v>
      </c>
      <c r="D29" s="310">
        <f t="shared" si="5"/>
        <v>7078.3002632973403</v>
      </c>
      <c r="E29" s="310">
        <f t="shared" si="0"/>
        <v>1.28696368423588</v>
      </c>
      <c r="F29" s="310">
        <f t="shared" si="6"/>
        <v>32.174092105897003</v>
      </c>
      <c r="G29" s="310">
        <f t="shared" si="7"/>
        <v>32.200000000000003</v>
      </c>
      <c r="H29" s="319">
        <f t="shared" si="8"/>
        <v>35</v>
      </c>
      <c r="J29" s="320">
        <f t="shared" si="9"/>
        <v>7078.3002632973403</v>
      </c>
      <c r="P29" s="311" t="s">
        <v>493</v>
      </c>
      <c r="Q29" s="311" t="s">
        <v>494</v>
      </c>
      <c r="AP29" s="311" t="s">
        <v>295</v>
      </c>
      <c r="AQ29" s="311" t="s">
        <v>22</v>
      </c>
      <c r="AR29" s="312">
        <v>0.12</v>
      </c>
      <c r="AS29" s="312">
        <v>0</v>
      </c>
      <c r="AT29" s="312">
        <v>0.18</v>
      </c>
      <c r="AU29" s="318">
        <f t="shared" si="4"/>
        <v>0.18</v>
      </c>
    </row>
    <row r="30" spans="1:53" hidden="1" x14ac:dyDescent="0.25">
      <c r="A30" s="167">
        <v>26</v>
      </c>
      <c r="B30" s="167" t="s">
        <v>180</v>
      </c>
      <c r="C30" s="323">
        <v>3604.1300804514199</v>
      </c>
      <c r="D30" s="310">
        <f t="shared" si="5"/>
        <v>4036.6256901055908</v>
      </c>
      <c r="E30" s="310">
        <f t="shared" si="0"/>
        <v>0.73393194365556202</v>
      </c>
      <c r="F30" s="310">
        <f t="shared" si="6"/>
        <v>18.34829859138905</v>
      </c>
      <c r="G30" s="310">
        <f t="shared" si="7"/>
        <v>18.3</v>
      </c>
      <c r="H30" s="319">
        <f t="shared" si="8"/>
        <v>20</v>
      </c>
      <c r="J30" s="320">
        <f t="shared" si="9"/>
        <v>4036.6256901055908</v>
      </c>
      <c r="P30" s="311" t="s">
        <v>455</v>
      </c>
      <c r="Q30" s="311" t="s">
        <v>456</v>
      </c>
      <c r="U30" s="311" t="s">
        <v>495</v>
      </c>
      <c r="V30" s="322">
        <f>26400000/12</f>
        <v>2200000</v>
      </c>
      <c r="X30" s="313">
        <v>0</v>
      </c>
      <c r="Z30" s="311" t="s">
        <v>496</v>
      </c>
      <c r="AE30" s="325"/>
      <c r="AP30" s="311" t="s">
        <v>493</v>
      </c>
      <c r="AQ30" s="311" t="s">
        <v>494</v>
      </c>
      <c r="AR30" s="312">
        <v>7.0000000000000007E-2</v>
      </c>
      <c r="AS30" s="312">
        <v>0.02</v>
      </c>
      <c r="AT30" s="312">
        <v>0.18</v>
      </c>
      <c r="AU30" s="318">
        <f t="shared" si="4"/>
        <v>0.19999999999999998</v>
      </c>
    </row>
    <row r="31" spans="1:53" hidden="1" x14ac:dyDescent="0.25">
      <c r="A31" s="167">
        <v>27</v>
      </c>
      <c r="B31" s="167" t="s">
        <v>181</v>
      </c>
      <c r="C31" s="323">
        <v>5005.7362228491947</v>
      </c>
      <c r="D31" s="310">
        <f t="shared" si="5"/>
        <v>5606.4245695910986</v>
      </c>
      <c r="E31" s="310">
        <f t="shared" si="0"/>
        <v>1.019349921743836</v>
      </c>
      <c r="F31" s="310">
        <f t="shared" si="6"/>
        <v>25.483748043595902</v>
      </c>
      <c r="G31" s="310">
        <f t="shared" si="7"/>
        <v>25.5</v>
      </c>
      <c r="H31" s="319">
        <f t="shared" si="8"/>
        <v>28</v>
      </c>
      <c r="J31" s="320">
        <f t="shared" si="9"/>
        <v>5606.4245695910986</v>
      </c>
      <c r="O31" s="311">
        <v>1</v>
      </c>
      <c r="P31" s="311" t="s">
        <v>497</v>
      </c>
      <c r="Q31" s="313">
        <f>(15%+V32)/V43</f>
        <v>8.6101360524668699E-2</v>
      </c>
      <c r="R31" s="313"/>
      <c r="S31" s="313"/>
      <c r="T31" s="313"/>
      <c r="X31" s="313">
        <v>9.4562790697674416E-3</v>
      </c>
      <c r="Z31" s="311" t="s">
        <v>498</v>
      </c>
      <c r="AE31" s="325"/>
    </row>
    <row r="32" spans="1:53" hidden="1" x14ac:dyDescent="0.25">
      <c r="A32" s="167">
        <v>28</v>
      </c>
      <c r="B32" s="167" t="s">
        <v>182</v>
      </c>
      <c r="C32" s="323">
        <v>6622.9894817273125</v>
      </c>
      <c r="D32" s="310">
        <f t="shared" si="5"/>
        <v>7417.748219534591</v>
      </c>
      <c r="E32" s="310">
        <f t="shared" si="0"/>
        <v>1.3486814944608347</v>
      </c>
      <c r="F32" s="310">
        <f t="shared" si="6"/>
        <v>33.717037361520866</v>
      </c>
      <c r="G32" s="310">
        <f t="shared" si="7"/>
        <v>33.700000000000003</v>
      </c>
      <c r="H32" s="319">
        <f t="shared" si="8"/>
        <v>37</v>
      </c>
      <c r="J32" s="320">
        <f t="shared" si="9"/>
        <v>7417.748219534591</v>
      </c>
      <c r="P32" s="311" t="s">
        <v>499</v>
      </c>
      <c r="Q32" s="324">
        <f>(15%+V32)/V43</f>
        <v>8.6101360524668699E-2</v>
      </c>
      <c r="R32" s="313"/>
      <c r="S32" s="313"/>
      <c r="T32" s="313"/>
      <c r="U32" s="311" t="s">
        <v>500</v>
      </c>
      <c r="V32" s="324">
        <f>V28-V26</f>
        <v>1.914604651162791E-2</v>
      </c>
      <c r="X32" s="313">
        <v>1.1907906976744188E-2</v>
      </c>
      <c r="Z32" s="311" t="s">
        <v>501</v>
      </c>
      <c r="AE32" s="325"/>
    </row>
    <row r="33" spans="1:43" hidden="1" x14ac:dyDescent="0.25">
      <c r="A33" s="167">
        <v>29</v>
      </c>
      <c r="B33" s="167" t="s">
        <v>183</v>
      </c>
      <c r="C33" s="323">
        <v>7008.0307119888721</v>
      </c>
      <c r="D33" s="310">
        <f t="shared" si="5"/>
        <v>7848.9943974275375</v>
      </c>
      <c r="E33" s="310">
        <f t="shared" si="0"/>
        <v>1.4270898904413705</v>
      </c>
      <c r="F33" s="310">
        <f t="shared" si="6"/>
        <v>35.67724726103426</v>
      </c>
      <c r="G33" s="310">
        <f t="shared" si="7"/>
        <v>35.700000000000003</v>
      </c>
      <c r="H33" s="319">
        <f t="shared" si="8"/>
        <v>39</v>
      </c>
      <c r="J33" s="320">
        <f t="shared" si="9"/>
        <v>7848.9943974275375</v>
      </c>
      <c r="P33" s="311" t="s">
        <v>502</v>
      </c>
      <c r="Q33" s="324">
        <f>(40%+V32)/V43</f>
        <v>0.21336026237365413</v>
      </c>
      <c r="R33" s="313"/>
      <c r="S33" s="313"/>
      <c r="T33" s="313"/>
      <c r="U33" s="311" t="s">
        <v>503</v>
      </c>
      <c r="V33" s="326">
        <f>(ServInt[[#Totals],[DIAS]]+ServExt[[#Totals],[DIAS]])/30</f>
        <v>6</v>
      </c>
      <c r="X33" s="313">
        <v>1.7861860465116283E-2</v>
      </c>
      <c r="Z33" s="311" t="s">
        <v>504</v>
      </c>
      <c r="AE33" s="325"/>
    </row>
    <row r="34" spans="1:43" hidden="1" x14ac:dyDescent="0.25">
      <c r="A34" s="167">
        <v>30</v>
      </c>
      <c r="B34" s="167" t="s">
        <v>184</v>
      </c>
      <c r="C34" s="323">
        <v>8009.1779565587121</v>
      </c>
      <c r="D34" s="310">
        <f t="shared" si="5"/>
        <v>8970.2793113457592</v>
      </c>
      <c r="E34" s="310">
        <f t="shared" si="0"/>
        <v>1.6309598747901379</v>
      </c>
      <c r="F34" s="310">
        <f t="shared" si="6"/>
        <v>40.773996869753454</v>
      </c>
      <c r="G34" s="310">
        <f t="shared" si="7"/>
        <v>40.799999999999997</v>
      </c>
      <c r="H34" s="319">
        <f t="shared" si="8"/>
        <v>45</v>
      </c>
      <c r="J34" s="320">
        <f t="shared" si="9"/>
        <v>8970.2793113457592</v>
      </c>
      <c r="O34" s="311">
        <v>2</v>
      </c>
      <c r="P34" s="311" t="s">
        <v>505</v>
      </c>
      <c r="Q34" s="313">
        <v>0</v>
      </c>
      <c r="R34" s="313"/>
      <c r="S34" s="313"/>
      <c r="T34" s="313"/>
      <c r="U34" s="311" t="s">
        <v>506</v>
      </c>
      <c r="V34" s="327">
        <f>RESUMO!M8</f>
        <v>2</v>
      </c>
      <c r="W34" s="311">
        <f>RESUMO!M8</f>
        <v>2</v>
      </c>
      <c r="X34" s="313">
        <v>2.3932558139534887E-2</v>
      </c>
      <c r="Y34" s="328"/>
      <c r="Z34" s="311" t="s">
        <v>52</v>
      </c>
      <c r="AE34" s="325"/>
    </row>
    <row r="35" spans="1:43" hidden="1" x14ac:dyDescent="0.25">
      <c r="A35" s="167">
        <v>31</v>
      </c>
      <c r="B35" s="167" t="s">
        <v>185</v>
      </c>
      <c r="C35" s="323">
        <v>3059.2857270116233</v>
      </c>
      <c r="D35" s="310">
        <f t="shared" si="5"/>
        <v>3426.4000142530185</v>
      </c>
      <c r="E35" s="310">
        <f t="shared" si="0"/>
        <v>0.62298182077327613</v>
      </c>
      <c r="F35" s="310">
        <f t="shared" si="6"/>
        <v>15.574545519331902</v>
      </c>
      <c r="G35" s="310">
        <f t="shared" si="7"/>
        <v>15.6</v>
      </c>
      <c r="H35" s="319">
        <f t="shared" si="8"/>
        <v>17</v>
      </c>
      <c r="J35" s="320">
        <f t="shared" si="9"/>
        <v>3426.4000142530185</v>
      </c>
      <c r="O35" s="311">
        <v>3</v>
      </c>
      <c r="P35" s="311" t="s">
        <v>507</v>
      </c>
      <c r="Q35" s="313">
        <f>RESUMO!J9</f>
        <v>0.1</v>
      </c>
      <c r="R35" s="313"/>
      <c r="S35" s="313"/>
      <c r="T35" s="313"/>
      <c r="U35" s="311" t="s">
        <v>508</v>
      </c>
      <c r="V35" s="322">
        <f>RESUMO!K111</f>
        <v>168909.94563508069</v>
      </c>
      <c r="X35" s="313">
        <v>2.3932558139534887E-2</v>
      </c>
      <c r="Z35" s="311" t="s">
        <v>509</v>
      </c>
      <c r="AE35" s="325"/>
    </row>
    <row r="36" spans="1:43" hidden="1" x14ac:dyDescent="0.25">
      <c r="A36" s="167">
        <v>32</v>
      </c>
      <c r="B36" s="167" t="s">
        <v>186</v>
      </c>
      <c r="C36" s="329">
        <v>3059.2857270116233</v>
      </c>
      <c r="D36" s="310">
        <f t="shared" si="5"/>
        <v>3426.4000142530185</v>
      </c>
      <c r="E36" s="310">
        <f t="shared" si="0"/>
        <v>0.62298182077327613</v>
      </c>
      <c r="F36" s="310">
        <f t="shared" si="6"/>
        <v>15.574545519331902</v>
      </c>
      <c r="G36" s="310">
        <f t="shared" si="7"/>
        <v>15.6</v>
      </c>
      <c r="H36" s="319">
        <f t="shared" si="8"/>
        <v>17</v>
      </c>
      <c r="J36" s="320">
        <f t="shared" si="9"/>
        <v>3426.4000142530185</v>
      </c>
      <c r="O36" s="311">
        <v>4</v>
      </c>
      <c r="P36" s="311" t="s">
        <v>510</v>
      </c>
      <c r="Q36" s="313">
        <f>RESUMO!J8</f>
        <v>0.1</v>
      </c>
      <c r="R36" s="330"/>
      <c r="S36" s="330"/>
      <c r="T36" s="330"/>
      <c r="U36" s="311" t="s">
        <v>511</v>
      </c>
      <c r="V36" s="322">
        <f>RESUMO!K105</f>
        <v>819391.60000000009</v>
      </c>
      <c r="X36" s="313">
        <v>2.5100000000000001E-2</v>
      </c>
      <c r="Z36" s="311" t="s">
        <v>512</v>
      </c>
      <c r="AB36" s="313"/>
      <c r="AC36" s="331"/>
      <c r="AE36" s="325"/>
      <c r="AP36" s="311" t="s">
        <v>10</v>
      </c>
      <c r="AQ36" s="313" t="str">
        <f>RESUMO!D9</f>
        <v>SIM</v>
      </c>
    </row>
    <row r="37" spans="1:43" hidden="1" x14ac:dyDescent="0.25">
      <c r="A37" s="167">
        <v>33</v>
      </c>
      <c r="B37" s="167" t="s">
        <v>187</v>
      </c>
      <c r="C37" s="329">
        <v>5005.7362228491947</v>
      </c>
      <c r="D37" s="310">
        <f t="shared" ref="D37:D68" si="10">C37*1.12</f>
        <v>5606.4245695910986</v>
      </c>
      <c r="E37" s="310">
        <f t="shared" si="0"/>
        <v>1.019349921743836</v>
      </c>
      <c r="F37" s="310">
        <f t="shared" si="6"/>
        <v>25.483748043595902</v>
      </c>
      <c r="G37" s="310">
        <f t="shared" si="7"/>
        <v>25.5</v>
      </c>
      <c r="H37" s="319">
        <f t="shared" si="8"/>
        <v>28</v>
      </c>
      <c r="J37" s="320">
        <f t="shared" si="9"/>
        <v>5606.4245695910986</v>
      </c>
      <c r="O37" s="311">
        <v>5</v>
      </c>
      <c r="P37" s="311" t="s">
        <v>513</v>
      </c>
      <c r="Q37" s="313">
        <f>RESUMO!G8+RESUMO!G9+1%</f>
        <v>0.01</v>
      </c>
      <c r="R37" s="313"/>
      <c r="S37" s="313"/>
      <c r="T37" s="313"/>
      <c r="U37" s="311" t="s">
        <v>514</v>
      </c>
      <c r="V37" s="322">
        <f>V35/(100%-SUM(V32,Q36,Q37,Q39,Q41))</f>
        <v>195485.41494793794</v>
      </c>
      <c r="X37" s="313">
        <v>3.6073953488372099E-2</v>
      </c>
      <c r="Z37" s="311" t="s">
        <v>515</v>
      </c>
      <c r="AE37" s="325"/>
      <c r="AP37" s="311" t="s">
        <v>15</v>
      </c>
      <c r="AQ37" s="313" t="str">
        <f>RESUMO!D10</f>
        <v>CONTRIBUINTE</v>
      </c>
    </row>
    <row r="38" spans="1:43" hidden="1" x14ac:dyDescent="0.25">
      <c r="A38" s="167">
        <v>34</v>
      </c>
      <c r="B38" s="167" t="s">
        <v>188</v>
      </c>
      <c r="C38" s="329">
        <v>6006.8834674190339</v>
      </c>
      <c r="D38" s="310">
        <f t="shared" si="10"/>
        <v>6727.7094835093185</v>
      </c>
      <c r="E38" s="310">
        <f t="shared" si="0"/>
        <v>1.2232199060926032</v>
      </c>
      <c r="F38" s="310">
        <f t="shared" si="6"/>
        <v>30.580497652315085</v>
      </c>
      <c r="G38" s="310">
        <f t="shared" si="7"/>
        <v>30.6</v>
      </c>
      <c r="H38" s="319">
        <f t="shared" si="8"/>
        <v>34</v>
      </c>
      <c r="J38" s="320">
        <f t="shared" si="9"/>
        <v>6727.7094835093185</v>
      </c>
      <c r="O38" s="311">
        <v>6</v>
      </c>
      <c r="P38" s="311" t="s">
        <v>516</v>
      </c>
      <c r="Q38" s="330">
        <f>IF(OR(RESUMO!$J$10=BASE!$K$4,RESUMO!$J$10=BASE!$K$3),(Q44*25%),0%)</f>
        <v>5.0000000000000001E-3</v>
      </c>
      <c r="U38" s="311" t="s">
        <v>517</v>
      </c>
      <c r="V38" s="322">
        <f>V36/(100%-SUM(V32,Q34,Q35,Q37:Q38,Q40))</f>
        <v>948310.68903965957</v>
      </c>
      <c r="X38" s="313">
        <v>3.6073953488372099E-2</v>
      </c>
      <c r="Z38" s="311" t="s">
        <v>518</v>
      </c>
      <c r="AE38" s="325"/>
      <c r="AP38" s="311" t="s">
        <v>21</v>
      </c>
      <c r="AQ38" s="313" t="str">
        <f>RESUMO!D11</f>
        <v>SP</v>
      </c>
    </row>
    <row r="39" spans="1:43" hidden="1" x14ac:dyDescent="0.25">
      <c r="A39" s="311">
        <v>35</v>
      </c>
      <c r="B39" s="311" t="s">
        <v>189</v>
      </c>
      <c r="C39" s="332">
        <v>8009.1779565587121</v>
      </c>
      <c r="D39" s="310">
        <f t="shared" si="10"/>
        <v>8970.2793113457592</v>
      </c>
      <c r="E39" s="310">
        <f t="shared" si="0"/>
        <v>1.6309598747901379</v>
      </c>
      <c r="F39" s="310">
        <f t="shared" si="6"/>
        <v>40.773996869753454</v>
      </c>
      <c r="G39" s="310">
        <f t="shared" si="7"/>
        <v>40.799999999999997</v>
      </c>
      <c r="H39" s="319">
        <f t="shared" si="8"/>
        <v>45</v>
      </c>
      <c r="J39" s="320">
        <f t="shared" si="9"/>
        <v>8970.2793113457592</v>
      </c>
      <c r="O39" s="311">
        <v>7</v>
      </c>
      <c r="P39" s="311" t="s">
        <v>519</v>
      </c>
      <c r="Q39" s="313">
        <f>IF(OR(RESUMO!$M$10=BASE!$K$4,RESUMO!$M$10=BASE!$K$3),(Q44*25%),0%)</f>
        <v>5.0000000000000001E-3</v>
      </c>
      <c r="U39" s="311" t="s">
        <v>520</v>
      </c>
      <c r="V39" s="322">
        <f>V38+V37+(RESUMO!M7*0.5)</f>
        <v>8643796.1039875969</v>
      </c>
      <c r="X39" s="313">
        <v>3.6073953488372099E-2</v>
      </c>
      <c r="Z39" s="311" t="s">
        <v>521</v>
      </c>
      <c r="AE39" s="325"/>
      <c r="AP39" s="311" t="s">
        <v>522</v>
      </c>
      <c r="AQ39" s="312">
        <f>LOOKUP($AQ$38,AQ3:AQ30,AU3:AU30)</f>
        <v>0.18</v>
      </c>
    </row>
    <row r="40" spans="1:43" hidden="1" x14ac:dyDescent="0.25">
      <c r="A40" s="311">
        <v>36</v>
      </c>
      <c r="B40" s="311" t="s">
        <v>190</v>
      </c>
      <c r="C40" s="332">
        <v>3059.2857270116233</v>
      </c>
      <c r="D40" s="310">
        <f t="shared" si="10"/>
        <v>3426.4000142530185</v>
      </c>
      <c r="E40" s="310">
        <f t="shared" si="0"/>
        <v>0.62298182077327613</v>
      </c>
      <c r="F40" s="310">
        <f t="shared" si="6"/>
        <v>15.574545519331902</v>
      </c>
      <c r="G40" s="310">
        <f t="shared" si="7"/>
        <v>15.6</v>
      </c>
      <c r="H40" s="319">
        <f t="shared" si="8"/>
        <v>17</v>
      </c>
      <c r="J40" s="320">
        <f t="shared" si="9"/>
        <v>3426.4000142530185</v>
      </c>
      <c r="O40" s="311">
        <v>8</v>
      </c>
      <c r="P40" s="311" t="s">
        <v>523</v>
      </c>
      <c r="Q40" s="313">
        <f>IF(OR(RESUMO!$J$10=BASE!$K$4,RESUMO!$J$10=BASE!$K$3),(Q44*9%),0%)</f>
        <v>1.8E-3</v>
      </c>
      <c r="U40" s="311" t="s">
        <v>524</v>
      </c>
      <c r="V40" s="322">
        <f>V39/V34</f>
        <v>4321898.0519937985</v>
      </c>
      <c r="X40" s="313">
        <v>3.7241395348837213E-2</v>
      </c>
      <c r="Z40" s="311" t="s">
        <v>525</v>
      </c>
      <c r="AE40" s="325"/>
      <c r="AP40" s="311" t="s">
        <v>526</v>
      </c>
      <c r="AQ40" s="312">
        <f>LOOKUP(AQ38,AQ3:AQ30,AR3:AR30)</f>
        <v>0.12</v>
      </c>
    </row>
    <row r="41" spans="1:43" hidden="1" x14ac:dyDescent="0.25">
      <c r="A41" s="311">
        <v>37</v>
      </c>
      <c r="B41" s="311" t="s">
        <v>191</v>
      </c>
      <c r="C41" s="332">
        <v>3059.2857270116233</v>
      </c>
      <c r="D41" s="310">
        <f t="shared" si="10"/>
        <v>3426.4000142530185</v>
      </c>
      <c r="E41" s="310">
        <f t="shared" si="0"/>
        <v>0.62298182077327613</v>
      </c>
      <c r="F41" s="310">
        <f t="shared" si="6"/>
        <v>15.574545519331902</v>
      </c>
      <c r="G41" s="310">
        <f t="shared" si="7"/>
        <v>15.6</v>
      </c>
      <c r="H41" s="319">
        <f t="shared" si="8"/>
        <v>17</v>
      </c>
      <c r="J41" s="320">
        <f t="shared" si="9"/>
        <v>3426.4000142530185</v>
      </c>
      <c r="O41" s="311">
        <v>9</v>
      </c>
      <c r="P41" s="311" t="s">
        <v>527</v>
      </c>
      <c r="Q41" s="313">
        <f>IF(OR(RESUMO!$M$10=BASE!$K$4,RESUMO!$M$10=BASE!$K$3),(Q44*9%),0%)</f>
        <v>1.8E-3</v>
      </c>
      <c r="V41" s="322"/>
      <c r="X41" s="313">
        <v>4.8448837209302334E-2</v>
      </c>
      <c r="Z41" s="311" t="s">
        <v>528</v>
      </c>
      <c r="AE41" s="325"/>
      <c r="AP41" s="311" t="s">
        <v>529</v>
      </c>
      <c r="AQ41" s="312">
        <f>(LOOKUP(AQ38,AQ3:AQ30,AU3:AU30)-AQ40)</f>
        <v>0.06</v>
      </c>
    </row>
    <row r="42" spans="1:43" hidden="1" x14ac:dyDescent="0.25">
      <c r="A42" s="311">
        <v>38</v>
      </c>
      <c r="B42" s="311" t="s">
        <v>192</v>
      </c>
      <c r="C42" s="332">
        <v>5005.7362228491947</v>
      </c>
      <c r="D42" s="310">
        <f t="shared" si="10"/>
        <v>5606.4245695910986</v>
      </c>
      <c r="E42" s="310">
        <f t="shared" si="0"/>
        <v>1.019349921743836</v>
      </c>
      <c r="F42" s="310">
        <f t="shared" si="6"/>
        <v>25.483748043595902</v>
      </c>
      <c r="G42" s="310">
        <f t="shared" si="7"/>
        <v>25.5</v>
      </c>
      <c r="H42" s="319">
        <f t="shared" si="8"/>
        <v>28</v>
      </c>
      <c r="J42" s="320">
        <f t="shared" si="9"/>
        <v>5606.4245695910986</v>
      </c>
      <c r="O42" s="311">
        <v>10</v>
      </c>
      <c r="P42" s="311" t="s">
        <v>530</v>
      </c>
      <c r="Q42" s="330">
        <f>IF(OR(RESUMO!$G$10=BASE!$K$4,RESUMO!$G$10=BASE!$K$3),(Q44*25%),0%)</f>
        <v>5.0000000000000001E-3</v>
      </c>
      <c r="U42" s="311" t="s">
        <v>531</v>
      </c>
      <c r="V42" s="333">
        <f>IF(V40&lt;=V30,1,(V40/V30))</f>
        <v>1.9644991145426356</v>
      </c>
      <c r="X42" s="313">
        <v>5.0900465116279076E-2</v>
      </c>
      <c r="Z42" s="311" t="s">
        <v>532</v>
      </c>
      <c r="AE42" s="325"/>
      <c r="AP42" s="311" t="s">
        <v>533</v>
      </c>
      <c r="AQ42" s="312">
        <f>IF(AQ38="SP",AQ40,IF(AQ37="CONTRIBUINTE",AQ40,AQ40))</f>
        <v>0.12</v>
      </c>
    </row>
    <row r="43" spans="1:43" hidden="1" x14ac:dyDescent="0.25">
      <c r="A43" s="311">
        <v>39</v>
      </c>
      <c r="B43" s="311" t="s">
        <v>193</v>
      </c>
      <c r="C43" s="332">
        <v>6006.8834674190339</v>
      </c>
      <c r="D43" s="310">
        <f t="shared" si="10"/>
        <v>6727.7094835093185</v>
      </c>
      <c r="E43" s="310">
        <f t="shared" si="0"/>
        <v>1.2232199060926032</v>
      </c>
      <c r="F43" s="310">
        <f t="shared" si="6"/>
        <v>30.580497652315085</v>
      </c>
      <c r="G43" s="310">
        <f t="shared" si="7"/>
        <v>30.6</v>
      </c>
      <c r="H43" s="319">
        <f t="shared" si="8"/>
        <v>34</v>
      </c>
      <c r="J43" s="320">
        <f t="shared" si="9"/>
        <v>6727.7094835093185</v>
      </c>
      <c r="O43" s="311">
        <v>11</v>
      </c>
      <c r="P43" s="311" t="s">
        <v>534</v>
      </c>
      <c r="Q43" s="313">
        <f>IF(OR(RESUMO!$G$10=BASE!$K$4,RESUMO!$G$10=BASE!$K$3),(Q44*9%),0%)</f>
        <v>1.8E-3</v>
      </c>
      <c r="U43" s="311" t="s">
        <v>535</v>
      </c>
      <c r="V43" s="333">
        <f>IF(V42&gt;=5,5,V42)</f>
        <v>1.9644991145426356</v>
      </c>
      <c r="X43" s="313">
        <v>5.0900465116279076E-2</v>
      </c>
      <c r="Z43" s="311" t="s">
        <v>536</v>
      </c>
      <c r="AE43" s="325"/>
      <c r="AP43" s="311" t="s">
        <v>537</v>
      </c>
      <c r="AQ43" s="312">
        <f>IF(AND(AQ37="NÃO",AQ38&lt;&gt;"SP"),AQ41,0%)</f>
        <v>0</v>
      </c>
    </row>
    <row r="44" spans="1:43" hidden="1" x14ac:dyDescent="0.25">
      <c r="A44" s="311">
        <v>40</v>
      </c>
      <c r="B44" s="311" t="s">
        <v>194</v>
      </c>
      <c r="C44" s="332">
        <v>8009.1779565587121</v>
      </c>
      <c r="D44" s="310">
        <f t="shared" si="10"/>
        <v>8970.2793113457592</v>
      </c>
      <c r="E44" s="310">
        <f t="shared" si="0"/>
        <v>1.6309598747901379</v>
      </c>
      <c r="F44" s="310">
        <f t="shared" si="6"/>
        <v>40.773996869753454</v>
      </c>
      <c r="G44" s="310">
        <f t="shared" si="7"/>
        <v>40.799999999999997</v>
      </c>
      <c r="H44" s="319">
        <f t="shared" si="8"/>
        <v>45</v>
      </c>
      <c r="J44" s="320">
        <f t="shared" si="9"/>
        <v>8970.2793113457592</v>
      </c>
      <c r="P44" s="311" t="s">
        <v>538</v>
      </c>
      <c r="Q44" s="334">
        <v>0.02</v>
      </c>
      <c r="X44" s="313">
        <v>6.3392093023255824E-2</v>
      </c>
      <c r="Z44" s="311" t="s">
        <v>539</v>
      </c>
      <c r="AE44" s="325"/>
    </row>
    <row r="45" spans="1:43" hidden="1" x14ac:dyDescent="0.25">
      <c r="A45" s="311">
        <v>41</v>
      </c>
      <c r="B45" s="311" t="s">
        <v>195</v>
      </c>
      <c r="C45" s="332">
        <v>5005.7362228491947</v>
      </c>
      <c r="D45" s="310">
        <f t="shared" si="10"/>
        <v>5606.4245695910986</v>
      </c>
      <c r="E45" s="310">
        <f t="shared" si="0"/>
        <v>1.019349921743836</v>
      </c>
      <c r="F45" s="310">
        <f t="shared" si="6"/>
        <v>25.483748043595902</v>
      </c>
      <c r="G45" s="310">
        <f t="shared" si="7"/>
        <v>25.5</v>
      </c>
      <c r="H45" s="319">
        <f t="shared" si="8"/>
        <v>28</v>
      </c>
      <c r="J45" s="320">
        <f t="shared" si="9"/>
        <v>5606.4245695910986</v>
      </c>
      <c r="X45" s="313">
        <v>6.3392093023255824E-2</v>
      </c>
      <c r="Z45" s="311" t="s">
        <v>540</v>
      </c>
      <c r="AE45" s="325"/>
    </row>
    <row r="46" spans="1:43" hidden="1" x14ac:dyDescent="0.25">
      <c r="A46" s="311">
        <v>42</v>
      </c>
      <c r="B46" s="311" t="s">
        <v>196</v>
      </c>
      <c r="C46" s="332">
        <v>5406.19512067713</v>
      </c>
      <c r="D46" s="310">
        <f t="shared" si="10"/>
        <v>6054.938535158386</v>
      </c>
      <c r="E46" s="310">
        <f t="shared" si="0"/>
        <v>1.1008979154833429</v>
      </c>
      <c r="F46" s="310">
        <f t="shared" si="6"/>
        <v>27.522447887083572</v>
      </c>
      <c r="G46" s="310">
        <f t="shared" si="7"/>
        <v>27.5</v>
      </c>
      <c r="H46" s="319">
        <f t="shared" si="8"/>
        <v>30</v>
      </c>
      <c r="J46" s="320">
        <f t="shared" si="9"/>
        <v>6054.938535158386</v>
      </c>
      <c r="V46" s="313"/>
      <c r="X46" s="313">
        <v>7.7284651162790707E-2</v>
      </c>
      <c r="Z46" s="311" t="s">
        <v>541</v>
      </c>
      <c r="AB46" s="313"/>
      <c r="AE46" s="325"/>
    </row>
    <row r="47" spans="1:43" hidden="1" x14ac:dyDescent="0.25">
      <c r="A47" s="311">
        <v>43</v>
      </c>
      <c r="B47" s="311" t="s">
        <v>199</v>
      </c>
      <c r="C47" s="332">
        <v>5806.6540185050653</v>
      </c>
      <c r="D47" s="310">
        <f t="shared" si="10"/>
        <v>6503.4525007256734</v>
      </c>
      <c r="E47" s="310">
        <f t="shared" si="0"/>
        <v>1.1824459092228496</v>
      </c>
      <c r="F47" s="310">
        <f t="shared" si="6"/>
        <v>29.561147730571243</v>
      </c>
      <c r="G47" s="310">
        <f t="shared" si="7"/>
        <v>29.6</v>
      </c>
      <c r="H47" s="319">
        <f t="shared" si="8"/>
        <v>33</v>
      </c>
      <c r="J47" s="320">
        <f t="shared" si="9"/>
        <v>6503.4525007256734</v>
      </c>
      <c r="U47" s="756" t="s">
        <v>542</v>
      </c>
      <c r="V47" s="756"/>
      <c r="W47" s="311" t="s">
        <v>543</v>
      </c>
    </row>
    <row r="48" spans="1:43" hidden="1" x14ac:dyDescent="0.25">
      <c r="A48" s="311">
        <v>44</v>
      </c>
      <c r="B48" s="311" t="s">
        <v>200</v>
      </c>
      <c r="C48" s="332">
        <v>6207.1129163330015</v>
      </c>
      <c r="D48" s="310">
        <f t="shared" si="10"/>
        <v>6951.9664662929627</v>
      </c>
      <c r="E48" s="310">
        <f t="shared" si="0"/>
        <v>1.2639939029623568</v>
      </c>
      <c r="F48" s="310">
        <f t="shared" si="6"/>
        <v>31.59984757405892</v>
      </c>
      <c r="G48" s="310">
        <f t="shared" si="7"/>
        <v>31.6</v>
      </c>
      <c r="H48" s="319">
        <f t="shared" si="8"/>
        <v>35</v>
      </c>
      <c r="J48" s="320">
        <f t="shared" si="9"/>
        <v>6951.9664662929627</v>
      </c>
      <c r="U48" s="311" t="s">
        <v>155</v>
      </c>
      <c r="V48" s="313">
        <f>SUM(BASE!$Q$31,BASE!$Q$36,Q37,Q39,Q41)</f>
        <v>0.2029013605246687</v>
      </c>
      <c r="W48" s="313">
        <f>100%-V48</f>
        <v>0.79709863947533133</v>
      </c>
    </row>
    <row r="49" spans="1:23" hidden="1" x14ac:dyDescent="0.25">
      <c r="A49" s="311">
        <v>45</v>
      </c>
      <c r="B49" s="311" t="s">
        <v>201</v>
      </c>
      <c r="C49" s="332">
        <v>6607.5718141609368</v>
      </c>
      <c r="D49" s="310">
        <f t="shared" si="10"/>
        <v>7400.4804318602501</v>
      </c>
      <c r="E49" s="310">
        <f t="shared" si="0"/>
        <v>1.3455418967018635</v>
      </c>
      <c r="F49" s="310">
        <f t="shared" si="6"/>
        <v>33.63854741754659</v>
      </c>
      <c r="G49" s="310">
        <f t="shared" si="7"/>
        <v>33.6</v>
      </c>
      <c r="H49" s="319">
        <f t="shared" si="8"/>
        <v>37</v>
      </c>
      <c r="J49" s="320">
        <f t="shared" si="9"/>
        <v>7400.4804318602501</v>
      </c>
      <c r="U49" s="311" t="s">
        <v>422</v>
      </c>
      <c r="V49" s="313">
        <f>SUM(BASE!$Q$31,,Q37,Q39,Q41)</f>
        <v>0.10290136052466869</v>
      </c>
      <c r="W49" s="313">
        <f>100%-V49</f>
        <v>0.89709863947533131</v>
      </c>
    </row>
    <row r="50" spans="1:23" hidden="1" x14ac:dyDescent="0.25">
      <c r="A50" s="311">
        <v>46</v>
      </c>
      <c r="B50" s="311" t="s">
        <v>202</v>
      </c>
      <c r="C50" s="332">
        <v>4405.0478761072909</v>
      </c>
      <c r="D50" s="310">
        <f t="shared" si="10"/>
        <v>4933.6536212401661</v>
      </c>
      <c r="E50" s="310">
        <f t="shared" si="0"/>
        <v>0.89702793113457568</v>
      </c>
      <c r="F50" s="310">
        <f t="shared" si="6"/>
        <v>22.42569827836439</v>
      </c>
      <c r="G50" s="310">
        <f t="shared" si="7"/>
        <v>22.4</v>
      </c>
      <c r="H50" s="319">
        <f t="shared" si="8"/>
        <v>25</v>
      </c>
      <c r="J50" s="320">
        <f t="shared" si="9"/>
        <v>4933.6536212401661</v>
      </c>
      <c r="U50" s="311" t="s">
        <v>428</v>
      </c>
      <c r="V50" s="313">
        <f>SUM(Q37,Q39,Q41,AQ43,2%)</f>
        <v>3.6799999999999999E-2</v>
      </c>
      <c r="W50" s="313">
        <f>100%-V50</f>
        <v>0.96320000000000006</v>
      </c>
    </row>
    <row r="51" spans="1:23" hidden="1" x14ac:dyDescent="0.25">
      <c r="A51" s="311">
        <v>47</v>
      </c>
      <c r="B51" s="311" t="s">
        <v>203</v>
      </c>
      <c r="C51" s="332">
        <v>5035.7706401862897</v>
      </c>
      <c r="D51" s="310">
        <f t="shared" si="10"/>
        <v>5640.0631170086453</v>
      </c>
      <c r="E51" s="310">
        <f t="shared" si="0"/>
        <v>1.0254660212742992</v>
      </c>
      <c r="F51" s="310">
        <f t="shared" si="6"/>
        <v>25.63665053185748</v>
      </c>
      <c r="G51" s="310">
        <f t="shared" si="7"/>
        <v>25.6</v>
      </c>
      <c r="H51" s="319">
        <f t="shared" si="8"/>
        <v>28</v>
      </c>
      <c r="J51" s="320">
        <f t="shared" si="9"/>
        <v>5640.0631170086453</v>
      </c>
    </row>
    <row r="52" spans="1:23" hidden="1" x14ac:dyDescent="0.25">
      <c r="A52" s="311">
        <v>48</v>
      </c>
      <c r="B52" s="311" t="s">
        <v>204</v>
      </c>
      <c r="C52" s="332">
        <v>5666.4934042652885</v>
      </c>
      <c r="D52" s="310">
        <f t="shared" si="10"/>
        <v>6346.4726127771237</v>
      </c>
      <c r="E52" s="310">
        <f t="shared" si="0"/>
        <v>1.1539041114140225</v>
      </c>
      <c r="F52" s="310">
        <f t="shared" si="6"/>
        <v>28.847602785350563</v>
      </c>
      <c r="G52" s="310">
        <f t="shared" si="7"/>
        <v>28.8</v>
      </c>
      <c r="H52" s="319">
        <f t="shared" si="8"/>
        <v>32</v>
      </c>
      <c r="J52" s="320">
        <f t="shared" si="9"/>
        <v>6346.4726127771237</v>
      </c>
    </row>
    <row r="53" spans="1:23" hidden="1" x14ac:dyDescent="0.25">
      <c r="A53" s="311">
        <v>49</v>
      </c>
      <c r="B53" s="311" t="s">
        <v>205</v>
      </c>
      <c r="C53" s="332">
        <v>6297.2161683442873</v>
      </c>
      <c r="D53" s="310">
        <f t="shared" si="10"/>
        <v>7052.882108545602</v>
      </c>
      <c r="E53" s="310">
        <f t="shared" si="0"/>
        <v>1.2823422015537458</v>
      </c>
      <c r="F53" s="310">
        <f t="shared" si="6"/>
        <v>32.058555038843643</v>
      </c>
      <c r="G53" s="310">
        <f t="shared" si="7"/>
        <v>32.1</v>
      </c>
      <c r="H53" s="319">
        <f t="shared" si="8"/>
        <v>35</v>
      </c>
      <c r="J53" s="320">
        <f t="shared" si="9"/>
        <v>7052.882108545602</v>
      </c>
      <c r="U53" s="756" t="s">
        <v>544</v>
      </c>
      <c r="V53" s="756"/>
      <c r="W53" s="311" t="s">
        <v>543</v>
      </c>
    </row>
    <row r="54" spans="1:23" hidden="1" x14ac:dyDescent="0.25">
      <c r="A54" s="311">
        <v>50</v>
      </c>
      <c r="B54" s="311" t="s">
        <v>206</v>
      </c>
      <c r="C54" s="332">
        <v>6927.9389324232852</v>
      </c>
      <c r="D54" s="310">
        <f t="shared" si="10"/>
        <v>7759.2916043140804</v>
      </c>
      <c r="E54" s="310">
        <f t="shared" si="0"/>
        <v>1.4107802916934691</v>
      </c>
      <c r="F54" s="310">
        <f t="shared" si="6"/>
        <v>35.269507292336726</v>
      </c>
      <c r="G54" s="310">
        <f t="shared" si="7"/>
        <v>35.299999999999997</v>
      </c>
      <c r="H54" s="319">
        <f t="shared" si="8"/>
        <v>39</v>
      </c>
      <c r="J54" s="320">
        <f t="shared" si="9"/>
        <v>7759.2916043140804</v>
      </c>
      <c r="P54" s="311" t="s">
        <v>545</v>
      </c>
      <c r="Q54" s="313">
        <f>Q31+Q34+Q35+Q37+Q38+Q40</f>
        <v>0.2029013605246687</v>
      </c>
      <c r="U54" s="311" t="s">
        <v>155</v>
      </c>
      <c r="V54" s="313">
        <f>SUM(BASE!$Q$34:$Q$35,BASE!$Q$37,Q38,Q40,Q32)</f>
        <v>0.2029013605246687</v>
      </c>
      <c r="W54" s="313">
        <f>100%-V54</f>
        <v>0.79709863947533133</v>
      </c>
    </row>
    <row r="55" spans="1:23" hidden="1" x14ac:dyDescent="0.25">
      <c r="A55" s="311">
        <v>51</v>
      </c>
      <c r="B55" s="311" t="s">
        <v>207</v>
      </c>
      <c r="C55" s="332">
        <v>9010.3252011285476</v>
      </c>
      <c r="D55" s="310">
        <f t="shared" si="10"/>
        <v>10091.564225263974</v>
      </c>
      <c r="E55" s="310">
        <f t="shared" si="0"/>
        <v>1.8348298591389045</v>
      </c>
      <c r="F55" s="310">
        <f t="shared" si="6"/>
        <v>45.870746478472604</v>
      </c>
      <c r="G55" s="310">
        <f t="shared" si="7"/>
        <v>45.9</v>
      </c>
      <c r="H55" s="319">
        <f t="shared" si="8"/>
        <v>50</v>
      </c>
      <c r="J55" s="320">
        <f t="shared" si="9"/>
        <v>10091.564225263974</v>
      </c>
      <c r="P55" s="311" t="s">
        <v>379</v>
      </c>
      <c r="Q55" s="313">
        <f>Q31+Q34+Q36+Q37+Q39+Q41+AQ43</f>
        <v>0.2029013605246687</v>
      </c>
      <c r="U55" s="311" t="s">
        <v>422</v>
      </c>
      <c r="V55" s="313">
        <f>SUM(Q32,Q37,Q34,Q38,Q40)</f>
        <v>0.10290136052466869</v>
      </c>
      <c r="W55" s="313">
        <f>100%-V55</f>
        <v>0.89709863947533131</v>
      </c>
    </row>
    <row r="56" spans="1:23" hidden="1" x14ac:dyDescent="0.25">
      <c r="A56" s="311">
        <v>52</v>
      </c>
      <c r="B56" s="311" t="s">
        <v>208</v>
      </c>
      <c r="C56" s="332">
        <v>10782.355824017166</v>
      </c>
      <c r="D56" s="310">
        <f t="shared" si="10"/>
        <v>12076.238522899228</v>
      </c>
      <c r="E56" s="310">
        <f t="shared" si="0"/>
        <v>2.1956797314362233</v>
      </c>
      <c r="F56" s="310">
        <f t="shared" si="6"/>
        <v>54.891993285905585</v>
      </c>
      <c r="G56" s="310">
        <f t="shared" si="7"/>
        <v>54.9</v>
      </c>
      <c r="H56" s="319">
        <f t="shared" si="8"/>
        <v>60</v>
      </c>
      <c r="J56" s="320">
        <f t="shared" si="9"/>
        <v>12076.238522899228</v>
      </c>
      <c r="U56" s="311" t="s">
        <v>428</v>
      </c>
      <c r="V56" s="313">
        <f>SUM(BASE!$Q$34,BASE!$Q$37,Q38,Q40)</f>
        <v>1.6799999999999999E-2</v>
      </c>
      <c r="W56" s="313">
        <f>100%-V56</f>
        <v>0.98319999999999996</v>
      </c>
    </row>
    <row r="57" spans="1:23" hidden="1" x14ac:dyDescent="0.25">
      <c r="A57" s="311">
        <v>53</v>
      </c>
      <c r="B57" s="311" t="s">
        <v>209</v>
      </c>
      <c r="C57" s="332">
        <v>13091.925505913277</v>
      </c>
      <c r="D57" s="310">
        <f t="shared" si="10"/>
        <v>14662.956566622872</v>
      </c>
      <c r="E57" s="310">
        <f t="shared" si="0"/>
        <v>2.6659921030223406</v>
      </c>
      <c r="F57" s="310">
        <f t="shared" si="6"/>
        <v>66.64980257555851</v>
      </c>
      <c r="G57" s="310">
        <f t="shared" si="7"/>
        <v>66.599999999999994</v>
      </c>
      <c r="H57" s="319">
        <f t="shared" si="8"/>
        <v>73</v>
      </c>
      <c r="J57" s="320">
        <f t="shared" si="9"/>
        <v>14662.956566622872</v>
      </c>
    </row>
    <row r="58" spans="1:23" hidden="1" x14ac:dyDescent="0.25">
      <c r="A58" s="311">
        <v>54</v>
      </c>
      <c r="B58" s="311" t="s">
        <v>210</v>
      </c>
      <c r="C58" s="332">
        <v>13815.831975063778</v>
      </c>
      <c r="D58" s="310">
        <f t="shared" si="10"/>
        <v>15473.731812071434</v>
      </c>
      <c r="E58" s="310">
        <f t="shared" si="0"/>
        <v>2.8134057840129882</v>
      </c>
      <c r="F58" s="310">
        <f t="shared" si="6"/>
        <v>70.335144600324696</v>
      </c>
      <c r="G58" s="310">
        <f t="shared" si="7"/>
        <v>70.3</v>
      </c>
      <c r="H58" s="319">
        <f t="shared" si="8"/>
        <v>77</v>
      </c>
      <c r="J58" s="320">
        <f t="shared" si="9"/>
        <v>15473.731812071434</v>
      </c>
      <c r="U58" s="313"/>
    </row>
    <row r="59" spans="1:23" hidden="1" x14ac:dyDescent="0.25">
      <c r="A59" s="311">
        <v>55</v>
      </c>
      <c r="B59" s="311" t="s">
        <v>211</v>
      </c>
      <c r="C59" s="332">
        <v>15017.208668547586</v>
      </c>
      <c r="D59" s="310">
        <f t="shared" si="10"/>
        <v>16819.273708773297</v>
      </c>
      <c r="E59" s="310">
        <f t="shared" si="0"/>
        <v>3.0580497652315088</v>
      </c>
      <c r="F59" s="310">
        <f t="shared" si="6"/>
        <v>76.451244130787714</v>
      </c>
      <c r="G59" s="310">
        <f t="shared" si="7"/>
        <v>76.5</v>
      </c>
      <c r="H59" s="319">
        <f t="shared" si="8"/>
        <v>84</v>
      </c>
      <c r="J59" s="320">
        <f t="shared" si="9"/>
        <v>16819.273708773297</v>
      </c>
      <c r="U59" s="756" t="s">
        <v>546</v>
      </c>
      <c r="V59" s="756"/>
      <c r="W59" s="311" t="s">
        <v>543</v>
      </c>
    </row>
    <row r="60" spans="1:23" hidden="1" x14ac:dyDescent="0.25">
      <c r="A60" s="311">
        <v>56</v>
      </c>
      <c r="B60" s="311" t="s">
        <v>212</v>
      </c>
      <c r="C60" s="332">
        <v>4405.0478761072909</v>
      </c>
      <c r="D60" s="310">
        <f t="shared" si="10"/>
        <v>4933.6536212401661</v>
      </c>
      <c r="E60" s="310">
        <f t="shared" si="0"/>
        <v>0.89702793113457568</v>
      </c>
      <c r="F60" s="310">
        <f t="shared" si="6"/>
        <v>22.42569827836439</v>
      </c>
      <c r="G60" s="310">
        <f t="shared" si="7"/>
        <v>22.4</v>
      </c>
      <c r="H60" s="319">
        <f t="shared" si="8"/>
        <v>25</v>
      </c>
      <c r="J60" s="320">
        <f t="shared" si="9"/>
        <v>4933.6536212401661</v>
      </c>
      <c r="U60" s="311" t="s">
        <v>155</v>
      </c>
      <c r="V60" s="313">
        <f>SUM(BASE!$Q$33:$Q$35,BASE!$Q$37,Q42,Q43)</f>
        <v>0.33016026237365415</v>
      </c>
      <c r="W60" s="313">
        <f>100%-V60</f>
        <v>0.66983973762634585</v>
      </c>
    </row>
    <row r="61" spans="1:23" hidden="1" x14ac:dyDescent="0.25">
      <c r="A61" s="311">
        <v>57</v>
      </c>
      <c r="B61" s="311" t="s">
        <v>213</v>
      </c>
      <c r="C61" s="332">
        <v>5082.7444689015065</v>
      </c>
      <c r="D61" s="310">
        <f t="shared" si="10"/>
        <v>5692.6738051696875</v>
      </c>
      <c r="E61" s="310">
        <f t="shared" si="0"/>
        <v>1.0350316009399432</v>
      </c>
      <c r="F61" s="310">
        <f t="shared" si="6"/>
        <v>25.875790023498581</v>
      </c>
      <c r="G61" s="310">
        <f t="shared" si="7"/>
        <v>25.9</v>
      </c>
      <c r="H61" s="319">
        <f t="shared" si="8"/>
        <v>28</v>
      </c>
      <c r="J61" s="320">
        <f t="shared" si="9"/>
        <v>5692.6738051696875</v>
      </c>
      <c r="U61" s="311" t="s">
        <v>422</v>
      </c>
      <c r="V61" s="313">
        <f>SUM(BASE!$Q$33:$Q$34,BASE!$Q$37,Q42,Q43)</f>
        <v>0.23016026237365414</v>
      </c>
      <c r="W61" s="313">
        <f>100%-V61</f>
        <v>0.76983973762634583</v>
      </c>
    </row>
    <row r="62" spans="1:23" hidden="1" x14ac:dyDescent="0.25">
      <c r="A62" s="311">
        <v>58</v>
      </c>
      <c r="B62" s="311" t="s">
        <v>214</v>
      </c>
      <c r="C62" s="332">
        <v>5760.441061695723</v>
      </c>
      <c r="D62" s="310">
        <f t="shared" si="10"/>
        <v>6451.6939890992107</v>
      </c>
      <c r="E62" s="310">
        <f t="shared" si="0"/>
        <v>1.1730352707453111</v>
      </c>
      <c r="F62" s="310">
        <f t="shared" si="6"/>
        <v>29.325881768632776</v>
      </c>
      <c r="G62" s="310">
        <f t="shared" si="7"/>
        <v>29.3</v>
      </c>
      <c r="H62" s="319">
        <f t="shared" si="8"/>
        <v>32</v>
      </c>
      <c r="J62" s="320">
        <f t="shared" si="9"/>
        <v>6451.6939890992107</v>
      </c>
      <c r="U62" s="311" t="s">
        <v>428</v>
      </c>
      <c r="V62" s="313">
        <f>SUM(BASE!$Q$34,BASE!$Q$37,Q42,Q43)</f>
        <v>1.6799999999999999E-2</v>
      </c>
      <c r="W62" s="313">
        <f>100%-V62</f>
        <v>0.98319999999999996</v>
      </c>
    </row>
    <row r="63" spans="1:23" hidden="1" x14ac:dyDescent="0.25">
      <c r="A63" s="311">
        <v>59</v>
      </c>
      <c r="B63" s="311" t="s">
        <v>215</v>
      </c>
      <c r="C63" s="332">
        <v>6438.1376544899385</v>
      </c>
      <c r="D63" s="310">
        <f t="shared" si="10"/>
        <v>7210.7141730287321</v>
      </c>
      <c r="E63" s="310">
        <f t="shared" si="0"/>
        <v>1.3110389405506786</v>
      </c>
      <c r="F63" s="310">
        <f t="shared" si="6"/>
        <v>32.775973513766964</v>
      </c>
      <c r="G63" s="310">
        <f t="shared" si="7"/>
        <v>32.799999999999997</v>
      </c>
      <c r="H63" s="319">
        <f t="shared" si="8"/>
        <v>36</v>
      </c>
      <c r="J63" s="320">
        <f t="shared" si="9"/>
        <v>7210.7141730287321</v>
      </c>
    </row>
    <row r="64" spans="1:23" hidden="1" x14ac:dyDescent="0.25">
      <c r="A64" s="311">
        <v>60</v>
      </c>
      <c r="B64" s="311" t="s">
        <v>216</v>
      </c>
      <c r="C64" s="332">
        <v>6777.005973831936</v>
      </c>
      <c r="D64" s="310">
        <f t="shared" si="10"/>
        <v>7590.2466906917689</v>
      </c>
      <c r="E64" s="310">
        <f t="shared" si="0"/>
        <v>1.3800448528530489</v>
      </c>
      <c r="F64" s="310">
        <f t="shared" si="6"/>
        <v>34.501121321326224</v>
      </c>
      <c r="G64" s="310">
        <f t="shared" si="7"/>
        <v>34.5</v>
      </c>
      <c r="H64" s="319">
        <f t="shared" si="8"/>
        <v>38</v>
      </c>
      <c r="J64" s="320">
        <f t="shared" si="9"/>
        <v>7590.2466906917689</v>
      </c>
    </row>
    <row r="65" spans="1:10" hidden="1" x14ac:dyDescent="0.25">
      <c r="A65" s="311">
        <v>61</v>
      </c>
      <c r="B65" s="311" t="s">
        <v>217</v>
      </c>
      <c r="C65" s="332">
        <v>4743.8961725043991</v>
      </c>
      <c r="D65" s="310">
        <f t="shared" si="10"/>
        <v>5313.1637132049273</v>
      </c>
      <c r="E65" s="310">
        <f t="shared" si="0"/>
        <v>0.96602976603725943</v>
      </c>
      <c r="F65" s="310">
        <f t="shared" si="6"/>
        <v>24.150744150931487</v>
      </c>
      <c r="G65" s="310">
        <f t="shared" si="7"/>
        <v>24.2</v>
      </c>
      <c r="H65" s="319">
        <f t="shared" si="8"/>
        <v>27</v>
      </c>
      <c r="J65" s="320">
        <f t="shared" si="9"/>
        <v>5313.1637132049273</v>
      </c>
    </row>
    <row r="66" spans="1:10" hidden="1" x14ac:dyDescent="0.25">
      <c r="A66" s="311">
        <v>62</v>
      </c>
      <c r="B66" s="311" t="s">
        <v>218</v>
      </c>
      <c r="C66" s="332">
        <v>5421.5927652986156</v>
      </c>
      <c r="D66" s="310">
        <f t="shared" si="10"/>
        <v>6072.1838971344505</v>
      </c>
      <c r="E66" s="310">
        <f t="shared" si="0"/>
        <v>1.1040334358426274</v>
      </c>
      <c r="F66" s="310">
        <f t="shared" si="6"/>
        <v>27.600835896065686</v>
      </c>
      <c r="G66" s="310">
        <f t="shared" si="7"/>
        <v>27.6</v>
      </c>
      <c r="H66" s="319">
        <f t="shared" si="8"/>
        <v>30</v>
      </c>
      <c r="J66" s="320">
        <f t="shared" si="9"/>
        <v>6072.1838971344505</v>
      </c>
    </row>
    <row r="67" spans="1:10" hidden="1" x14ac:dyDescent="0.25">
      <c r="A67" s="311">
        <v>63</v>
      </c>
      <c r="B67" s="311" t="s">
        <v>219</v>
      </c>
      <c r="C67" s="332">
        <v>6099.2893580928294</v>
      </c>
      <c r="D67" s="310">
        <f t="shared" si="10"/>
        <v>6831.2040810639692</v>
      </c>
      <c r="E67" s="310">
        <f t="shared" si="0"/>
        <v>1.2420371056479944</v>
      </c>
      <c r="F67" s="310">
        <f t="shared" si="6"/>
        <v>31.050927641199859</v>
      </c>
      <c r="G67" s="310">
        <f t="shared" si="7"/>
        <v>31.1</v>
      </c>
      <c r="H67" s="319">
        <f t="shared" si="8"/>
        <v>34</v>
      </c>
      <c r="J67" s="320">
        <f t="shared" si="9"/>
        <v>6831.2040810639692</v>
      </c>
    </row>
    <row r="68" spans="1:10" hidden="1" x14ac:dyDescent="0.25">
      <c r="A68" s="311">
        <v>64</v>
      </c>
      <c r="B68" s="311" t="s">
        <v>220</v>
      </c>
      <c r="C68" s="332">
        <v>6777.005973831936</v>
      </c>
      <c r="D68" s="310">
        <f t="shared" si="10"/>
        <v>7590.2466906917689</v>
      </c>
      <c r="E68" s="310">
        <f t="shared" ref="E68:E125" si="11">(D68*4%)/$D$1</f>
        <v>1.3800448528530489</v>
      </c>
      <c r="F68" s="310">
        <f t="shared" si="6"/>
        <v>34.501121321326224</v>
      </c>
      <c r="G68" s="310">
        <f t="shared" si="7"/>
        <v>34.5</v>
      </c>
      <c r="H68" s="319">
        <f t="shared" si="8"/>
        <v>38</v>
      </c>
      <c r="J68" s="320">
        <f t="shared" si="9"/>
        <v>7590.2466906917689</v>
      </c>
    </row>
    <row r="69" spans="1:10" hidden="1" x14ac:dyDescent="0.25">
      <c r="A69" s="311">
        <v>65</v>
      </c>
      <c r="B69" s="311" t="s">
        <v>221</v>
      </c>
      <c r="C69" s="332">
        <v>7454.7025666261507</v>
      </c>
      <c r="D69" s="310">
        <f t="shared" ref="D69:D100" si="12">C69*1.12</f>
        <v>8349.2668746212894</v>
      </c>
      <c r="E69" s="310">
        <f t="shared" si="11"/>
        <v>1.5180485226584164</v>
      </c>
      <c r="F69" s="310">
        <f t="shared" si="6"/>
        <v>37.951213066460404</v>
      </c>
      <c r="G69" s="310">
        <f t="shared" si="7"/>
        <v>38</v>
      </c>
      <c r="H69" s="319">
        <f t="shared" si="8"/>
        <v>42</v>
      </c>
      <c r="J69" s="320">
        <f t="shared" si="9"/>
        <v>8349.2668746212894</v>
      </c>
    </row>
    <row r="70" spans="1:10" hidden="1" x14ac:dyDescent="0.25">
      <c r="A70" s="311">
        <v>66</v>
      </c>
      <c r="B70" s="311" t="s">
        <v>222</v>
      </c>
      <c r="C70" s="332">
        <v>3059.2857270116233</v>
      </c>
      <c r="D70" s="310">
        <f t="shared" si="12"/>
        <v>3426.4000142530185</v>
      </c>
      <c r="E70" s="310">
        <f t="shared" si="11"/>
        <v>0.62298182077327613</v>
      </c>
      <c r="F70" s="310">
        <f t="shared" ref="F70:F125" si="13">D70/$D$1</f>
        <v>15.574545519331902</v>
      </c>
      <c r="G70" s="310">
        <f t="shared" ref="G70:G125" si="14">ROUND(F70,1)</f>
        <v>15.6</v>
      </c>
      <c r="H70" s="319">
        <f t="shared" ref="H70:H125" si="15">ROUND(G70*1.1,0)</f>
        <v>17</v>
      </c>
      <c r="J70" s="320">
        <f t="shared" ref="J70:J125" si="16">D70*(1+$J$3)</f>
        <v>3426.4000142530185</v>
      </c>
    </row>
    <row r="71" spans="1:10" hidden="1" x14ac:dyDescent="0.25">
      <c r="A71" s="311">
        <v>67</v>
      </c>
      <c r="B71" s="311" t="s">
        <v>223</v>
      </c>
      <c r="C71" s="332">
        <v>21563.171421504227</v>
      </c>
      <c r="D71" s="310">
        <f t="shared" si="12"/>
        <v>24150.751992084737</v>
      </c>
      <c r="E71" s="310">
        <f t="shared" si="11"/>
        <v>4.3910458167426798</v>
      </c>
      <c r="F71" s="310">
        <f t="shared" si="13"/>
        <v>109.77614541856698</v>
      </c>
      <c r="G71" s="310">
        <f t="shared" si="14"/>
        <v>109.8</v>
      </c>
      <c r="H71" s="319">
        <f t="shared" si="15"/>
        <v>121</v>
      </c>
      <c r="J71" s="320">
        <f t="shared" si="16"/>
        <v>24150.751992084737</v>
      </c>
    </row>
    <row r="72" spans="1:10" hidden="1" x14ac:dyDescent="0.25">
      <c r="A72" s="311">
        <v>68</v>
      </c>
      <c r="B72" s="311" t="s">
        <v>224</v>
      </c>
      <c r="C72" s="332">
        <v>12321.812240859557</v>
      </c>
      <c r="D72" s="310">
        <f t="shared" si="12"/>
        <v>13800.429709762706</v>
      </c>
      <c r="E72" s="310">
        <f t="shared" si="11"/>
        <v>2.509169038138674</v>
      </c>
      <c r="F72" s="310">
        <f t="shared" si="13"/>
        <v>62.729225953466845</v>
      </c>
      <c r="G72" s="310">
        <f t="shared" si="14"/>
        <v>62.7</v>
      </c>
      <c r="H72" s="319">
        <f t="shared" si="15"/>
        <v>69</v>
      </c>
      <c r="J72" s="320">
        <f t="shared" si="16"/>
        <v>13800.429709762706</v>
      </c>
    </row>
    <row r="73" spans="1:10" hidden="1" x14ac:dyDescent="0.25">
      <c r="A73" s="311">
        <v>69</v>
      </c>
      <c r="B73" s="311" t="s">
        <v>225</v>
      </c>
      <c r="C73" s="332">
        <v>5005.7362228491947</v>
      </c>
      <c r="D73" s="310">
        <f t="shared" si="12"/>
        <v>5606.4245695910986</v>
      </c>
      <c r="E73" s="310">
        <f t="shared" si="11"/>
        <v>1.019349921743836</v>
      </c>
      <c r="F73" s="310">
        <f t="shared" si="13"/>
        <v>25.483748043595902</v>
      </c>
      <c r="G73" s="310">
        <f t="shared" si="14"/>
        <v>25.5</v>
      </c>
      <c r="H73" s="319">
        <f t="shared" si="15"/>
        <v>28</v>
      </c>
      <c r="J73" s="320">
        <f t="shared" si="16"/>
        <v>5606.4245695910986</v>
      </c>
    </row>
    <row r="74" spans="1:10" hidden="1" x14ac:dyDescent="0.25">
      <c r="A74" s="311">
        <v>70</v>
      </c>
      <c r="B74" s="311" t="s">
        <v>226</v>
      </c>
      <c r="C74" s="332">
        <v>5606.4245695910986</v>
      </c>
      <c r="D74" s="310">
        <f t="shared" si="12"/>
        <v>6279.1955179420311</v>
      </c>
      <c r="E74" s="310">
        <f t="shared" si="11"/>
        <v>1.1416719123530965</v>
      </c>
      <c r="F74" s="310">
        <f t="shared" si="13"/>
        <v>28.541797808827415</v>
      </c>
      <c r="G74" s="310">
        <f t="shared" si="14"/>
        <v>28.5</v>
      </c>
      <c r="H74" s="319">
        <f t="shared" si="15"/>
        <v>31</v>
      </c>
      <c r="J74" s="320">
        <f t="shared" si="16"/>
        <v>6279.1955179420311</v>
      </c>
    </row>
    <row r="75" spans="1:10" hidden="1" x14ac:dyDescent="0.25">
      <c r="A75" s="311">
        <v>71</v>
      </c>
      <c r="B75" s="311" t="s">
        <v>227</v>
      </c>
      <c r="C75" s="332">
        <v>6207.1129163330015</v>
      </c>
      <c r="D75" s="310">
        <f t="shared" si="12"/>
        <v>6951.9664662929627</v>
      </c>
      <c r="E75" s="310">
        <f t="shared" si="11"/>
        <v>1.2639939029623568</v>
      </c>
      <c r="F75" s="310">
        <f t="shared" si="13"/>
        <v>31.59984757405892</v>
      </c>
      <c r="G75" s="310">
        <f t="shared" si="14"/>
        <v>31.6</v>
      </c>
      <c r="H75" s="319">
        <f t="shared" si="15"/>
        <v>35</v>
      </c>
      <c r="J75" s="320">
        <f t="shared" si="16"/>
        <v>6951.9664662929627</v>
      </c>
    </row>
    <row r="76" spans="1:10" hidden="1" x14ac:dyDescent="0.25">
      <c r="A76" s="311">
        <v>72</v>
      </c>
      <c r="B76" s="311" t="s">
        <v>228</v>
      </c>
      <c r="C76" s="332">
        <v>6807.8012630749054</v>
      </c>
      <c r="D76" s="310">
        <f t="shared" si="12"/>
        <v>7624.7374146438951</v>
      </c>
      <c r="E76" s="310">
        <f t="shared" si="11"/>
        <v>1.3863158935716173</v>
      </c>
      <c r="F76" s="310">
        <f t="shared" si="13"/>
        <v>34.657897339290436</v>
      </c>
      <c r="G76" s="310">
        <f t="shared" si="14"/>
        <v>34.700000000000003</v>
      </c>
      <c r="H76" s="319">
        <f t="shared" si="15"/>
        <v>38</v>
      </c>
      <c r="J76" s="320">
        <f t="shared" si="16"/>
        <v>7624.7374146438951</v>
      </c>
    </row>
    <row r="77" spans="1:10" hidden="1" x14ac:dyDescent="0.25">
      <c r="A77" s="311">
        <v>73</v>
      </c>
      <c r="B77" s="311" t="s">
        <v>229</v>
      </c>
      <c r="C77" s="332">
        <v>7408.4896098168083</v>
      </c>
      <c r="D77" s="310">
        <f t="shared" si="12"/>
        <v>8297.5083629948258</v>
      </c>
      <c r="E77" s="310">
        <f t="shared" si="11"/>
        <v>1.5086378841808774</v>
      </c>
      <c r="F77" s="310">
        <f t="shared" si="13"/>
        <v>37.715947104521938</v>
      </c>
      <c r="G77" s="310">
        <f t="shared" si="14"/>
        <v>37.700000000000003</v>
      </c>
      <c r="H77" s="319">
        <f t="shared" si="15"/>
        <v>41</v>
      </c>
      <c r="J77" s="320">
        <f t="shared" si="16"/>
        <v>8297.5083629948258</v>
      </c>
    </row>
    <row r="78" spans="1:10" hidden="1" x14ac:dyDescent="0.25">
      <c r="A78" s="311">
        <v>74</v>
      </c>
      <c r="B78" s="311" t="s">
        <v>230</v>
      </c>
      <c r="C78" s="332">
        <v>5005.7362228491947</v>
      </c>
      <c r="D78" s="310">
        <f t="shared" si="12"/>
        <v>5606.4245695910986</v>
      </c>
      <c r="E78" s="310">
        <f t="shared" si="11"/>
        <v>1.019349921743836</v>
      </c>
      <c r="F78" s="310">
        <f t="shared" si="13"/>
        <v>25.483748043595902</v>
      </c>
      <c r="G78" s="310">
        <f t="shared" si="14"/>
        <v>25.5</v>
      </c>
      <c r="H78" s="319">
        <f t="shared" si="15"/>
        <v>28</v>
      </c>
      <c r="J78" s="320">
        <f t="shared" si="16"/>
        <v>5606.4245695910986</v>
      </c>
    </row>
    <row r="79" spans="1:10" hidden="1" x14ac:dyDescent="0.25">
      <c r="A79" s="311">
        <v>75</v>
      </c>
      <c r="B79" s="311" t="s">
        <v>231</v>
      </c>
      <c r="C79" s="332">
        <v>5606.4245695910986</v>
      </c>
      <c r="D79" s="310">
        <f t="shared" si="12"/>
        <v>6279.1955179420311</v>
      </c>
      <c r="E79" s="310">
        <f t="shared" si="11"/>
        <v>1.1416719123530965</v>
      </c>
      <c r="F79" s="310">
        <f t="shared" si="13"/>
        <v>28.541797808827415</v>
      </c>
      <c r="G79" s="310">
        <f t="shared" si="14"/>
        <v>28.5</v>
      </c>
      <c r="H79" s="319">
        <f t="shared" si="15"/>
        <v>31</v>
      </c>
      <c r="J79" s="320">
        <f t="shared" si="16"/>
        <v>6279.1955179420311</v>
      </c>
    </row>
    <row r="80" spans="1:10" hidden="1" x14ac:dyDescent="0.25">
      <c r="A80" s="311">
        <v>76</v>
      </c>
      <c r="B80" s="311" t="s">
        <v>232</v>
      </c>
      <c r="C80" s="332">
        <v>6207.1129163330015</v>
      </c>
      <c r="D80" s="310">
        <f t="shared" si="12"/>
        <v>6951.9664662929627</v>
      </c>
      <c r="E80" s="310">
        <f t="shared" si="11"/>
        <v>1.2639939029623568</v>
      </c>
      <c r="F80" s="310">
        <f t="shared" si="13"/>
        <v>31.59984757405892</v>
      </c>
      <c r="G80" s="310">
        <f t="shared" si="14"/>
        <v>31.6</v>
      </c>
      <c r="H80" s="319">
        <f t="shared" si="15"/>
        <v>35</v>
      </c>
      <c r="J80" s="320">
        <f t="shared" si="16"/>
        <v>6951.9664662929627</v>
      </c>
    </row>
    <row r="81" spans="1:10" hidden="1" x14ac:dyDescent="0.25">
      <c r="A81" s="311">
        <v>77</v>
      </c>
      <c r="B81" s="311" t="s">
        <v>233</v>
      </c>
      <c r="C81" s="332">
        <v>6807.8012630749054</v>
      </c>
      <c r="D81" s="310">
        <f t="shared" si="12"/>
        <v>7624.7374146438951</v>
      </c>
      <c r="E81" s="310">
        <f t="shared" si="11"/>
        <v>1.3863158935716173</v>
      </c>
      <c r="F81" s="310">
        <f t="shared" si="13"/>
        <v>34.657897339290436</v>
      </c>
      <c r="G81" s="310">
        <f t="shared" si="14"/>
        <v>34.700000000000003</v>
      </c>
      <c r="H81" s="319">
        <f t="shared" si="15"/>
        <v>38</v>
      </c>
      <c r="J81" s="320">
        <f t="shared" si="16"/>
        <v>7624.7374146438951</v>
      </c>
    </row>
    <row r="82" spans="1:10" hidden="1" x14ac:dyDescent="0.25">
      <c r="A82" s="311">
        <v>78</v>
      </c>
      <c r="B82" s="311" t="s">
        <v>234</v>
      </c>
      <c r="C82" s="332">
        <v>7408.4896098168083</v>
      </c>
      <c r="D82" s="310">
        <f t="shared" si="12"/>
        <v>8297.5083629948258</v>
      </c>
      <c r="E82" s="310">
        <f t="shared" si="11"/>
        <v>1.5086378841808774</v>
      </c>
      <c r="F82" s="310">
        <f t="shared" si="13"/>
        <v>37.715947104521938</v>
      </c>
      <c r="G82" s="310">
        <f t="shared" si="14"/>
        <v>37.700000000000003</v>
      </c>
      <c r="H82" s="319">
        <f t="shared" si="15"/>
        <v>41</v>
      </c>
      <c r="J82" s="320">
        <f t="shared" si="16"/>
        <v>8297.5083629948258</v>
      </c>
    </row>
    <row r="83" spans="1:10" hidden="1" x14ac:dyDescent="0.25">
      <c r="A83" s="311">
        <v>79</v>
      </c>
      <c r="B83" s="311" t="s">
        <v>235</v>
      </c>
      <c r="C83" s="332">
        <v>3388.502986915968</v>
      </c>
      <c r="D83" s="310">
        <f t="shared" si="12"/>
        <v>3795.1233453458844</v>
      </c>
      <c r="E83" s="310">
        <f t="shared" si="11"/>
        <v>0.69002242642652445</v>
      </c>
      <c r="F83" s="310">
        <f t="shared" si="13"/>
        <v>17.250560660663112</v>
      </c>
      <c r="G83" s="310">
        <f t="shared" si="14"/>
        <v>17.3</v>
      </c>
      <c r="H83" s="319">
        <f t="shared" si="15"/>
        <v>19</v>
      </c>
      <c r="J83" s="320">
        <f t="shared" si="16"/>
        <v>3795.1233453458844</v>
      </c>
    </row>
    <row r="84" spans="1:10" hidden="1" x14ac:dyDescent="0.25">
      <c r="A84" s="311">
        <v>80</v>
      </c>
      <c r="B84" s="311" t="s">
        <v>236</v>
      </c>
      <c r="C84" s="332">
        <v>4066.1995797101836</v>
      </c>
      <c r="D84" s="310">
        <f t="shared" si="12"/>
        <v>4554.1435292754059</v>
      </c>
      <c r="E84" s="310">
        <f t="shared" si="11"/>
        <v>0.82802609623189194</v>
      </c>
      <c r="F84" s="310">
        <f t="shared" si="13"/>
        <v>20.7006524057973</v>
      </c>
      <c r="G84" s="310">
        <f t="shared" si="14"/>
        <v>20.7</v>
      </c>
      <c r="H84" s="319">
        <f t="shared" si="15"/>
        <v>23</v>
      </c>
      <c r="J84" s="320">
        <f t="shared" si="16"/>
        <v>4554.1435292754059</v>
      </c>
    </row>
    <row r="85" spans="1:10" hidden="1" x14ac:dyDescent="0.25">
      <c r="A85" s="311">
        <v>81</v>
      </c>
      <c r="B85" s="311" t="s">
        <v>237</v>
      </c>
      <c r="C85" s="332">
        <v>4743.8961725043991</v>
      </c>
      <c r="D85" s="310">
        <f t="shared" si="12"/>
        <v>5313.1637132049273</v>
      </c>
      <c r="E85" s="310">
        <f t="shared" si="11"/>
        <v>0.96602976603725943</v>
      </c>
      <c r="F85" s="310">
        <f t="shared" si="13"/>
        <v>24.150744150931487</v>
      </c>
      <c r="G85" s="310">
        <f t="shared" si="14"/>
        <v>24.2</v>
      </c>
      <c r="H85" s="319">
        <f t="shared" si="15"/>
        <v>27</v>
      </c>
      <c r="J85" s="320">
        <f t="shared" si="16"/>
        <v>5313.1637132049273</v>
      </c>
    </row>
    <row r="86" spans="1:10" hidden="1" x14ac:dyDescent="0.25">
      <c r="A86" s="311">
        <v>82</v>
      </c>
      <c r="B86" s="311" t="s">
        <v>238</v>
      </c>
      <c r="C86" s="332">
        <v>5421.5927652986156</v>
      </c>
      <c r="D86" s="310">
        <f t="shared" si="12"/>
        <v>6072.1838971344505</v>
      </c>
      <c r="E86" s="310">
        <f t="shared" si="11"/>
        <v>1.1040334358426274</v>
      </c>
      <c r="F86" s="310">
        <f t="shared" si="13"/>
        <v>27.600835896065686</v>
      </c>
      <c r="G86" s="310">
        <f t="shared" si="14"/>
        <v>27.6</v>
      </c>
      <c r="H86" s="319">
        <f t="shared" si="15"/>
        <v>30</v>
      </c>
      <c r="J86" s="320">
        <f t="shared" si="16"/>
        <v>6072.1838971344505</v>
      </c>
    </row>
    <row r="87" spans="1:10" hidden="1" x14ac:dyDescent="0.25">
      <c r="A87" s="311">
        <v>83</v>
      </c>
      <c r="B87" s="311" t="s">
        <v>239</v>
      </c>
      <c r="C87" s="332">
        <v>6099.2893580928294</v>
      </c>
      <c r="D87" s="310">
        <f t="shared" si="12"/>
        <v>6831.2040810639692</v>
      </c>
      <c r="E87" s="310">
        <f t="shared" si="11"/>
        <v>1.2420371056479944</v>
      </c>
      <c r="F87" s="310">
        <f t="shared" si="13"/>
        <v>31.050927641199859</v>
      </c>
      <c r="G87" s="310">
        <f t="shared" si="14"/>
        <v>31.1</v>
      </c>
      <c r="H87" s="319">
        <f t="shared" si="15"/>
        <v>34</v>
      </c>
      <c r="J87" s="320">
        <f t="shared" si="16"/>
        <v>6831.2040810639692</v>
      </c>
    </row>
    <row r="88" spans="1:10" hidden="1" x14ac:dyDescent="0.25">
      <c r="A88" s="311">
        <v>84</v>
      </c>
      <c r="B88" s="311" t="s">
        <v>240</v>
      </c>
      <c r="C88" s="332">
        <v>3388.502986915968</v>
      </c>
      <c r="D88" s="310">
        <f t="shared" si="12"/>
        <v>3795.1233453458844</v>
      </c>
      <c r="E88" s="310">
        <f t="shared" si="11"/>
        <v>0.69002242642652445</v>
      </c>
      <c r="F88" s="310">
        <f t="shared" si="13"/>
        <v>17.250560660663112</v>
      </c>
      <c r="G88" s="310">
        <f t="shared" si="14"/>
        <v>17.3</v>
      </c>
      <c r="H88" s="319">
        <f t="shared" si="15"/>
        <v>19</v>
      </c>
      <c r="J88" s="320">
        <f t="shared" si="16"/>
        <v>3795.1233453458844</v>
      </c>
    </row>
    <row r="89" spans="1:10" hidden="1" x14ac:dyDescent="0.25">
      <c r="A89" s="311">
        <v>85</v>
      </c>
      <c r="B89" s="311" t="s">
        <v>241</v>
      </c>
      <c r="C89" s="332">
        <v>4066.1995797101836</v>
      </c>
      <c r="D89" s="310">
        <f t="shared" si="12"/>
        <v>4554.1435292754059</v>
      </c>
      <c r="E89" s="310">
        <f t="shared" si="11"/>
        <v>0.82802609623189194</v>
      </c>
      <c r="F89" s="310">
        <f t="shared" si="13"/>
        <v>20.7006524057973</v>
      </c>
      <c r="G89" s="310">
        <f t="shared" si="14"/>
        <v>20.7</v>
      </c>
      <c r="H89" s="319">
        <f t="shared" si="15"/>
        <v>23</v>
      </c>
      <c r="J89" s="320">
        <f t="shared" si="16"/>
        <v>4554.1435292754059</v>
      </c>
    </row>
    <row r="90" spans="1:10" hidden="1" x14ac:dyDescent="0.25">
      <c r="A90" s="311">
        <v>86</v>
      </c>
      <c r="B90" s="311" t="s">
        <v>242</v>
      </c>
      <c r="C90" s="332">
        <v>4743.8961725043991</v>
      </c>
      <c r="D90" s="310">
        <f t="shared" si="12"/>
        <v>5313.1637132049273</v>
      </c>
      <c r="E90" s="310">
        <f t="shared" si="11"/>
        <v>0.96602976603725943</v>
      </c>
      <c r="F90" s="310">
        <f t="shared" si="13"/>
        <v>24.150744150931487</v>
      </c>
      <c r="G90" s="310">
        <f t="shared" si="14"/>
        <v>24.2</v>
      </c>
      <c r="H90" s="319">
        <f t="shared" si="15"/>
        <v>27</v>
      </c>
      <c r="J90" s="320">
        <f t="shared" si="16"/>
        <v>5313.1637132049273</v>
      </c>
    </row>
    <row r="91" spans="1:10" hidden="1" x14ac:dyDescent="0.25">
      <c r="A91" s="311">
        <v>87</v>
      </c>
      <c r="B91" s="311" t="s">
        <v>243</v>
      </c>
      <c r="C91" s="332">
        <v>5421.5927652986156</v>
      </c>
      <c r="D91" s="310">
        <f t="shared" si="12"/>
        <v>6072.1838971344505</v>
      </c>
      <c r="E91" s="310">
        <f t="shared" si="11"/>
        <v>1.1040334358426274</v>
      </c>
      <c r="F91" s="310">
        <f t="shared" si="13"/>
        <v>27.600835896065686</v>
      </c>
      <c r="G91" s="310">
        <f t="shared" si="14"/>
        <v>27.6</v>
      </c>
      <c r="H91" s="319">
        <f t="shared" si="15"/>
        <v>30</v>
      </c>
      <c r="J91" s="320">
        <f t="shared" si="16"/>
        <v>6072.1838971344505</v>
      </c>
    </row>
    <row r="92" spans="1:10" hidden="1" x14ac:dyDescent="0.25">
      <c r="A92" s="311">
        <v>88</v>
      </c>
      <c r="B92" s="311" t="s">
        <v>244</v>
      </c>
      <c r="C92" s="332">
        <v>6099.2893580928294</v>
      </c>
      <c r="D92" s="310">
        <f t="shared" si="12"/>
        <v>6831.2040810639692</v>
      </c>
      <c r="E92" s="310">
        <f t="shared" si="11"/>
        <v>1.2420371056479944</v>
      </c>
      <c r="F92" s="310">
        <f t="shared" si="13"/>
        <v>31.050927641199859</v>
      </c>
      <c r="G92" s="310">
        <f t="shared" si="14"/>
        <v>31.1</v>
      </c>
      <c r="H92" s="319">
        <f t="shared" si="15"/>
        <v>34</v>
      </c>
      <c r="J92" s="320">
        <f t="shared" si="16"/>
        <v>6831.2040810639692</v>
      </c>
    </row>
    <row r="93" spans="1:10" hidden="1" x14ac:dyDescent="0.25">
      <c r="A93" s="311">
        <v>89</v>
      </c>
      <c r="B93" s="311" t="s">
        <v>245</v>
      </c>
      <c r="C93" s="332">
        <v>5005.7362228491947</v>
      </c>
      <c r="D93" s="310">
        <f t="shared" si="12"/>
        <v>5606.4245695910986</v>
      </c>
      <c r="E93" s="310">
        <f t="shared" si="11"/>
        <v>1.019349921743836</v>
      </c>
      <c r="F93" s="310">
        <f t="shared" si="13"/>
        <v>25.483748043595902</v>
      </c>
      <c r="G93" s="310">
        <f t="shared" si="14"/>
        <v>25.5</v>
      </c>
      <c r="H93" s="319">
        <f t="shared" si="15"/>
        <v>28</v>
      </c>
      <c r="J93" s="320">
        <f t="shared" si="16"/>
        <v>5606.4245695910986</v>
      </c>
    </row>
    <row r="94" spans="1:10" hidden="1" x14ac:dyDescent="0.25">
      <c r="A94" s="311">
        <v>90</v>
      </c>
      <c r="B94" s="311" t="s">
        <v>246</v>
      </c>
      <c r="C94" s="332">
        <v>5306.0803962201462</v>
      </c>
      <c r="D94" s="310">
        <f t="shared" si="12"/>
        <v>5942.8100437665644</v>
      </c>
      <c r="E94" s="310">
        <f t="shared" si="11"/>
        <v>1.0805109170484664</v>
      </c>
      <c r="F94" s="310">
        <f t="shared" si="13"/>
        <v>27.012772926211657</v>
      </c>
      <c r="G94" s="310">
        <f t="shared" si="14"/>
        <v>27</v>
      </c>
      <c r="H94" s="319">
        <f t="shared" si="15"/>
        <v>30</v>
      </c>
      <c r="J94" s="320">
        <f t="shared" si="16"/>
        <v>5942.8100437665644</v>
      </c>
    </row>
    <row r="95" spans="1:10" hidden="1" x14ac:dyDescent="0.25">
      <c r="A95" s="311">
        <v>91</v>
      </c>
      <c r="B95" s="311" t="s">
        <v>247</v>
      </c>
      <c r="C95" s="332">
        <v>5606.4245695910986</v>
      </c>
      <c r="D95" s="310">
        <f t="shared" si="12"/>
        <v>6279.1955179420311</v>
      </c>
      <c r="E95" s="310">
        <f t="shared" si="11"/>
        <v>1.1416719123530965</v>
      </c>
      <c r="F95" s="310">
        <f t="shared" si="13"/>
        <v>28.541797808827415</v>
      </c>
      <c r="G95" s="310">
        <f t="shared" si="14"/>
        <v>28.5</v>
      </c>
      <c r="H95" s="319">
        <f t="shared" si="15"/>
        <v>31</v>
      </c>
      <c r="J95" s="320">
        <f t="shared" si="16"/>
        <v>6279.1955179420311</v>
      </c>
    </row>
    <row r="96" spans="1:10" hidden="1" x14ac:dyDescent="0.25">
      <c r="A96" s="311">
        <v>92</v>
      </c>
      <c r="B96" s="311" t="s">
        <v>248</v>
      </c>
      <c r="C96" s="332">
        <v>5906.768742962051</v>
      </c>
      <c r="D96" s="310">
        <f t="shared" si="12"/>
        <v>6615.5809921174978</v>
      </c>
      <c r="E96" s="310">
        <f t="shared" si="11"/>
        <v>1.2028329076577269</v>
      </c>
      <c r="F96" s="310">
        <f t="shared" si="13"/>
        <v>30.070822691443173</v>
      </c>
      <c r="G96" s="310">
        <f t="shared" si="14"/>
        <v>30.1</v>
      </c>
      <c r="H96" s="319">
        <f t="shared" si="15"/>
        <v>33</v>
      </c>
      <c r="J96" s="320">
        <f t="shared" si="16"/>
        <v>6615.5809921174978</v>
      </c>
    </row>
    <row r="97" spans="1:10" hidden="1" x14ac:dyDescent="0.25">
      <c r="A97" s="311">
        <v>93</v>
      </c>
      <c r="B97" s="311" t="s">
        <v>249</v>
      </c>
      <c r="C97" s="332">
        <v>6207.1129163330015</v>
      </c>
      <c r="D97" s="310">
        <f t="shared" si="12"/>
        <v>6951.9664662929627</v>
      </c>
      <c r="E97" s="310">
        <f t="shared" si="11"/>
        <v>1.2639939029623568</v>
      </c>
      <c r="F97" s="310">
        <f t="shared" si="13"/>
        <v>31.59984757405892</v>
      </c>
      <c r="G97" s="310">
        <f t="shared" si="14"/>
        <v>31.6</v>
      </c>
      <c r="H97" s="319">
        <f t="shared" si="15"/>
        <v>35</v>
      </c>
      <c r="J97" s="320">
        <f t="shared" si="16"/>
        <v>6951.9664662929627</v>
      </c>
    </row>
    <row r="98" spans="1:10" hidden="1" x14ac:dyDescent="0.25">
      <c r="A98" s="311">
        <v>94</v>
      </c>
      <c r="B98" s="311" t="s">
        <v>250</v>
      </c>
      <c r="C98" s="332">
        <v>3388.502986915968</v>
      </c>
      <c r="D98" s="310">
        <f t="shared" si="12"/>
        <v>3795.1233453458844</v>
      </c>
      <c r="E98" s="310">
        <f t="shared" si="11"/>
        <v>0.69002242642652445</v>
      </c>
      <c r="F98" s="310">
        <f t="shared" si="13"/>
        <v>17.250560660663112</v>
      </c>
      <c r="G98" s="310">
        <f t="shared" si="14"/>
        <v>17.3</v>
      </c>
      <c r="H98" s="319">
        <f t="shared" si="15"/>
        <v>19</v>
      </c>
      <c r="J98" s="320">
        <f t="shared" si="16"/>
        <v>3795.1233453458844</v>
      </c>
    </row>
    <row r="99" spans="1:10" hidden="1" x14ac:dyDescent="0.25">
      <c r="A99" s="311">
        <v>95</v>
      </c>
      <c r="B99" s="311" t="s">
        <v>251</v>
      </c>
      <c r="C99" s="332">
        <v>4066.1995797101836</v>
      </c>
      <c r="D99" s="310">
        <f t="shared" si="12"/>
        <v>4554.1435292754059</v>
      </c>
      <c r="E99" s="310">
        <f t="shared" si="11"/>
        <v>0.82802609623189194</v>
      </c>
      <c r="F99" s="310">
        <f t="shared" si="13"/>
        <v>20.7006524057973</v>
      </c>
      <c r="G99" s="310">
        <f t="shared" si="14"/>
        <v>20.7</v>
      </c>
      <c r="H99" s="319">
        <f t="shared" si="15"/>
        <v>23</v>
      </c>
      <c r="J99" s="320">
        <f t="shared" si="16"/>
        <v>4554.1435292754059</v>
      </c>
    </row>
    <row r="100" spans="1:10" hidden="1" x14ac:dyDescent="0.25">
      <c r="A100" s="311">
        <v>96</v>
      </c>
      <c r="B100" s="311" t="s">
        <v>252</v>
      </c>
      <c r="C100" s="332">
        <v>4743.8961725043991</v>
      </c>
      <c r="D100" s="310">
        <f t="shared" si="12"/>
        <v>5313.1637132049273</v>
      </c>
      <c r="E100" s="310">
        <f t="shared" si="11"/>
        <v>0.96602976603725943</v>
      </c>
      <c r="F100" s="310">
        <f t="shared" si="13"/>
        <v>24.150744150931487</v>
      </c>
      <c r="G100" s="310">
        <f t="shared" si="14"/>
        <v>24.2</v>
      </c>
      <c r="H100" s="319">
        <f t="shared" si="15"/>
        <v>27</v>
      </c>
      <c r="J100" s="320">
        <f t="shared" si="16"/>
        <v>5313.1637132049273</v>
      </c>
    </row>
    <row r="101" spans="1:10" hidden="1" x14ac:dyDescent="0.25">
      <c r="A101" s="311">
        <v>97</v>
      </c>
      <c r="B101" s="311" t="s">
        <v>253</v>
      </c>
      <c r="C101" s="332">
        <v>5421.5927652986156</v>
      </c>
      <c r="D101" s="310">
        <f t="shared" ref="D101:D125" si="17">C101*1.12</f>
        <v>6072.1838971344505</v>
      </c>
      <c r="E101" s="310">
        <f t="shared" si="11"/>
        <v>1.1040334358426274</v>
      </c>
      <c r="F101" s="310">
        <f t="shared" si="13"/>
        <v>27.600835896065686</v>
      </c>
      <c r="G101" s="310">
        <f t="shared" si="14"/>
        <v>27.6</v>
      </c>
      <c r="H101" s="319">
        <f t="shared" si="15"/>
        <v>30</v>
      </c>
      <c r="J101" s="320">
        <f t="shared" si="16"/>
        <v>6072.1838971344505</v>
      </c>
    </row>
    <row r="102" spans="1:10" hidden="1" x14ac:dyDescent="0.25">
      <c r="A102" s="311">
        <v>98</v>
      </c>
      <c r="B102" s="311" t="s">
        <v>254</v>
      </c>
      <c r="C102" s="332">
        <v>6099.2893580928294</v>
      </c>
      <c r="D102" s="310">
        <f t="shared" si="17"/>
        <v>6831.2040810639692</v>
      </c>
      <c r="E102" s="310">
        <f t="shared" si="11"/>
        <v>1.2420371056479944</v>
      </c>
      <c r="F102" s="310">
        <f t="shared" si="13"/>
        <v>31.050927641199859</v>
      </c>
      <c r="G102" s="310">
        <f t="shared" si="14"/>
        <v>31.1</v>
      </c>
      <c r="H102" s="319">
        <f t="shared" si="15"/>
        <v>34</v>
      </c>
      <c r="J102" s="320">
        <f t="shared" si="16"/>
        <v>6831.2040810639692</v>
      </c>
    </row>
    <row r="103" spans="1:10" hidden="1" x14ac:dyDescent="0.25">
      <c r="A103" s="311">
        <v>99</v>
      </c>
      <c r="B103" s="311" t="s">
        <v>255</v>
      </c>
      <c r="C103" s="332">
        <v>3059.2857270116233</v>
      </c>
      <c r="D103" s="310">
        <f t="shared" si="17"/>
        <v>3426.4000142530185</v>
      </c>
      <c r="E103" s="310">
        <f t="shared" si="11"/>
        <v>0.62298182077327613</v>
      </c>
      <c r="F103" s="310">
        <f t="shared" si="13"/>
        <v>15.574545519331902</v>
      </c>
      <c r="G103" s="310">
        <f t="shared" si="14"/>
        <v>15.6</v>
      </c>
      <c r="H103" s="319">
        <f t="shared" si="15"/>
        <v>17</v>
      </c>
      <c r="J103" s="320">
        <f t="shared" si="16"/>
        <v>3426.4000142530185</v>
      </c>
    </row>
    <row r="104" spans="1:10" hidden="1" x14ac:dyDescent="0.25">
      <c r="A104" s="311">
        <v>100</v>
      </c>
      <c r="B104" s="311" t="s">
        <v>256</v>
      </c>
      <c r="C104" s="332">
        <v>6006.8834674190339</v>
      </c>
      <c r="D104" s="310">
        <f t="shared" si="17"/>
        <v>6727.7094835093185</v>
      </c>
      <c r="E104" s="310">
        <f t="shared" si="11"/>
        <v>1.2232199060926032</v>
      </c>
      <c r="F104" s="310">
        <f t="shared" si="13"/>
        <v>30.580497652315085</v>
      </c>
      <c r="G104" s="310">
        <f t="shared" si="14"/>
        <v>30.6</v>
      </c>
      <c r="H104" s="319">
        <f t="shared" si="15"/>
        <v>34</v>
      </c>
      <c r="J104" s="320">
        <f t="shared" si="16"/>
        <v>6727.7094835093185</v>
      </c>
    </row>
    <row r="105" spans="1:10" hidden="1" x14ac:dyDescent="0.25">
      <c r="A105" s="311">
        <v>101</v>
      </c>
      <c r="B105" s="311" t="s">
        <v>257</v>
      </c>
      <c r="C105" s="332">
        <v>7008.0307119888721</v>
      </c>
      <c r="D105" s="310">
        <f t="shared" si="17"/>
        <v>7848.9943974275375</v>
      </c>
      <c r="E105" s="310">
        <f t="shared" si="11"/>
        <v>1.4270898904413705</v>
      </c>
      <c r="F105" s="310">
        <f t="shared" si="13"/>
        <v>35.67724726103426</v>
      </c>
      <c r="G105" s="310">
        <f t="shared" si="14"/>
        <v>35.700000000000003</v>
      </c>
      <c r="H105" s="319">
        <f t="shared" si="15"/>
        <v>39</v>
      </c>
      <c r="J105" s="320">
        <f t="shared" si="16"/>
        <v>7848.9943974275375</v>
      </c>
    </row>
    <row r="106" spans="1:10" hidden="1" x14ac:dyDescent="0.25">
      <c r="A106" s="311">
        <v>102</v>
      </c>
      <c r="B106" s="311" t="s">
        <v>258</v>
      </c>
      <c r="C106" s="332">
        <v>8009.1779565587121</v>
      </c>
      <c r="D106" s="310">
        <f t="shared" si="17"/>
        <v>8970.2793113457592</v>
      </c>
      <c r="E106" s="310">
        <f t="shared" si="11"/>
        <v>1.6309598747901379</v>
      </c>
      <c r="F106" s="310">
        <f t="shared" si="13"/>
        <v>40.773996869753454</v>
      </c>
      <c r="G106" s="310">
        <f t="shared" si="14"/>
        <v>40.799999999999997</v>
      </c>
      <c r="H106" s="319">
        <f t="shared" si="15"/>
        <v>45</v>
      </c>
      <c r="J106" s="320">
        <f t="shared" si="16"/>
        <v>8970.2793113457592</v>
      </c>
    </row>
    <row r="107" spans="1:10" hidden="1" x14ac:dyDescent="0.25">
      <c r="A107" s="311">
        <v>103</v>
      </c>
      <c r="B107" s="311" t="s">
        <v>259</v>
      </c>
      <c r="C107" s="332">
        <v>9010.3252011285476</v>
      </c>
      <c r="D107" s="310">
        <f t="shared" si="17"/>
        <v>10091.564225263974</v>
      </c>
      <c r="E107" s="310">
        <f t="shared" si="11"/>
        <v>1.8348298591389045</v>
      </c>
      <c r="F107" s="310">
        <f t="shared" si="13"/>
        <v>45.870746478472604</v>
      </c>
      <c r="G107" s="310">
        <f t="shared" si="14"/>
        <v>45.9</v>
      </c>
      <c r="H107" s="319">
        <f t="shared" si="15"/>
        <v>50</v>
      </c>
      <c r="J107" s="320">
        <f t="shared" si="16"/>
        <v>10091.564225263974</v>
      </c>
    </row>
    <row r="108" spans="1:10" hidden="1" x14ac:dyDescent="0.25">
      <c r="A108" s="311">
        <v>104</v>
      </c>
      <c r="B108" s="311" t="s">
        <v>260</v>
      </c>
      <c r="C108" s="332">
        <v>2353.2967130858638</v>
      </c>
      <c r="D108" s="310">
        <f t="shared" si="17"/>
        <v>2635.6923186561676</v>
      </c>
      <c r="E108" s="310">
        <f t="shared" si="11"/>
        <v>0.47921678521021233</v>
      </c>
      <c r="F108" s="310">
        <f t="shared" si="13"/>
        <v>11.980419630255307</v>
      </c>
      <c r="G108" s="310">
        <f t="shared" si="14"/>
        <v>12</v>
      </c>
      <c r="H108" s="319">
        <f t="shared" si="15"/>
        <v>13</v>
      </c>
      <c r="J108" s="320">
        <f t="shared" si="16"/>
        <v>2635.6923186561676</v>
      </c>
    </row>
    <row r="109" spans="1:10" hidden="1" x14ac:dyDescent="0.25">
      <c r="A109" s="311">
        <v>105</v>
      </c>
      <c r="B109" s="311" t="s">
        <v>261</v>
      </c>
      <c r="C109" s="332">
        <v>2353.2967130858638</v>
      </c>
      <c r="D109" s="310">
        <f t="shared" si="17"/>
        <v>2635.6923186561676</v>
      </c>
      <c r="E109" s="310">
        <f t="shared" si="11"/>
        <v>0.47921678521021233</v>
      </c>
      <c r="F109" s="310">
        <f t="shared" si="13"/>
        <v>11.980419630255307</v>
      </c>
      <c r="G109" s="310">
        <f t="shared" si="14"/>
        <v>12</v>
      </c>
      <c r="H109" s="319">
        <f t="shared" si="15"/>
        <v>13</v>
      </c>
      <c r="J109" s="320">
        <f t="shared" si="16"/>
        <v>2635.6923186561676</v>
      </c>
    </row>
    <row r="110" spans="1:10" hidden="1" x14ac:dyDescent="0.25">
      <c r="A110" s="311">
        <v>106</v>
      </c>
      <c r="B110" s="311" t="s">
        <v>262</v>
      </c>
      <c r="C110" s="332">
        <v>2448.9601828708369</v>
      </c>
      <c r="D110" s="310">
        <f t="shared" si="17"/>
        <v>2742.8354048153374</v>
      </c>
      <c r="E110" s="310">
        <f t="shared" si="11"/>
        <v>0.49869734633006135</v>
      </c>
      <c r="F110" s="310">
        <f t="shared" si="13"/>
        <v>12.467433658251533</v>
      </c>
      <c r="G110" s="310">
        <f t="shared" si="14"/>
        <v>12.5</v>
      </c>
      <c r="H110" s="319">
        <f t="shared" si="15"/>
        <v>14</v>
      </c>
      <c r="J110" s="320">
        <f t="shared" si="16"/>
        <v>2742.8354048153374</v>
      </c>
    </row>
    <row r="111" spans="1:10" hidden="1" x14ac:dyDescent="0.25">
      <c r="A111" s="311">
        <v>107</v>
      </c>
      <c r="B111" s="311" t="s">
        <v>263</v>
      </c>
      <c r="C111" s="332">
        <v>2741.6032235912512</v>
      </c>
      <c r="D111" s="310">
        <f t="shared" si="17"/>
        <v>3070.5956104222018</v>
      </c>
      <c r="E111" s="310">
        <f t="shared" si="11"/>
        <v>0.5582901109858549</v>
      </c>
      <c r="F111" s="310">
        <f t="shared" si="13"/>
        <v>13.957252774646372</v>
      </c>
      <c r="G111" s="310">
        <f t="shared" si="14"/>
        <v>14</v>
      </c>
      <c r="H111" s="319">
        <f t="shared" si="15"/>
        <v>15</v>
      </c>
      <c r="J111" s="320">
        <f t="shared" si="16"/>
        <v>3070.5956104222018</v>
      </c>
    </row>
    <row r="112" spans="1:10" hidden="1" x14ac:dyDescent="0.25">
      <c r="A112" s="311">
        <v>108</v>
      </c>
      <c r="B112" s="311" t="s">
        <v>264</v>
      </c>
      <c r="C112" s="332">
        <v>3080.4530602148893</v>
      </c>
      <c r="D112" s="310">
        <f t="shared" si="17"/>
        <v>3450.1074274406765</v>
      </c>
      <c r="E112" s="310">
        <f t="shared" si="11"/>
        <v>0.62729225953466849</v>
      </c>
      <c r="F112" s="310">
        <f t="shared" si="13"/>
        <v>15.682306488366711</v>
      </c>
      <c r="G112" s="310">
        <f t="shared" si="14"/>
        <v>15.7</v>
      </c>
      <c r="H112" s="319">
        <f t="shared" si="15"/>
        <v>17</v>
      </c>
      <c r="J112" s="320">
        <f t="shared" si="16"/>
        <v>3450.1074274406765</v>
      </c>
    </row>
    <row r="113" spans="1:10" hidden="1" x14ac:dyDescent="0.25">
      <c r="A113" s="311">
        <v>109</v>
      </c>
      <c r="B113" s="311" t="s">
        <v>265</v>
      </c>
      <c r="C113" s="332">
        <v>3850.5663252686118</v>
      </c>
      <c r="D113" s="310">
        <f t="shared" si="17"/>
        <v>4312.6342843008451</v>
      </c>
      <c r="E113" s="310">
        <f t="shared" si="11"/>
        <v>0.78411532441833554</v>
      </c>
      <c r="F113" s="310">
        <f t="shared" si="13"/>
        <v>19.602883110458386</v>
      </c>
      <c r="G113" s="310">
        <f t="shared" si="14"/>
        <v>19.600000000000001</v>
      </c>
      <c r="H113" s="319">
        <f t="shared" si="15"/>
        <v>22</v>
      </c>
      <c r="J113" s="320">
        <f t="shared" si="16"/>
        <v>4312.6342843008451</v>
      </c>
    </row>
    <row r="114" spans="1:10" hidden="1" x14ac:dyDescent="0.25">
      <c r="A114" s="311">
        <v>110</v>
      </c>
      <c r="B114" s="311" t="s">
        <v>266</v>
      </c>
      <c r="C114" s="332">
        <v>5390.7928553760567</v>
      </c>
      <c r="D114" s="310">
        <f t="shared" si="17"/>
        <v>6037.6879980211843</v>
      </c>
      <c r="E114" s="310">
        <f t="shared" si="11"/>
        <v>1.0977614541856699</v>
      </c>
      <c r="F114" s="310">
        <f t="shared" si="13"/>
        <v>27.444036354641746</v>
      </c>
      <c r="G114" s="310">
        <f t="shared" si="14"/>
        <v>27.4</v>
      </c>
      <c r="H114" s="319">
        <f t="shared" si="15"/>
        <v>30</v>
      </c>
      <c r="J114" s="320">
        <f t="shared" si="16"/>
        <v>6037.6879980211843</v>
      </c>
    </row>
    <row r="115" spans="1:10" hidden="1" x14ac:dyDescent="0.25">
      <c r="A115" s="311">
        <v>111</v>
      </c>
      <c r="B115" s="311" t="s">
        <v>267</v>
      </c>
      <c r="C115" s="332">
        <v>2448.9601828708369</v>
      </c>
      <c r="D115" s="310">
        <f t="shared" si="17"/>
        <v>2742.8354048153374</v>
      </c>
      <c r="E115" s="310">
        <f t="shared" si="11"/>
        <v>0.49869734633006135</v>
      </c>
      <c r="F115" s="310">
        <f t="shared" si="13"/>
        <v>12.467433658251533</v>
      </c>
      <c r="G115" s="310">
        <f t="shared" si="14"/>
        <v>12.5</v>
      </c>
      <c r="H115" s="319">
        <f t="shared" si="15"/>
        <v>14</v>
      </c>
      <c r="J115" s="320">
        <f t="shared" si="16"/>
        <v>2742.8354048153374</v>
      </c>
    </row>
    <row r="116" spans="1:10" hidden="1" x14ac:dyDescent="0.25">
      <c r="A116" s="311">
        <v>112</v>
      </c>
      <c r="B116" s="311" t="s">
        <v>268</v>
      </c>
      <c r="C116" s="332">
        <v>2741.6032235912512</v>
      </c>
      <c r="D116" s="310">
        <f t="shared" si="17"/>
        <v>3070.5956104222018</v>
      </c>
      <c r="E116" s="310">
        <f t="shared" si="11"/>
        <v>0.5582901109858549</v>
      </c>
      <c r="F116" s="310">
        <f t="shared" si="13"/>
        <v>13.957252774646372</v>
      </c>
      <c r="G116" s="310">
        <f t="shared" si="14"/>
        <v>14</v>
      </c>
      <c r="H116" s="319">
        <f t="shared" si="15"/>
        <v>15</v>
      </c>
      <c r="J116" s="320">
        <f t="shared" si="16"/>
        <v>3070.5956104222018</v>
      </c>
    </row>
    <row r="117" spans="1:10" hidden="1" x14ac:dyDescent="0.25">
      <c r="A117" s="311">
        <v>113</v>
      </c>
      <c r="B117" s="311" t="s">
        <v>269</v>
      </c>
      <c r="C117" s="332">
        <v>3080.4530602148893</v>
      </c>
      <c r="D117" s="310">
        <f t="shared" si="17"/>
        <v>3450.1074274406765</v>
      </c>
      <c r="E117" s="310">
        <f t="shared" si="11"/>
        <v>0.62729225953466849</v>
      </c>
      <c r="F117" s="310">
        <f t="shared" si="13"/>
        <v>15.682306488366711</v>
      </c>
      <c r="G117" s="310">
        <f t="shared" si="14"/>
        <v>15.7</v>
      </c>
      <c r="H117" s="319">
        <f t="shared" si="15"/>
        <v>17</v>
      </c>
      <c r="J117" s="320">
        <f t="shared" si="16"/>
        <v>3450.1074274406765</v>
      </c>
    </row>
    <row r="118" spans="1:10" hidden="1" x14ac:dyDescent="0.25">
      <c r="A118" s="311">
        <v>114</v>
      </c>
      <c r="B118" s="311" t="s">
        <v>270</v>
      </c>
      <c r="C118" s="332">
        <v>3850.5663252686118</v>
      </c>
      <c r="D118" s="310">
        <f t="shared" si="17"/>
        <v>4312.6342843008451</v>
      </c>
      <c r="E118" s="310">
        <f t="shared" si="11"/>
        <v>0.78411532441833554</v>
      </c>
      <c r="F118" s="310">
        <f t="shared" si="13"/>
        <v>19.602883110458386</v>
      </c>
      <c r="G118" s="310">
        <f t="shared" si="14"/>
        <v>19.600000000000001</v>
      </c>
      <c r="H118" s="319">
        <f t="shared" si="15"/>
        <v>22</v>
      </c>
      <c r="J118" s="320">
        <f t="shared" si="16"/>
        <v>4312.6342843008451</v>
      </c>
    </row>
    <row r="119" spans="1:10" hidden="1" x14ac:dyDescent="0.25">
      <c r="A119" s="311">
        <v>115</v>
      </c>
      <c r="B119" s="311" t="s">
        <v>271</v>
      </c>
      <c r="C119" s="332">
        <v>5390.7928553760567</v>
      </c>
      <c r="D119" s="310">
        <f t="shared" si="17"/>
        <v>6037.6879980211843</v>
      </c>
      <c r="E119" s="310">
        <f t="shared" si="11"/>
        <v>1.0977614541856699</v>
      </c>
      <c r="F119" s="310">
        <f t="shared" si="13"/>
        <v>27.444036354641746</v>
      </c>
      <c r="G119" s="310">
        <f t="shared" si="14"/>
        <v>27.4</v>
      </c>
      <c r="H119" s="319">
        <f t="shared" si="15"/>
        <v>30</v>
      </c>
      <c r="J119" s="320">
        <f t="shared" si="16"/>
        <v>6037.6879980211843</v>
      </c>
    </row>
    <row r="120" spans="1:10" hidden="1" x14ac:dyDescent="0.25">
      <c r="A120" s="311">
        <v>116</v>
      </c>
      <c r="B120" s="311" t="s">
        <v>272</v>
      </c>
      <c r="C120" s="332">
        <v>2353.3121153511647</v>
      </c>
      <c r="D120" s="310">
        <f t="shared" si="17"/>
        <v>2635.7095691933046</v>
      </c>
      <c r="E120" s="310">
        <f t="shared" si="11"/>
        <v>0.47921992167150995</v>
      </c>
      <c r="F120" s="310">
        <f t="shared" si="13"/>
        <v>11.980498041787747</v>
      </c>
      <c r="G120" s="310">
        <f t="shared" si="14"/>
        <v>12</v>
      </c>
      <c r="H120" s="319">
        <f t="shared" si="15"/>
        <v>13</v>
      </c>
      <c r="J120" s="320">
        <f t="shared" si="16"/>
        <v>2635.7095691933046</v>
      </c>
    </row>
    <row r="121" spans="1:10" hidden="1" x14ac:dyDescent="0.25">
      <c r="A121" s="311">
        <v>117</v>
      </c>
      <c r="B121" s="311" t="s">
        <v>273</v>
      </c>
      <c r="C121" s="332">
        <v>2353.2967130858638</v>
      </c>
      <c r="D121" s="310">
        <f t="shared" si="17"/>
        <v>2635.6923186561676</v>
      </c>
      <c r="E121" s="310">
        <f t="shared" si="11"/>
        <v>0.47921678521021233</v>
      </c>
      <c r="F121" s="310">
        <f t="shared" si="13"/>
        <v>11.980419630255307</v>
      </c>
      <c r="G121" s="310">
        <f t="shared" si="14"/>
        <v>12</v>
      </c>
      <c r="H121" s="319">
        <f t="shared" si="15"/>
        <v>13</v>
      </c>
      <c r="J121" s="320">
        <f t="shared" si="16"/>
        <v>2635.6923186561676</v>
      </c>
    </row>
    <row r="122" spans="1:10" hidden="1" x14ac:dyDescent="0.25">
      <c r="A122" s="311">
        <v>118</v>
      </c>
      <c r="B122" s="311" t="s">
        <v>274</v>
      </c>
      <c r="C122" s="332">
        <v>2726.2009582901774</v>
      </c>
      <c r="D122" s="310">
        <f t="shared" si="17"/>
        <v>3053.3450732849988</v>
      </c>
      <c r="E122" s="310">
        <f t="shared" si="11"/>
        <v>0.55515364968818159</v>
      </c>
      <c r="F122" s="310">
        <f t="shared" si="13"/>
        <v>13.87884124220454</v>
      </c>
      <c r="G122" s="310">
        <f t="shared" si="14"/>
        <v>13.9</v>
      </c>
      <c r="H122" s="319">
        <f t="shared" si="15"/>
        <v>15</v>
      </c>
      <c r="J122" s="320">
        <f t="shared" si="16"/>
        <v>3053.3450732849988</v>
      </c>
    </row>
    <row r="123" spans="1:10" hidden="1" x14ac:dyDescent="0.25">
      <c r="A123" s="311">
        <v>119</v>
      </c>
      <c r="B123" s="311" t="s">
        <v>275</v>
      </c>
      <c r="C123" s="332">
        <v>3100.4760051062858</v>
      </c>
      <c r="D123" s="310">
        <f t="shared" si="17"/>
        <v>3472.5331257190405</v>
      </c>
      <c r="E123" s="310">
        <f t="shared" si="11"/>
        <v>0.63136965922164368</v>
      </c>
      <c r="F123" s="310">
        <f t="shared" si="13"/>
        <v>15.784241480541093</v>
      </c>
      <c r="G123" s="310">
        <f t="shared" si="14"/>
        <v>15.8</v>
      </c>
      <c r="H123" s="319">
        <f t="shared" si="15"/>
        <v>17</v>
      </c>
      <c r="J123" s="320">
        <f t="shared" si="16"/>
        <v>3472.5331257190405</v>
      </c>
    </row>
    <row r="124" spans="1:10" hidden="1" x14ac:dyDescent="0.25">
      <c r="A124" s="311">
        <v>120</v>
      </c>
      <c r="B124" s="311" t="s">
        <v>276</v>
      </c>
      <c r="C124" s="332">
        <v>3474.7510519223943</v>
      </c>
      <c r="D124" s="310">
        <f t="shared" si="17"/>
        <v>3891.7211781530818</v>
      </c>
      <c r="E124" s="310">
        <f t="shared" si="11"/>
        <v>0.70758566875510576</v>
      </c>
      <c r="F124" s="310">
        <f t="shared" si="13"/>
        <v>17.689641718877645</v>
      </c>
      <c r="G124" s="310">
        <f t="shared" si="14"/>
        <v>17.7</v>
      </c>
      <c r="H124" s="319">
        <f t="shared" si="15"/>
        <v>19</v>
      </c>
      <c r="J124" s="320">
        <f t="shared" si="16"/>
        <v>3891.7211781530818</v>
      </c>
    </row>
    <row r="125" spans="1:10" hidden="1" x14ac:dyDescent="0.25">
      <c r="A125" s="311">
        <v>121</v>
      </c>
      <c r="B125" s="311" t="s">
        <v>277</v>
      </c>
      <c r="C125" s="332">
        <v>3850.5663252686118</v>
      </c>
      <c r="D125" s="310">
        <f t="shared" si="17"/>
        <v>4312.6342843008451</v>
      </c>
      <c r="E125" s="310">
        <f t="shared" si="11"/>
        <v>0.78411532441833554</v>
      </c>
      <c r="F125" s="310">
        <f t="shared" si="13"/>
        <v>19.602883110458386</v>
      </c>
      <c r="G125" s="310">
        <f t="shared" si="14"/>
        <v>19.600000000000001</v>
      </c>
      <c r="H125" s="319">
        <f t="shared" si="15"/>
        <v>22</v>
      </c>
      <c r="J125" s="320">
        <f t="shared" si="16"/>
        <v>4312.6342843008451</v>
      </c>
    </row>
    <row r="126" spans="1:10" hidden="1" x14ac:dyDescent="0.25">
      <c r="D126" s="310"/>
    </row>
    <row r="127" spans="1:10" hidden="1" x14ac:dyDescent="0.25">
      <c r="D127" s="310"/>
    </row>
    <row r="128" spans="1:10" hidden="1" x14ac:dyDescent="0.25">
      <c r="D128" s="310"/>
    </row>
    <row r="129" spans="4:4" hidden="1" x14ac:dyDescent="0.25">
      <c r="D129" s="310"/>
    </row>
  </sheetData>
  <sheetProtection algorithmName="SHA-512" hashValue="9qOxq78ay3hM+u93iZZ3ukmAOmN+eJJu/DR7+cdvwfy5tR0BEJdW0aP/CVIbssezEq8KMSMS0V4TovwIDY5utA==" saltValue="Uynv/F7HAH1H2X6pFkWEyw==" spinCount="100000" sheet="1" objects="1" scenarios="1" selectLockedCells="1" selectUnlockedCells="1"/>
  <mergeCells count="23">
    <mergeCell ref="U53:V53"/>
    <mergeCell ref="U59:V59"/>
    <mergeCell ref="Z5:AA5"/>
    <mergeCell ref="AC5:AD5"/>
    <mergeCell ref="AF5:AG5"/>
    <mergeCell ref="AI5:AJ5"/>
    <mergeCell ref="AL5:AM5"/>
    <mergeCell ref="U47:V47"/>
    <mergeCell ref="AC3:AD3"/>
    <mergeCell ref="AF3:AG3"/>
    <mergeCell ref="AI3:AJ3"/>
    <mergeCell ref="AL3:AM3"/>
    <mergeCell ref="Z4:AA4"/>
    <mergeCell ref="AC4:AD4"/>
    <mergeCell ref="AF4:AG4"/>
    <mergeCell ref="AI4:AJ4"/>
    <mergeCell ref="AL4:AM4"/>
    <mergeCell ref="Z3:AA3"/>
    <mergeCell ref="A1:A3"/>
    <mergeCell ref="F1:F2"/>
    <mergeCell ref="G1:G2"/>
    <mergeCell ref="H1:H2"/>
    <mergeCell ref="B2:B3"/>
  </mergeCells>
  <dataValidations count="3">
    <dataValidation type="list" allowBlank="1" showInputMessage="1" showErrorMessage="1" sqref="AQ36" xr:uid="{15944D62-940C-4E30-9AB2-24AE2C938046}">
      <formula1>$U$3:$U$4</formula1>
    </dataValidation>
    <dataValidation type="list" allowBlank="1" showInputMessage="1" showErrorMessage="1" sqref="AQ37" xr:uid="{5C1A0616-83E0-40F1-908A-C49684AF7095}">
      <formula1>$L$3:$L$4</formula1>
    </dataValidation>
    <dataValidation type="list" allowBlank="1" showInputMessage="1" showErrorMessage="1" sqref="AQ38" xr:uid="{4254140F-F9F3-44C3-B1FA-E86FF03925D9}">
      <formula1>$Q$3:$Q$29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b0c59f-e89a-43ee-923f-8e63cbe1699e" xsi:nil="true"/>
    <lcf76f155ced4ddcb4097134ff3c332f xmlns="0ecd5824-dec1-4043-af5e-6cde5fff8f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D20C03038D0542B8C50D57B283B6D0" ma:contentTypeVersion="18" ma:contentTypeDescription="Create a new document." ma:contentTypeScope="" ma:versionID="0b70719c6cfba8b4fe77c736aea5fe9d">
  <xsd:schema xmlns:xsd="http://www.w3.org/2001/XMLSchema" xmlns:xs="http://www.w3.org/2001/XMLSchema" xmlns:p="http://schemas.microsoft.com/office/2006/metadata/properties" xmlns:ns2="0ecd5824-dec1-4043-af5e-6cde5fff8f83" xmlns:ns3="65b0c59f-e89a-43ee-923f-8e63cbe1699e" targetNamespace="http://schemas.microsoft.com/office/2006/metadata/properties" ma:root="true" ma:fieldsID="1be6cf7513733051331908a473162533" ns2:_="" ns3:_="">
    <xsd:import namespace="0ecd5824-dec1-4043-af5e-6cde5fff8f83"/>
    <xsd:import namespace="65b0c59f-e89a-43ee-923f-8e63cbe169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5824-dec1-4043-af5e-6cde5fff8f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d3de8e4-b395-410b-aa6a-19f05c909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0c59f-e89a-43ee-923f-8e63cbe1699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7782ba1-d574-4a89-9c6e-bb3f82491f16}" ma:internalName="TaxCatchAll" ma:showField="CatchAllData" ma:web="65b0c59f-e89a-43ee-923f-8e63cbe169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345B47-D372-4CEE-8B52-247416B95B21}">
  <ds:schemaRefs>
    <ds:schemaRef ds:uri="http://schemas.microsoft.com/office/2006/metadata/properties"/>
    <ds:schemaRef ds:uri="http://schemas.microsoft.com/office/infopath/2007/PartnerControls"/>
    <ds:schemaRef ds:uri="65b0c59f-e89a-43ee-923f-8e63cbe1699e"/>
    <ds:schemaRef ds:uri="0ecd5824-dec1-4043-af5e-6cde5fff8f83"/>
  </ds:schemaRefs>
</ds:datastoreItem>
</file>

<file path=customXml/itemProps2.xml><?xml version="1.0" encoding="utf-8"?>
<ds:datastoreItem xmlns:ds="http://schemas.openxmlformats.org/officeDocument/2006/customXml" ds:itemID="{E7D45FBA-DE1C-4100-8B6E-DFB3430A28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09D30-14A9-4490-B5DD-73E34C76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cd5824-dec1-4043-af5e-6cde5fff8f83"/>
    <ds:schemaRef ds:uri="65b0c59f-e89a-43ee-923f-8e63cbe169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RESUMO</vt:lpstr>
      <vt:lpstr>SERVICOS AUTPRO</vt:lpstr>
      <vt:lpstr>SERVICOS MONTAGEM</vt:lpstr>
      <vt:lpstr>TERCEIROS e LOCAÇÕES</vt:lpstr>
      <vt:lpstr>MATERIAIS CAMPO</vt:lpstr>
      <vt:lpstr>MATERIAIS PAINÉIS</vt:lpstr>
      <vt:lpstr>FAT. DIRETO</vt:lpstr>
      <vt:lpstr>RATEIO</vt:lpstr>
      <vt:lpstr>ESTIMATIVA DE HORAS</vt:lpstr>
      <vt:lpstr>Planilha1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Orçamento AutPro</dc:title>
  <dc:subject/>
  <dc:creator/>
  <cp:keywords>AutPro</cp:keywords>
  <dc:description/>
  <cp:lastModifiedBy/>
  <cp:revision/>
  <dcterms:created xsi:type="dcterms:W3CDTF">2020-09-21T18:32:56Z</dcterms:created>
  <dcterms:modified xsi:type="dcterms:W3CDTF">2026-07-28T19:35:17Z</dcterms:modified>
  <cp:category>Comercial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0x010100B5D20C03038D0542B8C50D57B283B6D0</vt:lpwstr>
  </property>
  <property fmtid="{D5CDD505-2E9C-101B-9397-08002B2CF9AE}" pid="3" name="MediaServiceImageTags">
    <vt:lpwstr/>
  </property>
</Properties>
</file>