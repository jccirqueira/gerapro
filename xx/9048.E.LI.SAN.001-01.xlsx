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Z:\2-Projetos\COMBIO\PR-CBE-25.248-500-0001-Cald Elet\0-Internos\02-Documentos Sandech\1- Documentos em Elaboração\Elétrica\Lista de Cabos\A\"/>
    </mc:Choice>
  </mc:AlternateContent>
  <xr:revisionPtr revIDLastSave="0" documentId="13_ncr:1_{996FB91E-DEEF-4DB4-9812-EF7C396FE9E5}" xr6:coauthVersionLast="47" xr6:coauthVersionMax="47" xr10:uidLastSave="{00000000-0000-0000-0000-000000000000}"/>
  <bookViews>
    <workbookView xWindow="-120" yWindow="-120" windowWidth="20730" windowHeight="11160" tabRatio="717" xr2:uid="{00000000-000D-0000-FFFF-FFFF00000000}"/>
  </bookViews>
  <sheets>
    <sheet name="CAPA" sheetId="24" r:id="rId1"/>
    <sheet name="FOLHA 2 " sheetId="22" r:id="rId2"/>
    <sheet name="FOLHA 3" sheetId="26" r:id="rId3"/>
    <sheet name="FOLHA 4" sheetId="28" r:id="rId4"/>
    <sheet name="FOLHA 5" sheetId="25" r:id="rId5"/>
    <sheet name="APOIO" sheetId="29" r:id="rId6"/>
    <sheet name="LISTAS" sheetId="17" state="hidden" r:id="rId7"/>
  </sheets>
  <definedNames>
    <definedName name="_xlnm._FilterDatabase" localSheetId="5" hidden="1">APOIO!$C$52:$F$102</definedName>
    <definedName name="_xlnm._FilterDatabase" localSheetId="1" hidden="1">'FOLHA 2 '!$A$28:$T$30</definedName>
    <definedName name="_xlnm._FilterDatabase" localSheetId="2" hidden="1">'FOLHA 3'!$A$33:$T$35</definedName>
    <definedName name="_xlnm._FilterDatabase" localSheetId="3" hidden="1">'FOLHA 4'!$A$32:$T$34</definedName>
    <definedName name="_xlnm._FilterDatabase" localSheetId="4" hidden="1">'FOLHA 5'!$A$30:$T$32</definedName>
    <definedName name="_xlnm._FilterDatabase" localSheetId="6" hidden="1">LISTAS!$B$3:$B$41</definedName>
    <definedName name="_xlnm.Print_Area" localSheetId="0">CAPA!$A$1:$AH$70</definedName>
    <definedName name="_xlnm.Print_Area" localSheetId="1">'FOLHA 2 '!$A$1:$R$43</definedName>
    <definedName name="_xlnm.Print_Area" localSheetId="2">'FOLHA 3'!$A$1:$R$44</definedName>
    <definedName name="_xlnm.Print_Area" localSheetId="3">'FOLHA 4'!$A$1:$R$45</definedName>
    <definedName name="_xlnm.Print_Area" localSheetId="4">'FOLHA 5'!$A$1:$R$43</definedName>
    <definedName name="CENTRO">LISTAS!$B$4:$B$41</definedName>
    <definedName name="CORES_BASE">LISTAS!$G$64:$G$81</definedName>
    <definedName name="DATABOOK">LISTAS!$E$4:$E$15</definedName>
    <definedName name="EQUIPO">LISTAS!$C$5:$C$7</definedName>
    <definedName name="ESPECIALIDADE">LISTAS!$K$4:$K$10</definedName>
    <definedName name="INSPECAO">LISTAS!$D$5:$D$10</definedName>
    <definedName name="OPCAO">LISTAS!$L$4:$L$5</definedName>
    <definedName name="PREPARO_DA_SUPERFICIE">LISTAS!$G$27:$G$32</definedName>
    <definedName name="PROJETISTA">LISTAS!$J$4:$J$18</definedName>
    <definedName name="TINTAS_DE_ACABAMENTO">LISTAS!$G$52:$G$61</definedName>
    <definedName name="TINTAS_DE_FUNDO">LISTAS!$G$34:$G$42</definedName>
    <definedName name="TINTAS_INTERMEDIARIA">LISTAS!$G$44:$G$50</definedName>
    <definedName name="_xlnm.Print_Titles" localSheetId="1">'FOLHA 2 '!$1:$12</definedName>
    <definedName name="_xlnm.Print_Titles" localSheetId="2">'FOLHA 3'!$1:$12</definedName>
    <definedName name="_xlnm.Print_Titles" localSheetId="3">'FOLHA 4'!$1:$12</definedName>
    <definedName name="_xlnm.Print_Titles" localSheetId="4">'FOLHA 5'!$1:$10</definedName>
  </definedNames>
  <calcPr calcId="191029"/>
</workbook>
</file>

<file path=xl/calcChain.xml><?xml version="1.0" encoding="utf-8"?>
<calcChain xmlns="http://schemas.openxmlformats.org/spreadsheetml/2006/main">
  <c r="I24" i="29" l="1"/>
  <c r="K24" i="29"/>
  <c r="L27" i="29"/>
  <c r="K28" i="29"/>
  <c r="I28" i="29"/>
  <c r="K27" i="29"/>
  <c r="I21" i="29"/>
  <c r="K21" i="29" s="1"/>
  <c r="L26" i="29"/>
  <c r="I26" i="29"/>
  <c r="K26" i="29" s="1"/>
  <c r="I25" i="29"/>
  <c r="K25" i="29" s="1"/>
  <c r="I23" i="29"/>
  <c r="K23" i="29" s="1"/>
  <c r="I22" i="29"/>
  <c r="K22" i="29" s="1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I15" i="29"/>
  <c r="K15" i="29" s="1"/>
  <c r="I16" i="29"/>
  <c r="K16" i="29" s="1"/>
  <c r="I17" i="29"/>
  <c r="K17" i="29" s="1"/>
  <c r="I18" i="29"/>
  <c r="K18" i="29" s="1"/>
  <c r="I19" i="29"/>
  <c r="K19" i="29" s="1"/>
  <c r="I20" i="29"/>
  <c r="K20" i="29" s="1"/>
  <c r="I27" i="29"/>
  <c r="I14" i="29"/>
  <c r="K14" i="29" s="1"/>
  <c r="I13" i="29"/>
  <c r="L23" i="25"/>
  <c r="L22" i="25"/>
  <c r="K13" i="29" l="1"/>
  <c r="L20" i="25"/>
  <c r="L45" i="28"/>
  <c r="L44" i="28"/>
  <c r="L43" i="28"/>
  <c r="L41" i="28"/>
  <c r="L39" i="28"/>
  <c r="L37" i="28"/>
  <c r="L35" i="28"/>
  <c r="L33" i="28"/>
  <c r="L31" i="28"/>
  <c r="L29" i="28"/>
  <c r="L27" i="28"/>
  <c r="L25" i="28"/>
  <c r="L23" i="28"/>
  <c r="L21" i="28"/>
  <c r="L19" i="28"/>
  <c r="L17" i="28"/>
  <c r="L15" i="28"/>
  <c r="L44" i="26"/>
  <c r="L42" i="26"/>
  <c r="L40" i="26"/>
  <c r="L38" i="26"/>
  <c r="L36" i="26"/>
  <c r="L34" i="26"/>
  <c r="L31" i="26"/>
  <c r="L29" i="26"/>
  <c r="L27" i="26"/>
  <c r="L25" i="26"/>
  <c r="L23" i="26"/>
  <c r="L21" i="26"/>
  <c r="L19" i="26"/>
  <c r="L17" i="26"/>
  <c r="L15" i="26"/>
  <c r="L43" i="22"/>
  <c r="L41" i="22"/>
  <c r="L39" i="22"/>
  <c r="L37" i="22"/>
  <c r="L35" i="22"/>
  <c r="L33" i="22"/>
  <c r="L31" i="22"/>
  <c r="L29" i="22"/>
  <c r="L27" i="22"/>
  <c r="L25" i="22"/>
  <c r="L23" i="22"/>
  <c r="L21" i="22"/>
  <c r="L19" i="22"/>
  <c r="L17" i="22"/>
  <c r="L15" i="22"/>
  <c r="F16" i="25"/>
  <c r="F14" i="25"/>
  <c r="R2" i="28" l="1"/>
  <c r="O2" i="28"/>
  <c r="R2" i="26" l="1"/>
  <c r="O2" i="26"/>
  <c r="R2" i="25"/>
  <c r="O2" i="25"/>
  <c r="O2" i="22" l="1"/>
  <c r="R2" i="22"/>
</calcChain>
</file>

<file path=xl/sharedStrings.xml><?xml version="1.0" encoding="utf-8"?>
<sst xmlns="http://schemas.openxmlformats.org/spreadsheetml/2006/main" count="1315" uniqueCount="617">
  <si>
    <t>Rev.</t>
  </si>
  <si>
    <t>-</t>
  </si>
  <si>
    <t>CENTRO LOGÍSTICO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</si>
  <si>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</si>
  <si>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</si>
  <si>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</si>
  <si>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</si>
  <si>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</si>
  <si>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</si>
  <si>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</si>
  <si>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</si>
  <si>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</si>
  <si>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</si>
  <si>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</si>
  <si>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</si>
  <si>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</si>
  <si>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</si>
  <si>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CENTRO</t>
  </si>
  <si>
    <t>BA04 - PE2-BA</t>
  </si>
  <si>
    <t>BA07 - PE1-BA</t>
  </si>
  <si>
    <t>RS01 - PE-RS</t>
  </si>
  <si>
    <t>RS02 - PP-RS</t>
  </si>
  <si>
    <t>BA01 - UNIB-BA</t>
  </si>
  <si>
    <t>BA08 - PET-BA</t>
  </si>
  <si>
    <t>SP01 - PVC-SP</t>
  </si>
  <si>
    <t>BA05 - CPL-BA</t>
  </si>
  <si>
    <t>BA03 - PVC-BA</t>
  </si>
  <si>
    <t>BA02 - CS-BA</t>
  </si>
  <si>
    <t>AL03 - PVC-AL</t>
  </si>
  <si>
    <t>AL02 - CS-AL</t>
  </si>
  <si>
    <t>REV.</t>
  </si>
  <si>
    <t xml:space="preserve">PR </t>
  </si>
  <si>
    <t>CO</t>
  </si>
  <si>
    <t>PC</t>
  </si>
  <si>
    <t>PP</t>
  </si>
  <si>
    <t>LE</t>
  </si>
  <si>
    <t>LD</t>
  </si>
  <si>
    <t>CP</t>
  </si>
  <si>
    <t>CC</t>
  </si>
  <si>
    <t>CA</t>
  </si>
  <si>
    <t>Novo</t>
  </si>
  <si>
    <t>Substituição</t>
  </si>
  <si>
    <t>INSPEÇÃO</t>
  </si>
  <si>
    <t>L</t>
  </si>
  <si>
    <t>A</t>
  </si>
  <si>
    <t>B</t>
  </si>
  <si>
    <t>C</t>
  </si>
  <si>
    <t>D</t>
  </si>
  <si>
    <t>EQUIPO</t>
  </si>
  <si>
    <t>NA</t>
  </si>
  <si>
    <t>Recuperação</t>
  </si>
  <si>
    <t>Raquel Adornato</t>
  </si>
  <si>
    <t>raquel.adornato@braskem.com.br</t>
  </si>
  <si>
    <t>55 (82) 3177-5188</t>
  </si>
  <si>
    <t>JPNOR</t>
  </si>
  <si>
    <t>MANA</t>
  </si>
  <si>
    <t>IDOM</t>
  </si>
  <si>
    <t>PROGEN</t>
  </si>
  <si>
    <t>KTY</t>
  </si>
  <si>
    <t>LINDE</t>
  </si>
  <si>
    <t>PROCAD</t>
  </si>
  <si>
    <t>JPPA</t>
  </si>
  <si>
    <t>LUMMUS</t>
  </si>
  <si>
    <t>WORLEY PARSONS</t>
  </si>
  <si>
    <t>STONE WEBSTER</t>
  </si>
  <si>
    <t>CALDEIRARIA</t>
  </si>
  <si>
    <t>ROTATIVOS</t>
  </si>
  <si>
    <t>ELÉTRICA</t>
  </si>
  <si>
    <t>INSTRUMENTAÇÃO</t>
  </si>
  <si>
    <t>AUTOMAÇÃO</t>
  </si>
  <si>
    <t>TUBULAÇÃO</t>
  </si>
  <si>
    <t>Centro Logístico</t>
  </si>
  <si>
    <t>Endereço entrega Databook</t>
  </si>
  <si>
    <t>Contato</t>
  </si>
  <si>
    <t>e-mail</t>
  </si>
  <si>
    <t>Fones</t>
  </si>
  <si>
    <t>Projetista</t>
  </si>
  <si>
    <t>Disciplina</t>
  </si>
  <si>
    <t>LOCAL DE ENTREGA DATABOOK</t>
  </si>
  <si>
    <t>SELECIONE A DISCIPLINA</t>
  </si>
  <si>
    <t>SELECIONE CENTRO LOGÍSTICO</t>
  </si>
  <si>
    <t>OPCAO</t>
  </si>
  <si>
    <t>X</t>
  </si>
  <si>
    <t>PADRÃO DE PINTURA</t>
  </si>
  <si>
    <t>PS1</t>
  </si>
  <si>
    <t>PS2</t>
  </si>
  <si>
    <t>PS3</t>
  </si>
  <si>
    <t>PS4</t>
  </si>
  <si>
    <t>Preparo por limpeza mecânica - Grau ST3</t>
  </si>
  <si>
    <t>Preparo com jato abrasivo seco - Grau SA 2.1/2</t>
  </si>
  <si>
    <t>Preparo com hidrojateamento - Grau WJ-1</t>
  </si>
  <si>
    <t>Preparo com hidrojateamento - Grau WJ-4</t>
  </si>
  <si>
    <t>Tintas de Fundo</t>
  </si>
  <si>
    <t>Grau de Peparo da Superficie</t>
  </si>
  <si>
    <t>TF1</t>
  </si>
  <si>
    <t>TF2</t>
  </si>
  <si>
    <t>TF3</t>
  </si>
  <si>
    <t>TF4</t>
  </si>
  <si>
    <t>TF5</t>
  </si>
  <si>
    <t>TF6</t>
  </si>
  <si>
    <t>Fosfato de zinco epoxi de alta espessura</t>
  </si>
  <si>
    <t>Etil silicato de zinco</t>
  </si>
  <si>
    <t>Epoxi isocianato (Tinta de aderência)</t>
  </si>
  <si>
    <t>Tinta de fundo zinco epoxi</t>
  </si>
  <si>
    <t>Tintas Intermediaria</t>
  </si>
  <si>
    <t>TI1</t>
  </si>
  <si>
    <t>TI2</t>
  </si>
  <si>
    <t>TI3</t>
  </si>
  <si>
    <t>TI4</t>
  </si>
  <si>
    <t>TI5</t>
  </si>
  <si>
    <t>Óxido de ferro epoxi</t>
  </si>
  <si>
    <t>Fosfato de zinco epoxi</t>
  </si>
  <si>
    <t>Epoxi de alta espessura</t>
  </si>
  <si>
    <t>Epoxi sem solvente</t>
  </si>
  <si>
    <t>Tintas de Acabamento</t>
  </si>
  <si>
    <t>TA1</t>
  </si>
  <si>
    <t>TA2</t>
  </si>
  <si>
    <t>TA3</t>
  </si>
  <si>
    <t>TA4</t>
  </si>
  <si>
    <t>TA5</t>
  </si>
  <si>
    <t>TA6</t>
  </si>
  <si>
    <t>TA7</t>
  </si>
  <si>
    <t>TA8</t>
  </si>
  <si>
    <t>Poliuretano acrilico</t>
  </si>
  <si>
    <t>Esmalte sintético brilhante</t>
  </si>
  <si>
    <t>Esmalte fenólico -  Alumínio</t>
  </si>
  <si>
    <t>Etil silicato pigmentado com alumínio</t>
  </si>
  <si>
    <t>Esmalte silicone modificado</t>
  </si>
  <si>
    <t>Epoxi para superfícies úmidas</t>
  </si>
  <si>
    <t>Epoxi pigmentada com alumínio</t>
  </si>
  <si>
    <t>SELECIONE</t>
  </si>
  <si>
    <t>N/A</t>
  </si>
  <si>
    <t>Cores Base</t>
  </si>
  <si>
    <t>Alumínio</t>
  </si>
  <si>
    <t>AL01 - SALGEMA-AL</t>
  </si>
  <si>
    <t>AL04 - CINAL</t>
  </si>
  <si>
    <t>AL05 - ALCLOR</t>
  </si>
  <si>
    <t>BA06 - TERMINAL DE GASES-TEGAL</t>
  </si>
  <si>
    <t>BA09 - ESCRITÓRIO SALVADOR</t>
  </si>
  <si>
    <t>BA10 - BRASKEM DISTRIB.-CAMAÇARI</t>
  </si>
  <si>
    <t>BA11 - PE3-BA</t>
  </si>
  <si>
    <t>BA12 - BRK-IMP</t>
  </si>
  <si>
    <t>BA13 - ETENODUTO</t>
  </si>
  <si>
    <t>BA14 - BRASPAR</t>
  </si>
  <si>
    <t>MA01 - TERMINAL ITAQUI</t>
  </si>
  <si>
    <t>MG01 - CD-CONTAGEM</t>
  </si>
  <si>
    <t>PE01 - TERMINAL SUAPE</t>
  </si>
  <si>
    <t>PE02 - ESCRITÓRIO RECIFE</t>
  </si>
  <si>
    <t>PR01 - CD-ARAUCÁRIA</t>
  </si>
  <si>
    <t>RJ02 - ESCRITÓRIO RIO</t>
  </si>
  <si>
    <t>SC01 - TERMINAL IMBITUBA</t>
  </si>
  <si>
    <t>SC02 - ESCRITÓRIO-FLORIANOPOLIS</t>
  </si>
  <si>
    <t>SC03 - BRASKEM DISTRIB.-JOINVILE</t>
  </si>
  <si>
    <t>SP02 - ESCRITÓRIO VILLA LOBOS</t>
  </si>
  <si>
    <t>SP03 - TERMINAL SANTOS</t>
  </si>
  <si>
    <t>SP04 - BRASKEM DISTRIB.-PAULINIA</t>
  </si>
  <si>
    <t>RJ01 - TERIO</t>
  </si>
  <si>
    <t>SP05 - ESCRITÓRIO DUNAS</t>
  </si>
  <si>
    <t>5 Y 8/12 - Amarelo Segurança</t>
  </si>
  <si>
    <t>2.5 PB 8/4 - Azul Pastel</t>
  </si>
  <si>
    <t>2.5 PB 4/10 - Azul Segurança</t>
  </si>
  <si>
    <t>N 9.5 - Branco</t>
  </si>
  <si>
    <t>N 6.5 - Cinza Claro</t>
  </si>
  <si>
    <t>N 3.5 - Cinza Escuro</t>
  </si>
  <si>
    <t>2.5 Y 9/4 - Creme Claro</t>
  </si>
  <si>
    <t>2.5 YR 6/14 - Laranja Segurança</t>
  </si>
  <si>
    <t>2.5 YR 2/4 - Marrom</t>
  </si>
  <si>
    <t>N 1 - Preto</t>
  </si>
  <si>
    <t>10 P 4/10 - Púrpura / Lilás</t>
  </si>
  <si>
    <t>10 GY 6/6 - Verde Segurança</t>
  </si>
  <si>
    <t>5 G 8/4 - Verde Pastel</t>
  </si>
  <si>
    <t>5 R 4/14 - Vermelho Segurança</t>
  </si>
  <si>
    <t>Priscila Fernandes</t>
  </si>
  <si>
    <t xml:space="preserve">priscila.fernandes@braskem.com.br </t>
  </si>
  <si>
    <t>55 (11) 3202-6534</t>
  </si>
  <si>
    <t>GENPRO</t>
  </si>
  <si>
    <t>CHEMTECH</t>
  </si>
  <si>
    <t>TECHNIP</t>
  </si>
  <si>
    <t>FOSTER WHEELER</t>
  </si>
  <si>
    <t>55  (71) 3413-2169</t>
  </si>
  <si>
    <t>Rua Eteno, 1561, COPEC, Camaçari – BA, CEP - 42810-000</t>
  </si>
  <si>
    <t>Av. Assis Chateaubriand, 5260, Portal da Barra, Maceió – AL, CEP - 57010-900</t>
  </si>
  <si>
    <t>Rua Guamiranga, 1674, Vila Prudente, São Paulo - SP, CEP - 04220-000</t>
  </si>
  <si>
    <t>Via Oeste, Lote 5, Passo Raso,  Triunfo – RS, CEP - 95853-000</t>
  </si>
  <si>
    <t>Rodovia SP 332, km 134, Sitio Planalto Paulista, Paulinia - SP, CEP - 13140-000</t>
  </si>
  <si>
    <t>Andrea Brasil</t>
  </si>
  <si>
    <t>andrea.brasil@gruparc.com.br</t>
  </si>
  <si>
    <t>55 (11) 3957-7125</t>
  </si>
  <si>
    <t>SP08 - PP3-PAULINIA</t>
  </si>
  <si>
    <t>BRASKEM S.A. UNIB-BA</t>
  </si>
  <si>
    <t>BRASKEM S.A. CS-AL</t>
  </si>
  <si>
    <t>BRASKEM S.A. PVC-SP</t>
  </si>
  <si>
    <t>BRASKEM S.A. PP-RS</t>
  </si>
  <si>
    <t>BRASKEM S.A. PP3-SP</t>
  </si>
  <si>
    <t>Aline Renz</t>
  </si>
  <si>
    <t>aline.renz@braskem.com.br</t>
  </si>
  <si>
    <t>55 (51) 3721-8113</t>
  </si>
  <si>
    <t>lucia.portela@braskem.com.br</t>
  </si>
  <si>
    <t>Lúcia Portela</t>
  </si>
  <si>
    <t>RU</t>
  </si>
  <si>
    <t>Revestimento Único (TF+Acab. Fenólico)</t>
  </si>
  <si>
    <t>Munsell</t>
  </si>
  <si>
    <t>IN</t>
  </si>
  <si>
    <t>CS</t>
  </si>
  <si>
    <t>AC</t>
  </si>
  <si>
    <t>Preliminary</t>
  </si>
  <si>
    <t>CÓDIGO DE PROJETO (PJ)</t>
  </si>
  <si>
    <t>N° PROJETISTA</t>
  </si>
  <si>
    <t>FOLHA</t>
  </si>
  <si>
    <t>N° BRASKEM</t>
  </si>
  <si>
    <t>PLANTA</t>
  </si>
  <si>
    <t>ÁREA</t>
  </si>
  <si>
    <t>TITULO DO PROJETO</t>
  </si>
  <si>
    <t>Data</t>
  </si>
  <si>
    <t>Codigo</t>
  </si>
  <si>
    <t>Descrição</t>
  </si>
  <si>
    <t>Elaborado</t>
  </si>
  <si>
    <t>Verificado</t>
  </si>
  <si>
    <t>Aprovado</t>
  </si>
  <si>
    <t>Código de Emissão (Finalidade)</t>
  </si>
  <si>
    <t>Aceite Certif.</t>
  </si>
  <si>
    <t>Informativo</t>
  </si>
  <si>
    <t>Para Comentário</t>
  </si>
  <si>
    <t>Para Cotação</t>
  </si>
  <si>
    <t>Para Compra</t>
  </si>
  <si>
    <t>Liberado para Execução</t>
  </si>
  <si>
    <t>Liberado para Det.</t>
  </si>
  <si>
    <t>Conforme Comprado</t>
  </si>
  <si>
    <t>Conforme Construido</t>
  </si>
  <si>
    <t>Cancel./Substit.</t>
  </si>
  <si>
    <t>Cancelado</t>
  </si>
  <si>
    <t>Notas:</t>
  </si>
  <si>
    <t>Documentos de referência:</t>
  </si>
  <si>
    <t>SP08</t>
  </si>
  <si>
    <t>02000</t>
  </si>
  <si>
    <t>PJ-1700281</t>
  </si>
  <si>
    <t>1/2</t>
  </si>
  <si>
    <t>SP08-PP3</t>
  </si>
  <si>
    <t>PP3-ADEQUAÇÕES PARA INSTALAÇÃO DE CALDEIRA ELÉTRICA</t>
  </si>
  <si>
    <t>CENTRO LOGÍSTICO:</t>
  </si>
  <si>
    <t>ÁREA:</t>
  </si>
  <si>
    <t>PLANTA:</t>
  </si>
  <si>
    <t>LISTA DE CABOS</t>
  </si>
  <si>
    <t>CABO 
(TAG DO CIRCUITO)</t>
  </si>
  <si>
    <t>DE</t>
  </si>
  <si>
    <t>TIPO</t>
  </si>
  <si>
    <t>COMPR.
(m)</t>
  </si>
  <si>
    <t>FABRICANTE</t>
  </si>
  <si>
    <t>SEGURANÇA INTRÍNSECA</t>
  </si>
  <si>
    <t>BOBINA</t>
  </si>
  <si>
    <t>PERCURSO</t>
  </si>
  <si>
    <t>DOCUMENTOS DE REFERÊNCIA</t>
  </si>
  <si>
    <t>CAPA EXT. (COR)</t>
  </si>
  <si>
    <t>MODELO</t>
  </si>
  <si>
    <t>CÓDIGO DE SUPRIMENTO</t>
  </si>
  <si>
    <t>PRETA</t>
  </si>
  <si>
    <t>COMPR. TOTAL 
(m)</t>
  </si>
  <si>
    <t>COMPR. PARCIAL 
(m)</t>
  </si>
  <si>
    <t>1x3/C#4 mm²</t>
  </si>
  <si>
    <t>CABOS DE BAIXA TENSÃO - 220 V</t>
  </si>
  <si>
    <t>ISOLAÇÃO EPR
0,6/1kV 90°C</t>
  </si>
  <si>
    <t>CCCM</t>
  </si>
  <si>
    <t>VGAM</t>
  </si>
  <si>
    <t>PMSS</t>
  </si>
  <si>
    <t>LISTA DE CABOS ELÉTRICOS</t>
  </si>
  <si>
    <t>PARA COMENTÁRIOS, PJ-1700281, SANDECH</t>
  </si>
  <si>
    <t>NOTA 1</t>
  </si>
  <si>
    <t>QDG-T1STR</t>
  </si>
  <si>
    <t>1x4/C#25 mm²</t>
  </si>
  <si>
    <t>ELETROCENTRO &gt; DESMI</t>
  </si>
  <si>
    <t>CABOS DE BAIXA TENSÃO - 440 V</t>
  </si>
  <si>
    <t>1x4/C#6 mm²</t>
  </si>
  <si>
    <t>1x4/C#10 mm²</t>
  </si>
  <si>
    <t>ELETROCENTRO &gt; CALDEIRA</t>
  </si>
  <si>
    <t>ELETROCENTRO &gt; DESAERADOR</t>
  </si>
  <si>
    <t>CABOS DE MÉDIA TENSÃO - 13,8 kV</t>
  </si>
  <si>
    <t>SS#1 &gt; ELETROCENTRO</t>
  </si>
  <si>
    <t>ISOLAÇÃO EPR
8,7/15 kV 105°C</t>
  </si>
  <si>
    <t>1 / 5</t>
  </si>
  <si>
    <t>2 / 5</t>
  </si>
  <si>
    <t>3 / 5</t>
  </si>
  <si>
    <t>4 / 5</t>
  </si>
  <si>
    <t>5 / 5</t>
  </si>
  <si>
    <t>MVS1 A/B</t>
  </si>
  <si>
    <t>ELETROCENTRO &gt; BOP</t>
  </si>
  <si>
    <t>1x4/C#4 mm²</t>
  </si>
  <si>
    <t>BK-SP08-02000-LC-79-00001</t>
  </si>
  <si>
    <t>LI-CBE-25.248-529-0002_A
9048.E.LI.SAN.001-01</t>
  </si>
  <si>
    <t>LI-CBE-25.248-529-0002_A / 9048.E.LI.SAN.001-01</t>
  </si>
  <si>
    <t>LSB-2001-MP2011-01F</t>
  </si>
  <si>
    <t>LSB-2001</t>
  </si>
  <si>
    <t>LSB-2001-MP2012-01F</t>
  </si>
  <si>
    <t>LSB-2001-MP2013-01F</t>
  </si>
  <si>
    <t>LSB-2001-MP2015-01F</t>
  </si>
  <si>
    <t>LSB-2001-MP2016-01F</t>
  </si>
  <si>
    <t>LSB-2001-MP2019-01F</t>
  </si>
  <si>
    <t>LSB-2001-MP2020-01F</t>
  </si>
  <si>
    <t>LSB-2001-MP2021-01F</t>
  </si>
  <si>
    <t>LSB-2001-MP2022-01F</t>
  </si>
  <si>
    <t>LSB-2001-01L</t>
  </si>
  <si>
    <t>LSB-2001-02L</t>
  </si>
  <si>
    <t>LSB-2001-03L</t>
  </si>
  <si>
    <t>LSB-2001-04L</t>
  </si>
  <si>
    <t>LSB-2001-05L</t>
  </si>
  <si>
    <t>LSB-2001-D2022-01F</t>
  </si>
  <si>
    <t>LSB-2001-D2023-01F</t>
  </si>
  <si>
    <t>CCM-2001</t>
  </si>
  <si>
    <t>CCM-2001-MP2017-01F</t>
  </si>
  <si>
    <t>CCM-2001-MP2007-01F</t>
  </si>
  <si>
    <t>CCM-2001-MP2010-01F</t>
  </si>
  <si>
    <t>CCM-2001-MP2014-01F</t>
  </si>
  <si>
    <t>CCM-2001-MP2030-01F</t>
  </si>
  <si>
    <t>CCM-2001-MP2031-01F</t>
  </si>
  <si>
    <t>CCM-2001-MP2018-01F</t>
  </si>
  <si>
    <t>CCM-2001-MP2003-01F</t>
  </si>
  <si>
    <t>CCM-2001-MP2004-01F</t>
  </si>
  <si>
    <t>CCM-2001-MP2001-01F</t>
  </si>
  <si>
    <t>CCM-2001-MP2002-01F</t>
  </si>
  <si>
    <t>CCM-2001-MP2008-01F</t>
  </si>
  <si>
    <t>CCM-2001-MP2009-01F</t>
  </si>
  <si>
    <t>CCM-2001-MP2005-01F</t>
  </si>
  <si>
    <t>CCM-2001-MP2006-01F</t>
  </si>
  <si>
    <t>CCM-2001-MP2026-01F</t>
  </si>
  <si>
    <t>CCM-2001-MP2027-01F</t>
  </si>
  <si>
    <t>CCM-2001-MP2024-01F</t>
  </si>
  <si>
    <t>CCM-2001-MP2025-01F</t>
  </si>
  <si>
    <t>CCM-2001-MP2023-01F</t>
  </si>
  <si>
    <t>QD-2001-PLC-20-02-01F</t>
  </si>
  <si>
    <t>QD-2001</t>
  </si>
  <si>
    <t>QD-2001-PLC-20-02-02F</t>
  </si>
  <si>
    <t>QDG-T1STR-QD-2001-01F</t>
  </si>
  <si>
    <t>LSB-2001-TS-2001-01F</t>
  </si>
  <si>
    <t>LSB-2001-TS-2002-01F</t>
  </si>
  <si>
    <t>MVS1A/B-MVS-2001-01F</t>
  </si>
  <si>
    <t>MVS-2001</t>
  </si>
  <si>
    <t>PARA
(TAG FORNECEDOR/ COMBIO/ BRASKEM)</t>
  </si>
  <si>
    <t>PARA
(TAG FORNECEDOR / COMBIO / BRASKEM)</t>
  </si>
  <si>
    <t xml:space="preserve">BD-10-01 / 42.MBD002 / MP2011 </t>
  </si>
  <si>
    <t xml:space="preserve">BD-11-01 / 42.MBD001 / MP2012 </t>
  </si>
  <si>
    <t xml:space="preserve">BD-12-01 / 42.MBD003 / MP2013 </t>
  </si>
  <si>
    <t xml:space="preserve">BD-51-01 / 42.MBD004 / MP2015 </t>
  </si>
  <si>
    <t>BD-52-01 / 42.MBD005 / MP2016</t>
  </si>
  <si>
    <t xml:space="preserve">BD-65-01 / 42.MBD007 / MP2019 </t>
  </si>
  <si>
    <t xml:space="preserve">BD-66-01 / 42.MBD008 / MP2020 </t>
  </si>
  <si>
    <t xml:space="preserve">BD-67-01 / 42.MBD009 / MP2021 </t>
  </si>
  <si>
    <t xml:space="preserve">BD-68-01 / 42.MBD010 / MP2022 </t>
  </si>
  <si>
    <t xml:space="preserve">53.PN003-02L / LSB-2001-02L </t>
  </si>
  <si>
    <t xml:space="preserve"> 53.PN003-01L / LSB-2001-01L</t>
  </si>
  <si>
    <t xml:space="preserve"> 53.PN003-03L / LSB-2001-03L</t>
  </si>
  <si>
    <t>53.PN003-04L / LSB-2001-04L</t>
  </si>
  <si>
    <t xml:space="preserve">53.PN003-05L / LSB-2001-05L </t>
  </si>
  <si>
    <t>P-22-008 / 61.PN002 / PLC-20-02</t>
  </si>
  <si>
    <t>AN001 / 22.VT001 / C2003</t>
  </si>
  <si>
    <t>CCM-2001-C2003-01F</t>
  </si>
  <si>
    <t xml:space="preserve">DP401 / N/A / D2022 </t>
  </si>
  <si>
    <t xml:space="preserve">DP402 / N/A / D2023 </t>
  </si>
  <si>
    <t>22.TOM001 / TS-2001</t>
  </si>
  <si>
    <t>22.TOM002 / TS-2002</t>
  </si>
  <si>
    <t xml:space="preserve"> 53.PN004 / QD-2001</t>
  </si>
  <si>
    <t>BD-53-01 / 42.MBD006 / MP2017</t>
  </si>
  <si>
    <t>BC-90-01 / 42.MBC005A / MP2007</t>
  </si>
  <si>
    <t>BC-90-02 / 42.MBC005B / MP2010</t>
  </si>
  <si>
    <t xml:space="preserve">BC-62-01 / 42.MBC002 / MP2014 </t>
  </si>
  <si>
    <t xml:space="preserve"> N/A / 42.MBC009A / MP2030 </t>
  </si>
  <si>
    <t xml:space="preserve">N/A / 42.MBC009B / MP2031 </t>
  </si>
  <si>
    <t xml:space="preserve">BC-63-01 / 42.MBC006 / MP2018 </t>
  </si>
  <si>
    <t>BC-72-01 /  42.MBC003A / MP2003</t>
  </si>
  <si>
    <t>BC-72-02 / 42.MBC003B / MP2004</t>
  </si>
  <si>
    <t>BC-70-01 / 42.MBC001A / MP2001</t>
  </si>
  <si>
    <t>BC-70-02 / 42.MBC001B / MP2002</t>
  </si>
  <si>
    <t>BC-91-01 / 42.MBC007A / MP2008</t>
  </si>
  <si>
    <t>BC-91-02 / 42.MBC007B / MP2009</t>
  </si>
  <si>
    <t>BC-73-01 / 42.MBC004A / MP2005</t>
  </si>
  <si>
    <t>BC-73-02 / 42.MBC004B / MP2006</t>
  </si>
  <si>
    <t>CP301 / 22.MBC003 / MP2026</t>
  </si>
  <si>
    <t>CP302 / 22.MBC004 / MP2027</t>
  </si>
  <si>
    <t xml:space="preserve">FWP701 / 21.MBC001 / MP2024 </t>
  </si>
  <si>
    <t xml:space="preserve">FWP702 / 21.MBC002 / MP2025 </t>
  </si>
  <si>
    <t xml:space="preserve">BC-28-01 / 42.MBC008 / MP2023 </t>
  </si>
  <si>
    <t xml:space="preserve"> EH101 / 22.AQ001 / E2001</t>
  </si>
  <si>
    <t>CCM-2001-E2001-01F</t>
  </si>
  <si>
    <t xml:space="preserve"> 53.PN003-06L / LSB-2001-06L</t>
  </si>
  <si>
    <t>LSB-2001-06L</t>
  </si>
  <si>
    <t>LSB-2001-07L</t>
  </si>
  <si>
    <t>LSB-2001-08L</t>
  </si>
  <si>
    <t xml:space="preserve"> 53.PN003-07L / LSB-2001-07L</t>
  </si>
  <si>
    <t xml:space="preserve"> 53.PN003-08L / LSB-2001-08L</t>
  </si>
  <si>
    <t>CABOS DE BAIXA TENSÃO - 24Vcc</t>
  </si>
  <si>
    <t xml:space="preserve"> 61.PN005-BRK / RCK-20-01 </t>
  </si>
  <si>
    <t>QDI-21.03</t>
  </si>
  <si>
    <t>QDI-21.03-RCK-20-01-01F</t>
  </si>
  <si>
    <t>1x4/C#35 mm²</t>
  </si>
  <si>
    <t>1x(3x1/C#185) mm²</t>
  </si>
  <si>
    <t>MVS-2001-EB2001-01F</t>
  </si>
  <si>
    <t>BK-SP08-02000-DI-70-00001
BK-SP08-02000-MC-74-00001
BK-SP08-02000-DP-71-00003</t>
  </si>
  <si>
    <t>BK-SP08-02000-DI-70-00001
BK-SP08-02000-MC-74-00001
BK-SP08-02000-DP-71-00001</t>
  </si>
  <si>
    <t>ELETROCENTRO &gt; ARRUAMENTO
 (ENTORNO DA UPV)</t>
  </si>
  <si>
    <t>ELETROCENTRO &gt; ARRUAMENTO
(ENTORNO DA CALDEIRA)</t>
  </si>
  <si>
    <t>BK-SP08-02000-DI-70-00001
BK-SP08-02000-MC-75-00002
BK-SP08-02000-DP-71-00002</t>
  </si>
  <si>
    <t>BK-SP08-02000-DI-70-00001
BK-SP08-02000-MC-75-00002
BK-SP08-02000-DP-71-00003</t>
  </si>
  <si>
    <t>SALA DE CONTROLE</t>
  </si>
  <si>
    <t>2. BK-SP08-02000-DI-70-00001 - DIAGRAMA UNIFILAR GERAL;</t>
  </si>
  <si>
    <t>1. BK-SP08-02000-MC-74-00001 - MEMÓRIA DE CÁLCULO – CABOS – BAIXA TENSÃO;</t>
  </si>
  <si>
    <t>3. BK-SP08-02000-MC-75-00002 - MEMÓRIA DE CÁLCULO – CABOS – MÉDIA TENSÃO;</t>
  </si>
  <si>
    <t>1. Fabricante cadastrado no vendor list da BRASKEM;</t>
  </si>
  <si>
    <t>6. BK-SP08-02000-DP-71-00003 - PLANTA DE FORÇA - PLANTA GERAL UPV;</t>
  </si>
  <si>
    <t>4. BK-SP08-02000-DP-71-00001 - PLANTA DE DISTRIBUIÇÃO DE ILUMINAÇÃO NORMAL E EMERGÊNCIA;</t>
  </si>
  <si>
    <t>#SS1 &gt; ELETROCENTRO</t>
  </si>
  <si>
    <t>DESCRITIVO</t>
  </si>
  <si>
    <t>BOMBA DOSADORA ELETROMAGNÉTICA 
DE HIPOCLORITO DE SÓDIO</t>
  </si>
  <si>
    <t xml:space="preserve"> BOMBA DOSADORA ELETROMAGNÉTICA 
DE HIDRÓXIDO DE SÓDIO</t>
  </si>
  <si>
    <t>BOMBA DOSADORA ELETROMAGNÉTICA 
DE COAGULANTE</t>
  </si>
  <si>
    <t>BOMBA DOSADORA ELETROMAGNÉTICA 
DE ÁCIDO CLORÍDRICO (CEB)</t>
  </si>
  <si>
    <t>BOMBA DOSADORA ELETROMAGNÉTICA 
DE HIDRÓXIDO DE SÓDIO (CEB)</t>
  </si>
  <si>
    <t>BOMBA DOSADORA ELETROMAGNÉTICA 
DE CORREÇÃO DE PH</t>
  </si>
  <si>
    <t>BOMBA DOSADORA ELETROMAGNÉTICA 
DE BISSULFITO</t>
  </si>
  <si>
    <t>BOMBA DOSADORA ELETROMAGNÉTICA 
DE ANTI-INCRUSTANTE</t>
  </si>
  <si>
    <t>BOMBA DOSADORA ELETROMAGNÉTICA 
DE BIOCIDA</t>
  </si>
  <si>
    <t>ILUMINAÇÃO DO ARRUAMENTO 
(ENTORNO DA UPV)</t>
  </si>
  <si>
    <t>ILUMINAÇÃO DO ARRUAMENTO 
(ENTORNO DA CALDEIRA)</t>
  </si>
  <si>
    <t>ILUMINAÇÃO 
CALDEIRA</t>
  </si>
  <si>
    <t>ILUMINAÇÃO 
DESMI</t>
  </si>
  <si>
    <t>ILUMINAÇÃO 
DESAERADOR</t>
  </si>
  <si>
    <t>ILUMINAÇÃO EMERGÊNCIA 
CALDEIRA</t>
  </si>
  <si>
    <t>ILUMINAÇÃO EMERGÊNCIA 
DESMI</t>
  </si>
  <si>
    <t>ILUMINAÇÃO EMERGÊNCIA 
DESAERADOR</t>
  </si>
  <si>
    <t>PLC DESMI</t>
  </si>
  <si>
    <t>PLC DESMI
(ALIMENTAÇÃO REDUNDANTE)</t>
  </si>
  <si>
    <t>ALIMENTAÇÃO REDUNDANTE DO PAINEL 
DE ENERGIA ESTABILIZADA</t>
  </si>
  <si>
    <t>BOMBA DOSADORA 1 DE QUÍMICOS DA 
CALDEIRA</t>
  </si>
  <si>
    <t>BOMBA DOSADORA 2 DE QUÍMICOS DA 
CALDEIRA</t>
  </si>
  <si>
    <t>TOMADAS PARA MANUTENÇÃO
CALDEIRA</t>
  </si>
  <si>
    <t>TOMADAS PARA MANUTENÇÃO 
DESMI</t>
  </si>
  <si>
    <t>BOMBA DOSADORA ELETROMECÂNICA 
DE HIPOCLORITO DE SÓDIO (CEB)</t>
  </si>
  <si>
    <t>BOMBA CENTRÍFUGA DE RECIRCULAÇÃO 
DE PERMEADO
(PRINCIPAL)</t>
  </si>
  <si>
    <t>BOMBA CENTRÍFUGA DE RECIRCULAÇÃO 
DE PERMEADO
(RESERVA)</t>
  </si>
  <si>
    <t>BOMBA CENTRÍFUGA DE CIP DA 
ULTRAFILTRAÇÃO</t>
  </si>
  <si>
    <t>BOMBA DE EFLUENTE (BOP) 
(PRINCIPAL)
NÃO CONTAMINADOS</t>
  </si>
  <si>
    <t>BOMBA DE EFLUENTE (BOP) 
(RESERVA)
NÃO CONTAMINADOS</t>
  </si>
  <si>
    <t>BOMBA CENTRÍFUGA DE LIMPEZA CIP</t>
  </si>
  <si>
    <t>BOMBA CENTRÍFUGA DE
LAVAGEM DA ULTRAFILTRAÇÃO 
(PRINCIPAL)</t>
  </si>
  <si>
    <t>BOMBA CENTRÍFUGA DE LAVAGEM DA ULTRAFILTRAÇÃO 
(RESERVA)</t>
  </si>
  <si>
    <t>BOMBA CENTRÍFUGA DE ALIMENTAÇÃO 
DA ULTRAFILTRAÇÃO
(PRINCIPAL)</t>
  </si>
  <si>
    <t>BOMBA CENTRÍFUGA DE ALIMENTAÇÃO 
DA ULTRAFILTRAÇÃO
(RESERVA)</t>
  </si>
  <si>
    <t>BOMBA DE AQUECIMENTO DESAERADOR
(PRINCIPAL)</t>
  </si>
  <si>
    <t>BOMBA DE AQUECIMENTO DESAERADOR
(RESERVA)</t>
  </si>
  <si>
    <t>BOMBA DE ALIMENTAÇÃO DA OSMOSE REVERSA
(PRINCIPAL)</t>
  </si>
  <si>
    <t>BOMBA DE ALIMENTAÇÃO DA OSMOSE REVERSA
(RESERVA)</t>
  </si>
  <si>
    <t>BOMBA DE CIRCULAÇÃO 1 
(PRINCIPAL)</t>
  </si>
  <si>
    <t>BOMBA DE CIRCULAÇÃO 2 
(RESERVA)</t>
  </si>
  <si>
    <t>BOMBA DE ÁGUA 1 
(PRINCIPAL)</t>
  </si>
  <si>
    <t>BOMBA DE ÁGUA 2 
(RESERVA)</t>
  </si>
  <si>
    <t>BOMBA DE ALTA PRESSÃO DA OSMOSE REVERSA</t>
  </si>
  <si>
    <t>AQUECEDOR 
(STAND-BY)</t>
  </si>
  <si>
    <t>VENTILADOR GAIOLA PROTEÇÃO MÉDIA 
TENSÃO</t>
  </si>
  <si>
    <t xml:space="preserve">CALDEIRA ELÉTRICA </t>
  </si>
  <si>
    <t>PAINEL DE INTERFACE - MODBUS TCP IP</t>
  </si>
  <si>
    <t>PAINEL DE MÉDIA TENSÃO 13,8kV</t>
  </si>
  <si>
    <t>BOBINA 1</t>
  </si>
  <si>
    <t>BOBINA 2</t>
  </si>
  <si>
    <t>BOBINA 3</t>
  </si>
  <si>
    <t>BOBINA 4</t>
  </si>
  <si>
    <t>BOBINA 5</t>
  </si>
  <si>
    <t>BOBINA 6</t>
  </si>
  <si>
    <t>BOBINA 7</t>
  </si>
  <si>
    <t>2. Para mais informações sobre o encaminhamento dos cabos, consultar os documentos de referência;</t>
  </si>
  <si>
    <t>circuito 1</t>
  </si>
  <si>
    <t>circuito 2</t>
  </si>
  <si>
    <t>circuito 3</t>
  </si>
  <si>
    <t>circuito 4</t>
  </si>
  <si>
    <t>circuito 5</t>
  </si>
  <si>
    <t>circuito 6</t>
  </si>
  <si>
    <t>circuito 7</t>
  </si>
  <si>
    <t>circuito 8</t>
  </si>
  <si>
    <t>circuito 9</t>
  </si>
  <si>
    <t>circuito 10</t>
  </si>
  <si>
    <t>circuito 11</t>
  </si>
  <si>
    <t>circuito 12</t>
  </si>
  <si>
    <t>circuito 13</t>
  </si>
  <si>
    <t>circuito 14</t>
  </si>
  <si>
    <t>circuito 15</t>
  </si>
  <si>
    <t>circuito 16</t>
  </si>
  <si>
    <t>circuito 17</t>
  </si>
  <si>
    <t>circuito 18</t>
  </si>
  <si>
    <t>circuito 19</t>
  </si>
  <si>
    <t>circuito 20</t>
  </si>
  <si>
    <t>circuito 21</t>
  </si>
  <si>
    <t>circuito 22</t>
  </si>
  <si>
    <t>circuito 23</t>
  </si>
  <si>
    <t>circuito 24</t>
  </si>
  <si>
    <t>circuito 25</t>
  </si>
  <si>
    <t>circuito 26</t>
  </si>
  <si>
    <t>circuito 27</t>
  </si>
  <si>
    <t>circuito 28</t>
  </si>
  <si>
    <t>circuito 29</t>
  </si>
  <si>
    <t>circuito 30</t>
  </si>
  <si>
    <t>circuito 31</t>
  </si>
  <si>
    <t>circuito 32</t>
  </si>
  <si>
    <t>circuito 33</t>
  </si>
  <si>
    <t>circuito 34</t>
  </si>
  <si>
    <t>circuito 35</t>
  </si>
  <si>
    <t>circuito 36</t>
  </si>
  <si>
    <t>circuito 37</t>
  </si>
  <si>
    <t>circuito 38</t>
  </si>
  <si>
    <t>circuito 39</t>
  </si>
  <si>
    <t>circuito 40</t>
  </si>
  <si>
    <t>circuito 41</t>
  </si>
  <si>
    <t>circuito 42</t>
  </si>
  <si>
    <t>circuito 43</t>
  </si>
  <si>
    <t>circuito 44</t>
  </si>
  <si>
    <t>circuito 45</t>
  </si>
  <si>
    <t>circuito 46</t>
  </si>
  <si>
    <t>circuito 47</t>
  </si>
  <si>
    <t>circuito 48</t>
  </si>
  <si>
    <t>circuito 49</t>
  </si>
  <si>
    <t>NÚMERO</t>
  </si>
  <si>
    <t>TAG</t>
  </si>
  <si>
    <t>FORMAÇÃO</t>
  </si>
  <si>
    <t>m</t>
  </si>
  <si>
    <t>EB101 / 22.GV001 / EB2001</t>
  </si>
  <si>
    <t>CATALOGOS PRYSMIAN</t>
  </si>
  <si>
    <t>KG/KM</t>
  </si>
  <si>
    <t>1x1/C#185 mm²</t>
  </si>
  <si>
    <t>BOBINA IDEAL 200KG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</si>
  <si>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</si>
  <si>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</si>
  <si>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</si>
  <si>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</si>
  <si>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</si>
  <si>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</si>
  <si>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</si>
  <si>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</si>
  <si>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</si>
  <si>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</si>
  <si>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</si>
  <si>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</si>
  <si>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</si>
  <si>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</si>
  <si>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</si>
  <si>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5. BK-SP08-02000-DP-71-00002 - PLANTA DE FORÇA - PLANTA GERAL OSBL;</t>
  </si>
  <si>
    <t>CABOS DE BAIXA TENSÃO - 220V (COMANDO)</t>
  </si>
  <si>
    <t>FOTOCÉLULA</t>
  </si>
  <si>
    <t>LSB-2001-01C</t>
  </si>
  <si>
    <t>1x2/C#2,5 mm²</t>
  </si>
  <si>
    <t>ELETROCENTRO &gt; FOTOCÉLULA</t>
  </si>
  <si>
    <t>ACIONAMENTO ILUMINAÇÃO
(FOTOCÉLULA)</t>
  </si>
  <si>
    <t>circuito 50</t>
  </si>
  <si>
    <t>PESO [KG]</t>
  </si>
  <si>
    <t>COMPRIMENTO DE CABO [M]</t>
  </si>
  <si>
    <t>BOBINA 8</t>
  </si>
  <si>
    <t>BOBINA 15</t>
  </si>
  <si>
    <t>175 / 175 / 175</t>
  </si>
  <si>
    <t>BOBINA 9 /
BOBINA 10 /
BOBINA 11</t>
  </si>
  <si>
    <t>BOBINA 12 /
BOBINA 13 /
BOBINA 14</t>
  </si>
  <si>
    <t>58 / 58 / 58</t>
  </si>
  <si>
    <t>3x1/C#185 mm²</t>
  </si>
  <si>
    <t>LSB2001-MP2011-01F</t>
  </si>
  <si>
    <t>LSB2001-MP2012-01F</t>
  </si>
  <si>
    <t>LSB2001-MP2013-01F</t>
  </si>
  <si>
    <t>LSB2001-MP2015-01F</t>
  </si>
  <si>
    <t>LSB2001-MP2016-01F</t>
  </si>
  <si>
    <t>LSB2001-MP2019-01F</t>
  </si>
  <si>
    <t>LSB2001-MP2020-01F</t>
  </si>
  <si>
    <t>LSB2001-MP2021-01F</t>
  </si>
  <si>
    <t>LSB2001-MP2022-01F</t>
  </si>
  <si>
    <t>LSB2001-01L</t>
  </si>
  <si>
    <t>LSB2001-02L</t>
  </si>
  <si>
    <t>LSB2001-03L</t>
  </si>
  <si>
    <t>LSB2001-04L</t>
  </si>
  <si>
    <t>LSB2001-05L</t>
  </si>
  <si>
    <t>LSB2001-06L</t>
  </si>
  <si>
    <t>LSB2001-07L</t>
  </si>
  <si>
    <t>LSB2001-08L</t>
  </si>
  <si>
    <t>QD2001-PLC2002-01F</t>
  </si>
  <si>
    <t>QD2001-PLC2002-02F</t>
  </si>
  <si>
    <t>QDGT1STR-QD2001-01F</t>
  </si>
  <si>
    <t>LSB2001-D2022-01F</t>
  </si>
  <si>
    <t>LSB2001-D2023-01F</t>
  </si>
  <si>
    <t>LSB2001-TS2001-01F</t>
  </si>
  <si>
    <t>LSB2001-TS2002-01F</t>
  </si>
  <si>
    <t>CCM2001-MP2017-01F</t>
  </si>
  <si>
    <t>CCM2001-MP2007-01F</t>
  </si>
  <si>
    <t>CCM2001-MP2010-01F</t>
  </si>
  <si>
    <t>CCM2001-MP2014-01F</t>
  </si>
  <si>
    <t>CCM2001-MP2030-01F</t>
  </si>
  <si>
    <t>CCM2001-MP2031-01F</t>
  </si>
  <si>
    <t>CCM2001-MP2018-01F</t>
  </si>
  <si>
    <t>CCM2001-MP2003-01F</t>
  </si>
  <si>
    <t>CCM2001-MP2004-01F</t>
  </si>
  <si>
    <t>CCM2001-MP2001-01F</t>
  </si>
  <si>
    <t>CCM2001-MP2002-01F</t>
  </si>
  <si>
    <t>CCM2001-MP2008-01F</t>
  </si>
  <si>
    <t>CCM2001-MP2009-01F</t>
  </si>
  <si>
    <t>CCM2001-MP2005-01F</t>
  </si>
  <si>
    <t>CCM2001-MP2006-01F</t>
  </si>
  <si>
    <t>CCM2001-MP2026-01F</t>
  </si>
  <si>
    <t>CCM2001-MP2027-01F</t>
  </si>
  <si>
    <t>CCM2001-MP2024-01F</t>
  </si>
  <si>
    <t>CCM2001-MP2025-01F</t>
  </si>
  <si>
    <t>CCM2001-MP2023-01F</t>
  </si>
  <si>
    <t>CCM2001-E2001-01F</t>
  </si>
  <si>
    <t>CCM2001-C2003-01F</t>
  </si>
  <si>
    <t>MVS1A/B-MVS2001-01F</t>
  </si>
  <si>
    <t>MVS2001-EB2001-01F</t>
  </si>
  <si>
    <t>QDI2103-RCK2001-01F</t>
  </si>
  <si>
    <t>LSB2001-01C</t>
  </si>
  <si>
    <t>3. Para a determinação do peso das bobinas, foram utilizados como referência os cabos dos modelos Afumex Flex 0,6 / 1kV e Compact 105 8,7 / 15kV, ambos do fabricante Prysmian;</t>
  </si>
  <si>
    <t>B16</t>
  </si>
  <si>
    <t>BOBINA 16</t>
  </si>
  <si>
    <t>Bobina 13 - 58m - 125,5Kg - 1x1/C#185 mm² / Bobina 14 - 58m - 125,5Kg - 1x1/C#185 mm² / Bobina 15 - 11m - 2,5Kg - 1x3/C#4 mm² / Bobina 16 - 22m - 3Kg - 1x2/C#2,5 mm².</t>
  </si>
  <si>
    <t>Bobina 1 - 686m - 143Kg - 1x3/C#4 mm² / Bobina 2 - 707m - 147Kg - 1x3/C#4 mm² / Bobina 3 - 578m - 146Kg - 1x4/C#4 mm² / Bobina 4 - 555m - 140Kg - 1x4/C#4 mm²;</t>
  </si>
  <si>
    <t>Bobina 5 - 84m - 29Kg - 1x4/C#6 mm² / Bobina 6 - 146m - 78,5Kg - 1x4/C#10 mm² / Bobina 7 - 210m - 279Kg - 1x4/C#25 mm² / Bobina 8 - 80m - 130Kg - 1x4/C#35 mm²;</t>
  </si>
  <si>
    <t>Bobina 9 - 175m - 379Kg - 1x1/C#185 mm² / Bobina 10 - 175m - 379Kg - 1x1/C#185 mm² / Bobina 11 - 175m - 379Kg - 1x1/C#185 mm² / Bobina 12 - 58m - 125,5Kg - 1x1/C#185 mm²;</t>
  </si>
  <si>
    <t>As Bobinas foram dimensionadas de forma a não exceder o peso máximo de 200Kg solicitado pelo cliente, exceto quando necessário. Destaca-se que deverão ser observados os comprimentos padrão de fabricação das bobinas adotados pelo fornecedor no momento de aquisição. Os valores deverão ser iguais ou superiores às quantidades especificadas.</t>
  </si>
  <si>
    <t>BK-SP08-02100-DI-74-00002
BK-SP08-02000-MC-74-00001</t>
  </si>
  <si>
    <t>8. BK-SP08-02100-DI-74-00002 - QUADRO DE ALIMENTAÇÃO DE INSTRUMENTOS QDI-21.03.</t>
  </si>
  <si>
    <t>7. 9048.E.MC.GAL.001-01 - MEMÓRIA DE CÁLCULO - TC E TP, ARCO, CURTO E SELETIVIDADE;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</si>
</sst>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9"/>
      <name val="Times New Roman"/>
      <family val="1"/>
    </font>
    <font>
      <b/>
      <i/>
      <u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7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b/>
      <sz val="7"/>
      <name val="Arial"/>
      <family val="2"/>
    </font>
    <font>
      <b/>
      <sz val="7"/>
      <color indexed="8"/>
      <name val="Arial"/>
      <family val="2"/>
    </font>
    <font>
      <b/>
      <sz val="10"/>
      <color theme="1"/>
      <name val="Arial"/>
      <family val="2"/>
    </font>
    <font>
      <sz val="8"/>
      <name val="Arial"/>
    </font>
    <font>
      <sz val="11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9" fillId="0" borderId="0"/>
    <xf numFmtId="0" fontId="4" fillId="0" borderId="0"/>
    <xf numFmtId="0" fontId="24" fillId="0" borderId="0"/>
    <xf numFmtId="0" fontId="6" fillId="0" borderId="0"/>
  </cellStyleXfs>
  <cellXfs count="317">
    <xf numFmtId="0" fontId="0" fillId="0" borderId="0" xfId="0"/>
    <xf numFmtId="0" fontId="0" fillId="0" borderId="1" xfId="0" applyBorder="1"/>
    <xf numFmtId="0" fontId="8" fillId="0" borderId="0" xfId="0" applyFont="1"/>
    <xf numFmtId="0" fontId="6" fillId="0" borderId="0" xfId="0" applyFon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wrapText="1"/>
    </xf>
    <xf numFmtId="0" fontId="0" fillId="0" borderId="2" xfId="0" applyBorder="1"/>
    <xf numFmtId="0" fontId="0" fillId="0" borderId="2" xfId="0" quotePrefix="1" applyBorder="1"/>
    <xf numFmtId="0" fontId="15" fillId="2" borderId="2" xfId="0" applyFont="1" applyFill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7" fillId="0" borderId="0" xfId="0" applyFont="1"/>
    <xf numFmtId="0" fontId="15" fillId="2" borderId="3" xfId="0" applyFont="1" applyFill="1" applyBorder="1"/>
    <xf numFmtId="0" fontId="0" fillId="0" borderId="3" xfId="0" quotePrefix="1" applyBorder="1" applyAlignment="1">
      <alignment horizontal="center"/>
    </xf>
    <xf numFmtId="0" fontId="0" fillId="0" borderId="3" xfId="0" applyBorder="1"/>
    <xf numFmtId="0" fontId="15" fillId="2" borderId="4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4" fillId="0" borderId="7" xfId="1" applyBorder="1" applyAlignment="1" applyProtection="1">
      <alignment vertical="center" wrapText="1"/>
    </xf>
    <xf numFmtId="0" fontId="0" fillId="0" borderId="0" xfId="0" quotePrefix="1"/>
    <xf numFmtId="0" fontId="10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13" xfId="0" applyFont="1" applyBorder="1" applyAlignment="1">
      <alignment horizontal="left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4" fillId="0" borderId="17" xfId="1" applyBorder="1" applyAlignment="1" applyProtection="1">
      <alignment vertical="center"/>
    </xf>
    <xf numFmtId="0" fontId="0" fillId="0" borderId="18" xfId="0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/>
    </xf>
    <xf numFmtId="0" fontId="10" fillId="0" borderId="0" xfId="0" applyFont="1" applyAlignment="1">
      <alignment vertical="top"/>
    </xf>
    <xf numFmtId="0" fontId="20" fillId="0" borderId="0" xfId="0" applyFont="1" applyAlignment="1">
      <alignment horizontal="left" vertical="center"/>
    </xf>
    <xf numFmtId="0" fontId="20" fillId="0" borderId="0" xfId="0" applyFont="1" applyAlignment="1" applyProtection="1">
      <alignment horizontal="left"/>
      <protection locked="0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8" fillId="0" borderId="0" xfId="0" applyFont="1" applyProtection="1">
      <protection locked="0"/>
    </xf>
    <xf numFmtId="0" fontId="27" fillId="0" borderId="0" xfId="5" applyFont="1"/>
    <xf numFmtId="1" fontId="24" fillId="0" borderId="0" xfId="5" applyNumberFormat="1"/>
    <xf numFmtId="0" fontId="24" fillId="0" borderId="0" xfId="5"/>
    <xf numFmtId="0" fontId="24" fillId="0" borderId="0" xfId="5" applyProtection="1">
      <protection locked="0"/>
    </xf>
    <xf numFmtId="0" fontId="27" fillId="0" borderId="0" xfId="5" applyFont="1" applyAlignment="1" applyProtection="1">
      <alignment vertical="center"/>
      <protection locked="0"/>
    </xf>
    <xf numFmtId="0" fontId="24" fillId="0" borderId="0" xfId="5" applyAlignment="1" applyProtection="1">
      <alignment vertical="justify"/>
      <protection locked="0"/>
    </xf>
    <xf numFmtId="0" fontId="29" fillId="0" borderId="0" xfId="5" applyFont="1" applyProtection="1">
      <protection locked="0"/>
    </xf>
    <xf numFmtId="1" fontId="24" fillId="0" borderId="0" xfId="5" applyNumberFormat="1" applyProtection="1">
      <protection locked="0"/>
    </xf>
    <xf numFmtId="0" fontId="30" fillId="0" borderId="0" xfId="5" applyFont="1"/>
    <xf numFmtId="1" fontId="24" fillId="0" borderId="0" xfId="5" applyNumberFormat="1" applyAlignment="1">
      <alignment horizontal="center"/>
    </xf>
    <xf numFmtId="1" fontId="25" fillId="0" borderId="52" xfId="5" applyNumberFormat="1" applyFont="1" applyBorder="1" applyAlignment="1">
      <alignment horizontal="center"/>
    </xf>
    <xf numFmtId="1" fontId="25" fillId="0" borderId="34" xfId="5" applyNumberFormat="1" applyFont="1" applyBorder="1" applyAlignment="1">
      <alignment horizontal="center"/>
    </xf>
    <xf numFmtId="1" fontId="25" fillId="0" borderId="54" xfId="5" applyNumberFormat="1" applyFont="1" applyBorder="1" applyAlignment="1">
      <alignment horizontal="center"/>
    </xf>
    <xf numFmtId="1" fontId="25" fillId="0" borderId="0" xfId="5" applyNumberFormat="1" applyFont="1" applyAlignment="1">
      <alignment horizontal="center"/>
    </xf>
    <xf numFmtId="0" fontId="24" fillId="0" borderId="60" xfId="5" applyBorder="1"/>
    <xf numFmtId="1" fontId="24" fillId="0" borderId="54" xfId="5" applyNumberFormat="1" applyBorder="1"/>
    <xf numFmtId="0" fontId="24" fillId="0" borderId="54" xfId="5" applyBorder="1" applyProtection="1">
      <protection locked="0"/>
    </xf>
    <xf numFmtId="0" fontId="24" fillId="0" borderId="60" xfId="5" applyBorder="1" applyProtection="1">
      <protection locked="0"/>
    </xf>
    <xf numFmtId="0" fontId="27" fillId="0" borderId="54" xfId="5" applyFont="1" applyBorder="1" applyAlignment="1" applyProtection="1">
      <alignment vertical="center"/>
      <protection locked="0"/>
    </xf>
    <xf numFmtId="0" fontId="27" fillId="0" borderId="60" xfId="5" applyFont="1" applyBorder="1" applyAlignment="1" applyProtection="1">
      <alignment vertical="center"/>
      <protection locked="0"/>
    </xf>
    <xf numFmtId="0" fontId="24" fillId="0" borderId="54" xfId="5" applyBorder="1" applyAlignment="1" applyProtection="1">
      <alignment vertical="justify"/>
      <protection locked="0"/>
    </xf>
    <xf numFmtId="0" fontId="24" fillId="0" borderId="60" xfId="5" applyBorder="1" applyAlignment="1" applyProtection="1">
      <alignment vertical="justify"/>
      <protection locked="0"/>
    </xf>
    <xf numFmtId="0" fontId="29" fillId="0" borderId="54" xfId="5" applyFont="1" applyBorder="1" applyProtection="1">
      <protection locked="0"/>
    </xf>
    <xf numFmtId="0" fontId="29" fillId="0" borderId="60" xfId="5" applyFont="1" applyBorder="1" applyProtection="1">
      <protection locked="0"/>
    </xf>
    <xf numFmtId="1" fontId="24" fillId="0" borderId="54" xfId="5" applyNumberFormat="1" applyBorder="1" applyProtection="1">
      <protection locked="0"/>
    </xf>
    <xf numFmtId="0" fontId="0" fillId="0" borderId="20" xfId="0" applyBorder="1"/>
    <xf numFmtId="0" fontId="0" fillId="0" borderId="21" xfId="0" applyBorder="1"/>
    <xf numFmtId="0" fontId="9" fillId="0" borderId="9" xfId="0" applyFont="1" applyBorder="1" applyAlignment="1">
      <alignment vertical="top"/>
    </xf>
    <xf numFmtId="0" fontId="32" fillId="0" borderId="0" xfId="5" quotePrefix="1" applyFont="1"/>
    <xf numFmtId="0" fontId="33" fillId="0" borderId="2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2" fontId="23" fillId="0" borderId="2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0" fillId="0" borderId="1" xfId="0" applyFont="1" applyBorder="1" applyProtection="1">
      <protection locked="0"/>
    </xf>
    <xf numFmtId="0" fontId="22" fillId="0" borderId="10" xfId="0" applyFont="1" applyBorder="1" applyAlignment="1">
      <alignment horizontal="center" vertical="center"/>
    </xf>
    <xf numFmtId="0" fontId="22" fillId="0" borderId="75" xfId="0" applyFont="1" applyBorder="1" applyAlignment="1">
      <alignment vertical="center"/>
    </xf>
    <xf numFmtId="0" fontId="20" fillId="0" borderId="75" xfId="0" applyFont="1" applyBorder="1" applyAlignment="1" applyProtection="1">
      <alignment horizontal="left"/>
      <protection locked="0"/>
    </xf>
    <xf numFmtId="0" fontId="10" fillId="0" borderId="75" xfId="0" applyFont="1" applyBorder="1" applyProtection="1">
      <protection locked="0"/>
    </xf>
    <xf numFmtId="0" fontId="10" fillId="0" borderId="73" xfId="0" applyFont="1" applyBorder="1" applyProtection="1">
      <protection locked="0"/>
    </xf>
    <xf numFmtId="1" fontId="0" fillId="0" borderId="3" xfId="0" applyNumberFormat="1" applyBorder="1"/>
    <xf numFmtId="1" fontId="0" fillId="0" borderId="5" xfId="0" applyNumberFormat="1" applyBorder="1"/>
    <xf numFmtId="0" fontId="0" fillId="0" borderId="5" xfId="0" applyBorder="1"/>
    <xf numFmtId="0" fontId="0" fillId="0" borderId="74" xfId="0" applyBorder="1"/>
    <xf numFmtId="0" fontId="9" fillId="0" borderId="8" xfId="0" applyFont="1" applyBorder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vertical="top"/>
    </xf>
    <xf numFmtId="49" fontId="8" fillId="0" borderId="12" xfId="0" applyNumberFormat="1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8" fillId="0" borderId="1" xfId="0" applyFont="1" applyBorder="1" applyAlignment="1">
      <alignment vertical="center" wrapText="1"/>
    </xf>
    <xf numFmtId="2" fontId="23" fillId="5" borderId="2" xfId="0" applyNumberFormat="1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6" fillId="5" borderId="9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20" xfId="0" applyFont="1" applyBorder="1" applyAlignment="1">
      <alignment horizontal="left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6" borderId="0" xfId="0" applyFont="1" applyFill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38" fillId="0" borderId="0" xfId="0" applyFont="1"/>
    <xf numFmtId="0" fontId="6" fillId="0" borderId="9" xfId="0" applyFont="1" applyBorder="1" applyAlignment="1">
      <alignment horizontal="left" vertical="center"/>
    </xf>
    <xf numFmtId="0" fontId="0" fillId="6" borderId="0" xfId="0" applyFill="1"/>
    <xf numFmtId="0" fontId="23" fillId="0" borderId="1" xfId="0" applyFont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left" vertical="center"/>
    </xf>
    <xf numFmtId="0" fontId="23" fillId="7" borderId="9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23" fillId="7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" fontId="0" fillId="5" borderId="0" xfId="0" applyNumberFormat="1" applyFill="1"/>
    <xf numFmtId="0" fontId="0" fillId="5" borderId="0" xfId="0" applyFill="1"/>
    <xf numFmtId="0" fontId="23" fillId="5" borderId="1" xfId="0" applyFont="1" applyFill="1" applyBorder="1" applyAlignment="1">
      <alignment horizontal="center" vertical="center" wrapText="1"/>
    </xf>
    <xf numFmtId="0" fontId="31" fillId="0" borderId="0" xfId="5" applyFont="1" applyAlignment="1">
      <alignment horizontal="center"/>
    </xf>
    <xf numFmtId="0" fontId="29" fillId="0" borderId="0" xfId="5" applyFont="1" applyAlignment="1">
      <alignment horizontal="left"/>
    </xf>
    <xf numFmtId="0" fontId="29" fillId="0" borderId="0" xfId="5" applyFont="1" applyAlignment="1" applyProtection="1">
      <alignment horizontal="center"/>
      <protection locked="0"/>
    </xf>
    <xf numFmtId="0" fontId="29" fillId="0" borderId="60" xfId="5" applyFont="1" applyBorder="1" applyAlignment="1" applyProtection="1">
      <alignment horizontal="center"/>
      <protection locked="0"/>
    </xf>
    <xf numFmtId="0" fontId="26" fillId="0" borderId="71" xfId="5" applyFont="1" applyBorder="1" applyAlignment="1">
      <alignment horizontal="left" wrapText="1"/>
    </xf>
    <xf numFmtId="0" fontId="26" fillId="0" borderId="44" xfId="5" applyFont="1" applyBorder="1" applyAlignment="1">
      <alignment horizontal="left" wrapText="1"/>
    </xf>
    <xf numFmtId="0" fontId="26" fillId="0" borderId="72" xfId="5" applyFont="1" applyBorder="1" applyAlignment="1">
      <alignment horizontal="left" wrapText="1"/>
    </xf>
    <xf numFmtId="0" fontId="31" fillId="0" borderId="54" xfId="5" applyFont="1" applyBorder="1" applyAlignment="1">
      <alignment horizontal="center"/>
    </xf>
    <xf numFmtId="0" fontId="30" fillId="0" borderId="0" xfId="5" applyFont="1" applyAlignment="1">
      <alignment horizontal="left" vertical="top"/>
    </xf>
    <xf numFmtId="0" fontId="30" fillId="0" borderId="60" xfId="5" applyFont="1" applyBorder="1" applyAlignment="1">
      <alignment horizontal="left" vertical="top"/>
    </xf>
    <xf numFmtId="0" fontId="29" fillId="0" borderId="41" xfId="5" applyFont="1" applyBorder="1" applyAlignment="1" applyProtection="1">
      <alignment horizontal="center"/>
      <protection locked="0"/>
    </xf>
    <xf numFmtId="0" fontId="29" fillId="0" borderId="42" xfId="5" applyFont="1" applyBorder="1" applyAlignment="1" applyProtection="1">
      <alignment horizontal="center"/>
      <protection locked="0"/>
    </xf>
    <xf numFmtId="0" fontId="29" fillId="0" borderId="58" xfId="5" applyFont="1" applyBorder="1" applyAlignment="1" applyProtection="1">
      <alignment horizontal="center"/>
      <protection locked="0"/>
    </xf>
    <xf numFmtId="0" fontId="29" fillId="0" borderId="65" xfId="5" applyFont="1" applyBorder="1" applyAlignment="1">
      <alignment horizontal="left" vertical="top"/>
    </xf>
    <xf numFmtId="0" fontId="29" fillId="0" borderId="46" xfId="5" applyFont="1" applyBorder="1" applyAlignment="1">
      <alignment horizontal="left" vertical="top"/>
    </xf>
    <xf numFmtId="0" fontId="29" fillId="0" borderId="66" xfId="5" applyFont="1" applyBorder="1" applyAlignment="1">
      <alignment horizontal="left" vertical="top"/>
    </xf>
    <xf numFmtId="0" fontId="31" fillId="0" borderId="52" xfId="5" applyFont="1" applyBorder="1" applyAlignment="1">
      <alignment horizontal="center"/>
    </xf>
    <xf numFmtId="0" fontId="31" fillId="0" borderId="34" xfId="5" applyFont="1" applyBorder="1" applyAlignment="1">
      <alignment horizontal="center"/>
    </xf>
    <xf numFmtId="0" fontId="29" fillId="0" borderId="34" xfId="5" applyFont="1" applyBorder="1" applyAlignment="1">
      <alignment horizontal="left"/>
    </xf>
    <xf numFmtId="0" fontId="29" fillId="0" borderId="70" xfId="5" applyFont="1" applyBorder="1" applyAlignment="1" applyProtection="1">
      <alignment horizontal="center"/>
      <protection locked="0"/>
    </xf>
    <xf numFmtId="0" fontId="29" fillId="0" borderId="43" xfId="5" applyFont="1" applyBorder="1" applyAlignment="1" applyProtection="1">
      <alignment horizontal="center"/>
      <protection locked="0"/>
    </xf>
    <xf numFmtId="0" fontId="29" fillId="0" borderId="49" xfId="5" applyFont="1" applyBorder="1" applyAlignment="1" applyProtection="1">
      <alignment horizontal="center"/>
      <protection locked="0"/>
    </xf>
    <xf numFmtId="0" fontId="29" fillId="0" borderId="51" xfId="5" applyFont="1" applyBorder="1" applyAlignment="1" applyProtection="1">
      <alignment horizontal="center"/>
      <protection locked="0"/>
    </xf>
    <xf numFmtId="0" fontId="29" fillId="0" borderId="69" xfId="5" applyFont="1" applyBorder="1" applyAlignment="1" applyProtection="1">
      <alignment horizontal="center"/>
      <protection locked="0"/>
    </xf>
    <xf numFmtId="0" fontId="29" fillId="0" borderId="68" xfId="5" applyFont="1" applyBorder="1" applyAlignment="1" applyProtection="1">
      <alignment horizontal="center"/>
      <protection locked="0"/>
    </xf>
    <xf numFmtId="0" fontId="29" fillId="0" borderId="50" xfId="5" applyFont="1" applyBorder="1" applyAlignment="1" applyProtection="1">
      <alignment horizontal="center"/>
      <protection locked="0"/>
    </xf>
    <xf numFmtId="0" fontId="29" fillId="0" borderId="38" xfId="5" applyFont="1" applyBorder="1" applyAlignment="1" applyProtection="1">
      <alignment horizontal="center"/>
      <protection locked="0"/>
    </xf>
    <xf numFmtId="0" fontId="29" fillId="0" borderId="39" xfId="5" applyFont="1" applyBorder="1" applyAlignment="1" applyProtection="1">
      <alignment horizontal="center"/>
      <protection locked="0"/>
    </xf>
    <xf numFmtId="0" fontId="29" fillId="0" borderId="64" xfId="5" applyFont="1" applyBorder="1" applyAlignment="1" applyProtection="1">
      <alignment horizontal="center"/>
      <protection locked="0"/>
    </xf>
    <xf numFmtId="14" fontId="29" fillId="0" borderId="49" xfId="5" applyNumberFormat="1" applyFont="1" applyBorder="1" applyAlignment="1" applyProtection="1">
      <alignment horizontal="center"/>
      <protection locked="0"/>
    </xf>
    <xf numFmtId="0" fontId="29" fillId="0" borderId="67" xfId="5" applyFont="1" applyBorder="1" applyAlignment="1" applyProtection="1">
      <alignment horizontal="center"/>
      <protection locked="0"/>
    </xf>
    <xf numFmtId="0" fontId="29" fillId="0" borderId="40" xfId="5" applyFont="1" applyBorder="1" applyAlignment="1" applyProtection="1">
      <alignment horizontal="center"/>
      <protection locked="0"/>
    </xf>
    <xf numFmtId="14" fontId="29" fillId="0" borderId="38" xfId="5" applyNumberFormat="1" applyFont="1" applyBorder="1" applyAlignment="1" applyProtection="1">
      <alignment horizontal="center"/>
      <protection locked="0"/>
    </xf>
    <xf numFmtId="0" fontId="25" fillId="0" borderId="54" xfId="5" applyFont="1" applyBorder="1" applyAlignment="1" applyProtection="1">
      <alignment horizontal="center"/>
      <protection locked="0"/>
    </xf>
    <xf numFmtId="0" fontId="25" fillId="0" borderId="0" xfId="5" applyFont="1" applyAlignment="1" applyProtection="1">
      <alignment horizontal="center"/>
      <protection locked="0"/>
    </xf>
    <xf numFmtId="0" fontId="25" fillId="0" borderId="60" xfId="5" applyFont="1" applyBorder="1" applyAlignment="1" applyProtection="1">
      <alignment horizontal="center"/>
      <protection locked="0"/>
    </xf>
    <xf numFmtId="0" fontId="7" fillId="0" borderId="54" xfId="6" applyFont="1" applyBorder="1" applyAlignment="1" applyProtection="1">
      <alignment horizontal="center"/>
      <protection locked="0"/>
    </xf>
    <xf numFmtId="0" fontId="7" fillId="0" borderId="0" xfId="6" applyFont="1" applyAlignment="1" applyProtection="1">
      <alignment horizontal="center"/>
      <protection locked="0"/>
    </xf>
    <xf numFmtId="0" fontId="7" fillId="0" borderId="60" xfId="6" applyFont="1" applyBorder="1" applyAlignment="1" applyProtection="1">
      <alignment horizontal="center"/>
      <protection locked="0"/>
    </xf>
    <xf numFmtId="0" fontId="29" fillId="0" borderId="65" xfId="5" applyFont="1" applyBorder="1" applyAlignment="1">
      <alignment horizontal="center"/>
    </xf>
    <xf numFmtId="0" fontId="29" fillId="0" borderId="47" xfId="5" applyFont="1" applyBorder="1" applyAlignment="1">
      <alignment horizontal="center"/>
    </xf>
    <xf numFmtId="0" fontId="29" fillId="0" borderId="48" xfId="5" applyFont="1" applyBorder="1" applyAlignment="1">
      <alignment horizontal="center"/>
    </xf>
    <xf numFmtId="0" fontId="29" fillId="0" borderId="46" xfId="5" applyFont="1" applyBorder="1" applyAlignment="1">
      <alignment horizontal="center"/>
    </xf>
    <xf numFmtId="0" fontId="29" fillId="0" borderId="66" xfId="5" applyFont="1" applyBorder="1" applyAlignment="1">
      <alignment horizontal="center"/>
    </xf>
    <xf numFmtId="0" fontId="25" fillId="0" borderId="36" xfId="5" applyFont="1" applyBorder="1" applyAlignment="1">
      <alignment horizontal="center" vertical="center" wrapText="1"/>
    </xf>
    <xf numFmtId="0" fontId="25" fillId="0" borderId="34" xfId="5" applyFont="1" applyBorder="1" applyAlignment="1">
      <alignment horizontal="center" vertical="center" wrapText="1"/>
    </xf>
    <xf numFmtId="0" fontId="25" fillId="0" borderId="35" xfId="5" applyFont="1" applyBorder="1" applyAlignment="1">
      <alignment horizontal="center" vertical="center" wrapText="1"/>
    </xf>
    <xf numFmtId="0" fontId="25" fillId="0" borderId="38" xfId="5" applyFont="1" applyBorder="1" applyAlignment="1">
      <alignment horizontal="center" vertical="center" wrapText="1"/>
    </xf>
    <xf numFmtId="0" fontId="25" fillId="0" borderId="39" xfId="5" applyFont="1" applyBorder="1" applyAlignment="1">
      <alignment horizontal="center" vertical="center" wrapText="1"/>
    </xf>
    <xf numFmtId="0" fontId="25" fillId="0" borderId="40" xfId="5" applyFont="1" applyBorder="1" applyAlignment="1">
      <alignment horizontal="center" vertical="center" wrapText="1"/>
    </xf>
    <xf numFmtId="0" fontId="26" fillId="0" borderId="36" xfId="5" applyFont="1" applyBorder="1" applyAlignment="1">
      <alignment horizontal="left" vertical="top"/>
    </xf>
    <xf numFmtId="0" fontId="26" fillId="0" borderId="34" xfId="5" applyFont="1" applyBorder="1" applyAlignment="1">
      <alignment horizontal="left" vertical="top"/>
    </xf>
    <xf numFmtId="0" fontId="26" fillId="0" borderId="35" xfId="5" applyFont="1" applyBorder="1" applyAlignment="1">
      <alignment horizontal="left" vertical="top"/>
    </xf>
    <xf numFmtId="0" fontId="26" fillId="0" borderId="53" xfId="5" applyFont="1" applyBorder="1" applyAlignment="1">
      <alignment horizontal="left" vertical="top"/>
    </xf>
    <xf numFmtId="0" fontId="27" fillId="0" borderId="55" xfId="5" applyFont="1" applyBorder="1" applyAlignment="1" applyProtection="1">
      <alignment horizontal="center" vertical="center" wrapText="1"/>
      <protection locked="0"/>
    </xf>
    <xf numFmtId="0" fontId="27" fillId="0" borderId="13" xfId="5" applyFont="1" applyBorder="1" applyAlignment="1" applyProtection="1">
      <alignment horizontal="center" vertical="center"/>
      <protection locked="0"/>
    </xf>
    <xf numFmtId="0" fontId="27" fillId="0" borderId="56" xfId="5" applyFont="1" applyBorder="1" applyAlignment="1" applyProtection="1">
      <alignment horizontal="center" vertical="center"/>
      <protection locked="0"/>
    </xf>
    <xf numFmtId="0" fontId="27" fillId="0" borderId="57" xfId="5" applyFont="1" applyBorder="1" applyAlignment="1" applyProtection="1">
      <alignment horizontal="center" vertical="center"/>
      <protection locked="0"/>
    </xf>
    <xf numFmtId="0" fontId="26" fillId="0" borderId="41" xfId="5" applyFont="1" applyBorder="1" applyAlignment="1">
      <alignment horizontal="left" vertical="top"/>
    </xf>
    <xf numFmtId="0" fontId="26" fillId="0" borderId="42" xfId="5" applyFont="1" applyBorder="1" applyAlignment="1">
      <alignment horizontal="left" vertical="top"/>
    </xf>
    <xf numFmtId="0" fontId="26" fillId="0" borderId="43" xfId="5" applyFont="1" applyBorder="1" applyAlignment="1">
      <alignment horizontal="left" vertical="top"/>
    </xf>
    <xf numFmtId="0" fontId="26" fillId="0" borderId="58" xfId="5" applyFont="1" applyBorder="1" applyAlignment="1">
      <alignment horizontal="left" vertical="top"/>
    </xf>
    <xf numFmtId="1" fontId="25" fillId="0" borderId="59" xfId="5" applyNumberFormat="1" applyFont="1" applyBorder="1" applyAlignment="1">
      <alignment horizontal="center"/>
    </xf>
    <xf numFmtId="1" fontId="25" fillId="0" borderId="2" xfId="5" applyNumberFormat="1" applyFont="1" applyBorder="1" applyAlignment="1">
      <alignment horizontal="center"/>
    </xf>
    <xf numFmtId="0" fontId="27" fillId="0" borderId="39" xfId="5" applyFont="1" applyBorder="1" applyAlignment="1" applyProtection="1">
      <alignment horizontal="center" vertical="center"/>
      <protection locked="0"/>
    </xf>
    <xf numFmtId="0" fontId="27" fillId="0" borderId="40" xfId="5" applyFont="1" applyBorder="1" applyAlignment="1" applyProtection="1">
      <alignment horizontal="center" vertical="center"/>
      <protection locked="0"/>
    </xf>
    <xf numFmtId="0" fontId="27" fillId="0" borderId="45" xfId="5" applyFont="1" applyBorder="1" applyAlignment="1" applyProtection="1">
      <alignment horizontal="center" vertical="center"/>
      <protection locked="0"/>
    </xf>
    <xf numFmtId="0" fontId="27" fillId="0" borderId="0" xfId="5" applyFont="1" applyAlignment="1" applyProtection="1">
      <alignment horizontal="center" vertical="center"/>
      <protection locked="0"/>
    </xf>
    <xf numFmtId="0" fontId="27" fillId="0" borderId="37" xfId="5" applyFont="1" applyBorder="1" applyAlignment="1" applyProtection="1">
      <alignment horizontal="center" vertical="center"/>
      <protection locked="0"/>
    </xf>
    <xf numFmtId="49" fontId="28" fillId="0" borderId="38" xfId="5" applyNumberFormat="1" applyFont="1" applyBorder="1" applyAlignment="1" applyProtection="1">
      <alignment horizontal="center" vertical="center"/>
      <protection locked="0"/>
    </xf>
    <xf numFmtId="0" fontId="28" fillId="0" borderId="39" xfId="5" applyFont="1" applyBorder="1" applyAlignment="1" applyProtection="1">
      <alignment horizontal="center" vertical="center"/>
      <protection locked="0"/>
    </xf>
    <xf numFmtId="0" fontId="28" fillId="0" borderId="64" xfId="5" applyFont="1" applyBorder="1" applyAlignment="1" applyProtection="1">
      <alignment horizontal="center" vertical="center"/>
      <protection locked="0"/>
    </xf>
    <xf numFmtId="0" fontId="27" fillId="0" borderId="10" xfId="5" applyFont="1" applyBorder="1" applyAlignment="1" applyProtection="1">
      <alignment horizontal="center" vertical="center"/>
      <protection locked="0"/>
    </xf>
    <xf numFmtId="0" fontId="27" fillId="0" borderId="10" xfId="5" applyFont="1" applyBorder="1" applyAlignment="1" applyProtection="1">
      <alignment horizontal="center" vertical="center" wrapText="1"/>
      <protection locked="0"/>
    </xf>
    <xf numFmtId="0" fontId="27" fillId="0" borderId="13" xfId="5" applyFont="1" applyBorder="1" applyAlignment="1" applyProtection="1">
      <alignment horizontal="center" vertical="center" wrapText="1"/>
      <protection locked="0"/>
    </xf>
    <xf numFmtId="0" fontId="27" fillId="0" borderId="56" xfId="5" applyFont="1" applyBorder="1" applyAlignment="1" applyProtection="1">
      <alignment horizontal="center" vertical="center" wrapText="1"/>
      <protection locked="0"/>
    </xf>
    <xf numFmtId="49" fontId="27" fillId="0" borderId="55" xfId="5" applyNumberFormat="1" applyFont="1" applyBorder="1" applyAlignment="1" applyProtection="1">
      <alignment horizontal="center" vertical="center" wrapText="1"/>
      <protection locked="0"/>
    </xf>
    <xf numFmtId="49" fontId="27" fillId="0" borderId="57" xfId="5" applyNumberFormat="1" applyFont="1" applyBorder="1" applyAlignment="1" applyProtection="1">
      <alignment horizontal="center" vertical="center"/>
      <protection locked="0"/>
    </xf>
    <xf numFmtId="0" fontId="26" fillId="0" borderId="20" xfId="5" applyFont="1" applyBorder="1" applyAlignment="1">
      <alignment horizontal="left" vertical="top"/>
    </xf>
    <xf numFmtId="0" fontId="26" fillId="0" borderId="21" xfId="5" applyFont="1" applyBorder="1" applyAlignment="1">
      <alignment horizontal="left" vertical="top"/>
    </xf>
    <xf numFmtId="0" fontId="26" fillId="0" borderId="61" xfId="5" applyFont="1" applyBorder="1" applyAlignment="1">
      <alignment horizontal="left" vertical="top"/>
    </xf>
    <xf numFmtId="0" fontId="26" fillId="0" borderId="62" xfId="5" applyFont="1" applyBorder="1" applyAlignment="1">
      <alignment horizontal="left" vertical="top"/>
    </xf>
    <xf numFmtId="0" fontId="26" fillId="0" borderId="63" xfId="5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" fontId="7" fillId="0" borderId="20" xfId="0" applyNumberFormat="1" applyFont="1" applyBorder="1" applyAlignment="1">
      <alignment horizontal="center"/>
    </xf>
    <xf numFmtId="1" fontId="7" fillId="0" borderId="21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7" fillId="0" borderId="75" xfId="0" applyNumberFormat="1" applyFont="1" applyBorder="1" applyAlignment="1">
      <alignment horizontal="center"/>
    </xf>
    <xf numFmtId="1" fontId="7" fillId="0" borderId="73" xfId="0" applyNumberFormat="1" applyFont="1" applyBorder="1" applyAlignment="1">
      <alignment horizontal="center"/>
    </xf>
    <xf numFmtId="0" fontId="8" fillId="0" borderId="75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11" fillId="0" borderId="10" xfId="0" quotePrefix="1" applyFont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top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1" fontId="23" fillId="0" borderId="2" xfId="0" applyNumberFormat="1" applyFont="1" applyBorder="1" applyAlignment="1">
      <alignment horizontal="center" vertical="center" wrapText="1"/>
    </xf>
    <xf numFmtId="49" fontId="2" fillId="5" borderId="2" xfId="3" applyNumberFormat="1" applyFont="1" applyFill="1" applyBorder="1" applyAlignment="1">
      <alignment horizontal="center" vertical="center" wrapText="1"/>
    </xf>
    <xf numFmtId="49" fontId="3" fillId="5" borderId="2" xfId="3" applyNumberFormat="1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 applyProtection="1">
      <alignment horizontal="center" vertical="center" wrapText="1"/>
      <protection locked="0"/>
    </xf>
    <xf numFmtId="0" fontId="23" fillId="5" borderId="2" xfId="0" applyFont="1" applyFill="1" applyBorder="1" applyAlignment="1" applyProtection="1">
      <alignment horizontal="center" vertical="center" wrapText="1"/>
      <protection locked="0"/>
    </xf>
    <xf numFmtId="2" fontId="23" fillId="5" borderId="2" xfId="0" applyNumberFormat="1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0" fontId="35" fillId="4" borderId="2" xfId="0" applyFont="1" applyFill="1" applyBorder="1" applyAlignment="1" applyProtection="1">
      <alignment horizontal="center" vertical="center"/>
      <protection locked="0"/>
    </xf>
    <xf numFmtId="49" fontId="23" fillId="5" borderId="2" xfId="0" applyNumberFormat="1" applyFont="1" applyFill="1" applyBorder="1" applyAlignment="1">
      <alignment horizontal="center" vertical="center" wrapText="1"/>
    </xf>
    <xf numFmtId="1" fontId="23" fillId="5" borderId="2" xfId="0" applyNumberFormat="1" applyFont="1" applyFill="1" applyBorder="1" applyAlignment="1">
      <alignment horizontal="center" vertical="center" wrapText="1"/>
    </xf>
    <xf numFmtId="0" fontId="6" fillId="5" borderId="20" xfId="0" applyFont="1" applyFill="1" applyBorder="1" applyAlignment="1" applyProtection="1">
      <alignment horizontal="center" vertical="center" wrapText="1"/>
      <protection locked="0"/>
    </xf>
    <xf numFmtId="0" fontId="6" fillId="5" borderId="8" xfId="0" applyFont="1" applyFill="1" applyBorder="1" applyAlignment="1" applyProtection="1">
      <alignment horizontal="center" vertical="center" wrapText="1"/>
      <protection locked="0"/>
    </xf>
    <xf numFmtId="0" fontId="6" fillId="5" borderId="10" xfId="0" applyFont="1" applyFill="1" applyBorder="1" applyAlignment="1" applyProtection="1">
      <alignment horizontal="center" vertical="center" wrapText="1"/>
      <protection locked="0"/>
    </xf>
    <xf numFmtId="0" fontId="6" fillId="5" borderId="73" xfId="0" applyFont="1" applyFill="1" applyBorder="1" applyAlignment="1" applyProtection="1">
      <alignment horizontal="center" vertical="center" wrapText="1"/>
      <protection locked="0"/>
    </xf>
    <xf numFmtId="0" fontId="23" fillId="5" borderId="3" xfId="0" applyFont="1" applyFill="1" applyBorder="1" applyAlignment="1" applyProtection="1">
      <alignment horizontal="center" vertical="center" wrapText="1"/>
      <protection locked="0"/>
    </xf>
    <xf numFmtId="0" fontId="23" fillId="5" borderId="74" xfId="0" applyFont="1" applyFill="1" applyBorder="1" applyAlignment="1" applyProtection="1">
      <alignment horizontal="center" vertical="center" wrapText="1"/>
      <protection locked="0"/>
    </xf>
    <xf numFmtId="49" fontId="23" fillId="0" borderId="15" xfId="0" applyNumberFormat="1" applyFont="1" applyBorder="1" applyAlignment="1">
      <alignment horizontal="center" vertical="center" wrapText="1"/>
    </xf>
    <xf numFmtId="49" fontId="23" fillId="0" borderId="19" xfId="0" applyNumberFormat="1" applyFont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1" fontId="23" fillId="0" borderId="74" xfId="0" applyNumberFormat="1" applyFont="1" applyBorder="1" applyAlignment="1">
      <alignment horizontal="center" vertical="center" wrapText="1"/>
    </xf>
    <xf numFmtId="2" fontId="23" fillId="5" borderId="15" xfId="0" applyNumberFormat="1" applyFont="1" applyFill="1" applyBorder="1" applyAlignment="1">
      <alignment horizontal="center" vertical="center" wrapText="1"/>
    </xf>
    <xf numFmtId="2" fontId="23" fillId="5" borderId="19" xfId="0" applyNumberFormat="1" applyFont="1" applyFill="1" applyBorder="1" applyAlignment="1">
      <alignment horizontal="center" vertical="center" wrapText="1"/>
    </xf>
    <xf numFmtId="2" fontId="23" fillId="5" borderId="3" xfId="0" applyNumberFormat="1" applyFont="1" applyFill="1" applyBorder="1" applyAlignment="1">
      <alignment horizontal="center" vertical="center" wrapText="1"/>
    </xf>
    <xf numFmtId="0" fontId="23" fillId="5" borderId="74" xfId="0" applyFont="1" applyFill="1" applyBorder="1" applyAlignment="1">
      <alignment horizontal="center" vertical="center" wrapText="1"/>
    </xf>
    <xf numFmtId="49" fontId="2" fillId="5" borderId="20" xfId="3" applyNumberFormat="1" applyFont="1" applyFill="1" applyBorder="1" applyAlignment="1">
      <alignment horizontal="center" vertical="center" wrapText="1"/>
    </xf>
    <xf numFmtId="49" fontId="3" fillId="5" borderId="8" xfId="3" applyNumberFormat="1" applyFont="1" applyFill="1" applyBorder="1" applyAlignment="1">
      <alignment horizontal="center" vertical="center" wrapText="1"/>
    </xf>
    <xf numFmtId="49" fontId="3" fillId="5" borderId="10" xfId="3" applyNumberFormat="1" applyFont="1" applyFill="1" applyBorder="1" applyAlignment="1">
      <alignment horizontal="center" vertical="center" wrapText="1"/>
    </xf>
    <xf numFmtId="49" fontId="3" fillId="5" borderId="73" xfId="3" applyNumberFormat="1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49" fontId="23" fillId="5" borderId="15" xfId="0" applyNumberFormat="1" applyFont="1" applyFill="1" applyBorder="1" applyAlignment="1">
      <alignment horizontal="center" vertical="center" wrapText="1"/>
    </xf>
    <xf numFmtId="49" fontId="23" fillId="5" borderId="19" xfId="0" applyNumberFormat="1" applyFont="1" applyFill="1" applyBorder="1" applyAlignment="1">
      <alignment horizontal="center" vertical="center" wrapText="1"/>
    </xf>
    <xf numFmtId="49" fontId="23" fillId="5" borderId="8" xfId="0" applyNumberFormat="1" applyFont="1" applyFill="1" applyBorder="1" applyAlignment="1">
      <alignment horizontal="center" vertical="center" wrapText="1"/>
    </xf>
    <xf numFmtId="49" fontId="23" fillId="5" borderId="10" xfId="0" applyNumberFormat="1" applyFont="1" applyFill="1" applyBorder="1" applyAlignment="1">
      <alignment horizontal="center" vertical="center" wrapText="1"/>
    </xf>
    <xf numFmtId="49" fontId="23" fillId="5" borderId="73" xfId="0" applyNumberFormat="1" applyFont="1" applyFill="1" applyBorder="1" applyAlignment="1">
      <alignment horizontal="center" vertical="center" wrapText="1"/>
    </xf>
    <xf numFmtId="49" fontId="1" fillId="5" borderId="2" xfId="3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4" fillId="0" borderId="7" xfId="1" applyBorder="1" applyAlignment="1" applyProtection="1">
      <alignment horizontal="center" vertical="center" wrapText="1"/>
    </xf>
    <xf numFmtId="0" fontId="14" fillId="0" borderId="31" xfId="1" applyBorder="1" applyAlignment="1" applyProtection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15" fillId="2" borderId="24" xfId="0" applyFont="1" applyFill="1" applyBorder="1" applyAlignment="1">
      <alignment horizontal="center"/>
    </xf>
    <xf numFmtId="0" fontId="15" fillId="2" borderId="22" xfId="0" applyFont="1" applyFill="1" applyBorder="1" applyAlignment="1">
      <alignment horizontal="center"/>
    </xf>
    <xf numFmtId="0" fontId="15" fillId="2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0" borderId="23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wrapText="1"/>
    </xf>
    <xf numFmtId="0" fontId="16" fillId="0" borderId="2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49" fontId="14" fillId="0" borderId="26" xfId="1" applyNumberFormat="1" applyBorder="1" applyAlignment="1" applyProtection="1">
      <alignment horizontal="center" vertical="center" wrapText="1"/>
    </xf>
    <xf numFmtId="49" fontId="12" fillId="0" borderId="7" xfId="1" applyNumberFormat="1" applyFont="1" applyBorder="1" applyAlignment="1" applyProtection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16" fillId="0" borderId="28" xfId="0" applyFont="1" applyBorder="1" applyAlignment="1">
      <alignment horizontal="left" wrapText="1"/>
    </xf>
    <xf numFmtId="0" fontId="0" fillId="3" borderId="29" xfId="0" applyFill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49" fontId="22" fillId="5" borderId="0" xfId="0" applyNumberFormat="1" applyFont="1" applyFill="1" applyAlignment="1">
      <alignment vertical="center"/>
    </xf>
    <xf numFmtId="0" fontId="20" fillId="5" borderId="0" xfId="0" applyFont="1" applyFill="1" applyAlignment="1">
      <alignment horizontal="left"/>
    </xf>
    <xf numFmtId="0" fontId="10" fillId="5" borderId="0" xfId="0" applyFont="1" applyFill="1" applyProtection="1">
      <protection locked="0"/>
    </xf>
  </cellXfs>
  <cellStyles count="7">
    <cellStyle name="Hiperlink" xfId="1" builtinId="8"/>
    <cellStyle name="Normal" xfId="0" builtinId="0"/>
    <cellStyle name="Normal 2" xfId="2" xr:uid="{00000000-0005-0000-0000-000002000000}"/>
    <cellStyle name="Normal 2 2" xfId="6" xr:uid="{CD72481A-CDE1-41AA-BC18-A3F55777362F}"/>
    <cellStyle name="Normal 3" xfId="3" xr:uid="{00000000-0005-0000-0000-000003000000}"/>
    <cellStyle name="Normal 4" xfId="4" xr:uid="{00000000-0005-0000-0000-000004000000}"/>
    <cellStyle name="Normal 5" xfId="5" xr:uid="{038D9865-13F5-47F2-9566-B4A28E5743DE}"/>
  </cellStyles>
  <dxfs count="5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64"/>
          <bgColor indexed="12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</xdr:colOff>
      <xdr:row>0</xdr:row>
      <xdr:rowOff>38100</xdr:rowOff>
    </xdr:from>
    <xdr:to>
      <xdr:col>7</xdr:col>
      <xdr:colOff>177922</xdr:colOff>
      <xdr:row>2</xdr:row>
      <xdr:rowOff>152399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B66E7196-B30A-4BDA-B285-DE0B495BD4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6" r="5141"/>
        <a:stretch/>
      </xdr:blipFill>
      <xdr:spPr bwMode="auto">
        <a:xfrm>
          <a:off x="260350" y="38100"/>
          <a:ext cx="1451097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154456</xdr:colOff>
      <xdr:row>3</xdr:row>
      <xdr:rowOff>50801</xdr:rowOff>
    </xdr:from>
    <xdr:ext cx="847142" cy="442258"/>
    <xdr:pic>
      <xdr:nvPicPr>
        <xdr:cNvPr id="3" name="Imagem 2">
          <a:extLst>
            <a:ext uri="{FF2B5EF4-FFF2-40B4-BE49-F238E27FC236}">
              <a16:creationId xmlns:a16="http://schemas.microsoft.com/office/drawing/2014/main" id="{ED103439-EFEC-4274-A539-29AB61A6C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606" y="641351"/>
          <a:ext cx="847142" cy="442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89087</xdr:colOff>
      <xdr:row>6</xdr:row>
      <xdr:rowOff>147357</xdr:rowOff>
    </xdr:from>
    <xdr:to>
      <xdr:col>7</xdr:col>
      <xdr:colOff>139252</xdr:colOff>
      <xdr:row>8</xdr:row>
      <xdr:rowOff>66077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F806C04-0925-419D-8E9E-E5B263BE0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162" y="1271307"/>
          <a:ext cx="1364615" cy="299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134240</xdr:colOff>
      <xdr:row>2</xdr:row>
      <xdr:rowOff>45644</xdr:rowOff>
    </xdr:from>
    <xdr:to>
      <xdr:col>3</xdr:col>
      <xdr:colOff>1607910</xdr:colOff>
      <xdr:row>7</xdr:row>
      <xdr:rowOff>139577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C59FD32-9E94-407F-B379-1268075DB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9740" y="413037"/>
          <a:ext cx="1473670" cy="910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163287</xdr:colOff>
      <xdr:row>3</xdr:row>
      <xdr:rowOff>175532</xdr:rowOff>
    </xdr:from>
    <xdr:ext cx="1689437" cy="351026"/>
    <xdr:pic>
      <xdr:nvPicPr>
        <xdr:cNvPr id="2" name="image2.png">
          <a:extLst>
            <a:ext uri="{FF2B5EF4-FFF2-40B4-BE49-F238E27FC236}">
              <a16:creationId xmlns:a16="http://schemas.microsoft.com/office/drawing/2014/main" id="{503FB575-355C-4E4C-BADD-56B59465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7" y="692603"/>
          <a:ext cx="1689437" cy="351026"/>
        </a:xfrm>
        <a:prstGeom prst="rect">
          <a:avLst/>
        </a:prstGeom>
      </xdr:spPr>
    </xdr:pic>
    <xdr:clientData/>
  </xdr:oneCellAnchor>
  <xdr:twoCellAnchor>
    <xdr:from>
      <xdr:col>4</xdr:col>
      <xdr:colOff>122465</xdr:colOff>
      <xdr:row>3</xdr:row>
      <xdr:rowOff>68036</xdr:rowOff>
    </xdr:from>
    <xdr:to>
      <xdr:col>5</xdr:col>
      <xdr:colOff>476564</xdr:colOff>
      <xdr:row>7</xdr:row>
      <xdr:rowOff>54429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A4D2E759-A9C5-4C1C-BD20-A96857C5F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1644" y="585107"/>
          <a:ext cx="2259099" cy="653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134240</xdr:colOff>
      <xdr:row>2</xdr:row>
      <xdr:rowOff>45644</xdr:rowOff>
    </xdr:from>
    <xdr:to>
      <xdr:col>3</xdr:col>
      <xdr:colOff>1607910</xdr:colOff>
      <xdr:row>7</xdr:row>
      <xdr:rowOff>139577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0C4BC5-41B4-4CE2-B334-072E28FAD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9740" y="407594"/>
          <a:ext cx="1473670" cy="903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163287</xdr:colOff>
      <xdr:row>3</xdr:row>
      <xdr:rowOff>175532</xdr:rowOff>
    </xdr:from>
    <xdr:ext cx="1689437" cy="351026"/>
    <xdr:pic>
      <xdr:nvPicPr>
        <xdr:cNvPr id="3" name="image2.png">
          <a:extLst>
            <a:ext uri="{FF2B5EF4-FFF2-40B4-BE49-F238E27FC236}">
              <a16:creationId xmlns:a16="http://schemas.microsoft.com/office/drawing/2014/main" id="{75403923-FC6D-4711-82E7-AEAAE815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7" y="689882"/>
          <a:ext cx="1689437" cy="351026"/>
        </a:xfrm>
        <a:prstGeom prst="rect">
          <a:avLst/>
        </a:prstGeom>
      </xdr:spPr>
    </xdr:pic>
    <xdr:clientData/>
  </xdr:oneCellAnchor>
  <xdr:twoCellAnchor>
    <xdr:from>
      <xdr:col>4</xdr:col>
      <xdr:colOff>122465</xdr:colOff>
      <xdr:row>3</xdr:row>
      <xdr:rowOff>68036</xdr:rowOff>
    </xdr:from>
    <xdr:to>
      <xdr:col>5</xdr:col>
      <xdr:colOff>476564</xdr:colOff>
      <xdr:row>7</xdr:row>
      <xdr:rowOff>54429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A85F8ED5-85B3-4760-9379-E77BE378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840" y="582386"/>
          <a:ext cx="2259099" cy="643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134240</xdr:colOff>
      <xdr:row>2</xdr:row>
      <xdr:rowOff>45644</xdr:rowOff>
    </xdr:from>
    <xdr:to>
      <xdr:col>3</xdr:col>
      <xdr:colOff>1607910</xdr:colOff>
      <xdr:row>7</xdr:row>
      <xdr:rowOff>139577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B0327B-E75E-4C2A-9DB3-B0316CCD2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9740" y="407594"/>
          <a:ext cx="1473670" cy="903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163287</xdr:colOff>
      <xdr:row>3</xdr:row>
      <xdr:rowOff>175532</xdr:rowOff>
    </xdr:from>
    <xdr:ext cx="1689437" cy="351026"/>
    <xdr:pic>
      <xdr:nvPicPr>
        <xdr:cNvPr id="3" name="image2.png">
          <a:extLst>
            <a:ext uri="{FF2B5EF4-FFF2-40B4-BE49-F238E27FC236}">
              <a16:creationId xmlns:a16="http://schemas.microsoft.com/office/drawing/2014/main" id="{D6EF71DB-0EFF-4475-843A-A46CBE729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7" y="689882"/>
          <a:ext cx="1689437" cy="351026"/>
        </a:xfrm>
        <a:prstGeom prst="rect">
          <a:avLst/>
        </a:prstGeom>
      </xdr:spPr>
    </xdr:pic>
    <xdr:clientData/>
  </xdr:oneCellAnchor>
  <xdr:twoCellAnchor>
    <xdr:from>
      <xdr:col>4</xdr:col>
      <xdr:colOff>122465</xdr:colOff>
      <xdr:row>3</xdr:row>
      <xdr:rowOff>68036</xdr:rowOff>
    </xdr:from>
    <xdr:to>
      <xdr:col>5</xdr:col>
      <xdr:colOff>476564</xdr:colOff>
      <xdr:row>7</xdr:row>
      <xdr:rowOff>54429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001EA09D-58C3-48EA-857C-890BAD5B2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840" y="582386"/>
          <a:ext cx="2259099" cy="643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134240</xdr:colOff>
      <xdr:row>2</xdr:row>
      <xdr:rowOff>45644</xdr:rowOff>
    </xdr:from>
    <xdr:to>
      <xdr:col>3</xdr:col>
      <xdr:colOff>1607910</xdr:colOff>
      <xdr:row>7</xdr:row>
      <xdr:rowOff>139577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A84FA9-3A9A-4A8F-8AC0-2F1AD767C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9740" y="407594"/>
          <a:ext cx="1473670" cy="903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163287</xdr:colOff>
      <xdr:row>3</xdr:row>
      <xdr:rowOff>175532</xdr:rowOff>
    </xdr:from>
    <xdr:ext cx="1689437" cy="351026"/>
    <xdr:pic>
      <xdr:nvPicPr>
        <xdr:cNvPr id="3" name="image2.png">
          <a:extLst>
            <a:ext uri="{FF2B5EF4-FFF2-40B4-BE49-F238E27FC236}">
              <a16:creationId xmlns:a16="http://schemas.microsoft.com/office/drawing/2014/main" id="{1A93BDB9-0951-4DE6-A3FE-A39A48795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7" y="689882"/>
          <a:ext cx="1689437" cy="351026"/>
        </a:xfrm>
        <a:prstGeom prst="rect">
          <a:avLst/>
        </a:prstGeom>
      </xdr:spPr>
    </xdr:pic>
    <xdr:clientData/>
  </xdr:oneCellAnchor>
  <xdr:twoCellAnchor>
    <xdr:from>
      <xdr:col>4</xdr:col>
      <xdr:colOff>122465</xdr:colOff>
      <xdr:row>3</xdr:row>
      <xdr:rowOff>68036</xdr:rowOff>
    </xdr:from>
    <xdr:to>
      <xdr:col>5</xdr:col>
      <xdr:colOff>476564</xdr:colOff>
      <xdr:row>7</xdr:row>
      <xdr:rowOff>54429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F2726D2E-6718-4814-8808-9B6F4B52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840" y="582386"/>
          <a:ext cx="2259099" cy="643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a1" displayName="Lista1" ref="B3:B41" totalsRowShown="0" headerRowDxfId="4" dataDxfId="2" headerRowBorderDxfId="3" tableBorderDxfId="1">
  <autoFilter ref="B3:B41" xr:uid="{00000000-0009-0000-0100-000002000000}"/>
  <tableColumns count="1">
    <tableColumn id="1" xr3:uid="{00000000-0010-0000-0000-000001000000}" name="CENTR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line.renz@braskem.com.br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raquel.adornato@braskem.com.br" TargetMode="External"/><Relationship Id="rId1" Type="http://schemas.openxmlformats.org/officeDocument/2006/relationships/hyperlink" Target="mailto:lucia.portela@braskem.com.br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andrea.brasil@gruparc.com.br" TargetMode="External"/><Relationship Id="rId4" Type="http://schemas.openxmlformats.org/officeDocument/2006/relationships/hyperlink" Target="mailto:priscila.fernandes@braskem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9DE2-9C26-4B5B-B0FA-87C3BFF8A98D}">
  <dimension ref="A1:AI150"/>
  <sheetViews>
    <sheetView showGridLines="0" tabSelected="1" view="pageBreakPreview" topLeftCell="A40" zoomScaleNormal="100" zoomScaleSheetLayoutView="100" workbookViewId="0">
      <selection activeCell="X52" sqref="X52"/>
    </sheetView>
  </sheetViews>
  <sheetFormatPr defaultColWidth="2.7109375" defaultRowHeight="12.75" customHeight="1" x14ac:dyDescent="0.2"/>
  <cols>
    <col min="1" max="2" width="3.28515625" style="48" customWidth="1"/>
    <col min="3" max="31" width="3.28515625" style="49" customWidth="1"/>
    <col min="32" max="32" width="5.85546875" style="49" customWidth="1"/>
    <col min="33" max="33" width="4.28515625" style="49" customWidth="1"/>
    <col min="34" max="34" width="5" style="49" customWidth="1"/>
    <col min="35" max="37" width="2.7109375" style="49"/>
    <col min="38" max="38" width="2.5703125" style="49" customWidth="1"/>
    <col min="39" max="16384" width="2.7109375" style="49"/>
  </cols>
  <sheetData>
    <row r="1" spans="1:34" s="47" customFormat="1" ht="15" customHeight="1" x14ac:dyDescent="0.25">
      <c r="A1" s="57"/>
      <c r="B1" s="58"/>
      <c r="C1" s="58"/>
      <c r="D1" s="58"/>
      <c r="E1" s="58"/>
      <c r="F1" s="58"/>
      <c r="G1" s="58"/>
      <c r="H1" s="58"/>
      <c r="I1" s="58"/>
      <c r="J1" s="171" t="s">
        <v>242</v>
      </c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3"/>
      <c r="Y1" s="177" t="s">
        <v>209</v>
      </c>
      <c r="Z1" s="178"/>
      <c r="AA1" s="178"/>
      <c r="AB1" s="178"/>
      <c r="AC1" s="178"/>
      <c r="AD1" s="178"/>
      <c r="AE1" s="178"/>
      <c r="AF1" s="179"/>
      <c r="AG1" s="177" t="s">
        <v>30</v>
      </c>
      <c r="AH1" s="180"/>
    </row>
    <row r="2" spans="1:34" s="47" customFormat="1" ht="18" customHeight="1" x14ac:dyDescent="0.25">
      <c r="A2" s="59"/>
      <c r="B2" s="60"/>
      <c r="C2" s="60"/>
      <c r="D2" s="60"/>
      <c r="E2" s="60"/>
      <c r="F2" s="60"/>
      <c r="G2" s="60"/>
      <c r="H2" s="60"/>
      <c r="I2" s="60"/>
      <c r="J2" s="174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6"/>
      <c r="Y2" s="181" t="s">
        <v>286</v>
      </c>
      <c r="Z2" s="182"/>
      <c r="AA2" s="182"/>
      <c r="AB2" s="182"/>
      <c r="AC2" s="182"/>
      <c r="AD2" s="182"/>
      <c r="AE2" s="182"/>
      <c r="AF2" s="183"/>
      <c r="AG2" s="181">
        <v>1</v>
      </c>
      <c r="AH2" s="184"/>
    </row>
    <row r="3" spans="1:34" s="47" customFormat="1" ht="13.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185" t="s">
        <v>206</v>
      </c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7"/>
      <c r="Y3" s="185" t="s">
        <v>207</v>
      </c>
      <c r="Z3" s="186"/>
      <c r="AA3" s="186"/>
      <c r="AB3" s="186"/>
      <c r="AC3" s="186"/>
      <c r="AD3" s="186"/>
      <c r="AE3" s="186"/>
      <c r="AF3" s="187"/>
      <c r="AG3" s="185" t="s">
        <v>208</v>
      </c>
      <c r="AH3" s="188"/>
    </row>
    <row r="4" spans="1:34" s="47" customFormat="1" ht="27.75" customHeight="1" x14ac:dyDescent="0.2">
      <c r="A4" s="189"/>
      <c r="B4" s="190"/>
      <c r="C4" s="190"/>
      <c r="D4" s="190"/>
      <c r="E4" s="190"/>
      <c r="F4" s="190"/>
      <c r="G4" s="190"/>
      <c r="H4" s="190"/>
      <c r="I4" s="190"/>
      <c r="J4" s="200" t="s">
        <v>235</v>
      </c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2"/>
      <c r="Y4" s="181" t="s">
        <v>287</v>
      </c>
      <c r="Z4" s="182"/>
      <c r="AA4" s="182"/>
      <c r="AB4" s="182"/>
      <c r="AC4" s="182"/>
      <c r="AD4" s="182"/>
      <c r="AE4" s="182"/>
      <c r="AF4" s="183"/>
      <c r="AG4" s="203" t="s">
        <v>278</v>
      </c>
      <c r="AH4" s="204"/>
    </row>
    <row r="5" spans="1:34" ht="2.25" customHeight="1" x14ac:dyDescent="0.2">
      <c r="A5" s="189"/>
      <c r="B5" s="190"/>
      <c r="C5" s="190"/>
      <c r="D5" s="190"/>
      <c r="E5" s="190"/>
      <c r="F5" s="190"/>
      <c r="G5" s="190"/>
      <c r="H5" s="190"/>
      <c r="I5" s="190"/>
      <c r="AG5" s="75" t="s">
        <v>236</v>
      </c>
      <c r="AH5" s="61"/>
    </row>
    <row r="6" spans="1:34" ht="12" customHeight="1" x14ac:dyDescent="0.2">
      <c r="A6" s="189"/>
      <c r="B6" s="190"/>
      <c r="C6" s="190"/>
      <c r="D6" s="190"/>
      <c r="E6" s="190"/>
      <c r="F6" s="190"/>
      <c r="G6" s="190"/>
      <c r="H6" s="190"/>
      <c r="I6" s="190"/>
      <c r="J6" s="205" t="s">
        <v>2</v>
      </c>
      <c r="K6" s="206"/>
      <c r="L6" s="206"/>
      <c r="M6" s="206"/>
      <c r="N6" s="206"/>
      <c r="O6" s="206"/>
      <c r="P6" s="206"/>
      <c r="Q6" s="206"/>
      <c r="R6" s="207"/>
      <c r="S6" s="208" t="s">
        <v>210</v>
      </c>
      <c r="T6" s="206"/>
      <c r="U6" s="206"/>
      <c r="V6" s="206"/>
      <c r="W6" s="206"/>
      <c r="X6" s="206"/>
      <c r="Y6" s="206"/>
      <c r="Z6" s="207"/>
      <c r="AA6" s="208" t="s">
        <v>211</v>
      </c>
      <c r="AB6" s="206"/>
      <c r="AC6" s="206"/>
      <c r="AD6" s="206"/>
      <c r="AE6" s="206"/>
      <c r="AF6" s="206"/>
      <c r="AG6" s="206"/>
      <c r="AH6" s="209"/>
    </row>
    <row r="7" spans="1:34" ht="18" customHeight="1" x14ac:dyDescent="0.2">
      <c r="A7" s="189"/>
      <c r="B7" s="190"/>
      <c r="C7" s="190"/>
      <c r="D7" s="190"/>
      <c r="E7" s="190"/>
      <c r="F7" s="190"/>
      <c r="G7" s="190"/>
      <c r="H7" s="190"/>
      <c r="I7" s="190"/>
      <c r="J7" s="191" t="s">
        <v>237</v>
      </c>
      <c r="K7" s="191"/>
      <c r="L7" s="191"/>
      <c r="M7" s="191"/>
      <c r="N7" s="191"/>
      <c r="O7" s="191"/>
      <c r="P7" s="191"/>
      <c r="Q7" s="191"/>
      <c r="R7" s="192"/>
      <c r="S7" s="193" t="s">
        <v>233</v>
      </c>
      <c r="T7" s="194"/>
      <c r="U7" s="194"/>
      <c r="V7" s="194"/>
      <c r="W7" s="194"/>
      <c r="X7" s="194"/>
      <c r="Y7" s="194"/>
      <c r="Z7" s="195"/>
      <c r="AA7" s="196" t="s">
        <v>234</v>
      </c>
      <c r="AB7" s="197"/>
      <c r="AC7" s="197"/>
      <c r="AD7" s="197"/>
      <c r="AE7" s="197"/>
      <c r="AF7" s="197"/>
      <c r="AG7" s="197"/>
      <c r="AH7" s="198"/>
    </row>
    <row r="8" spans="1:34" ht="12" customHeight="1" x14ac:dyDescent="0.2">
      <c r="A8" s="189"/>
      <c r="B8" s="190"/>
      <c r="C8" s="190"/>
      <c r="D8" s="190"/>
      <c r="E8" s="190"/>
      <c r="F8" s="190"/>
      <c r="G8" s="190"/>
      <c r="H8" s="190"/>
      <c r="I8" s="190"/>
      <c r="J8" s="186" t="s">
        <v>212</v>
      </c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8"/>
    </row>
    <row r="9" spans="1:34" ht="21" customHeight="1" x14ac:dyDescent="0.2">
      <c r="A9" s="189"/>
      <c r="B9" s="190"/>
      <c r="C9" s="190"/>
      <c r="D9" s="190"/>
      <c r="E9" s="190"/>
      <c r="F9" s="190"/>
      <c r="G9" s="190"/>
      <c r="H9" s="190"/>
      <c r="I9" s="190"/>
      <c r="J9" s="199" t="s">
        <v>238</v>
      </c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4"/>
    </row>
    <row r="10" spans="1:34" ht="3.75" customHeight="1" x14ac:dyDescent="0.2">
      <c r="A10" s="62"/>
      <c r="AH10" s="61"/>
    </row>
    <row r="11" spans="1:34" ht="15" customHeight="1" x14ac:dyDescent="0.2">
      <c r="A11" s="63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64"/>
    </row>
    <row r="12" spans="1:34" ht="15" customHeight="1" x14ac:dyDescent="0.2">
      <c r="A12" s="65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66"/>
    </row>
    <row r="13" spans="1:34" ht="15" customHeight="1" x14ac:dyDescent="0.2">
      <c r="A13" s="67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68"/>
    </row>
    <row r="14" spans="1:34" ht="15" customHeight="1" x14ac:dyDescent="0.2">
      <c r="A14" s="67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68"/>
    </row>
    <row r="15" spans="1:34" ht="15" customHeight="1" x14ac:dyDescent="0.2">
      <c r="A15" s="69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70"/>
    </row>
    <row r="16" spans="1:34" ht="15" customHeight="1" x14ac:dyDescent="0.2">
      <c r="A16" s="69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70"/>
    </row>
    <row r="17" spans="1:35" ht="15" customHeight="1" x14ac:dyDescent="0.2">
      <c r="A17" s="6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70"/>
    </row>
    <row r="18" spans="1:35" ht="15" customHeight="1" x14ac:dyDescent="0.2">
      <c r="A18" s="6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70"/>
    </row>
    <row r="19" spans="1:35" ht="15" customHeight="1" x14ac:dyDescent="0.2">
      <c r="A19" s="6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70"/>
    </row>
    <row r="20" spans="1:35" ht="15" customHeight="1" x14ac:dyDescent="0.2">
      <c r="A20" s="6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70"/>
    </row>
    <row r="21" spans="1:35" ht="15" customHeight="1" x14ac:dyDescent="0.2">
      <c r="A21" s="6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70"/>
    </row>
    <row r="22" spans="1:35" ht="15" customHeight="1" x14ac:dyDescent="0.2">
      <c r="A22" s="69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70"/>
    </row>
    <row r="23" spans="1:35" ht="15" customHeight="1" x14ac:dyDescent="0.2">
      <c r="A23" s="69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70"/>
    </row>
    <row r="24" spans="1:35" ht="15" customHeight="1" x14ac:dyDescent="0.2">
      <c r="A24" s="71"/>
      <c r="B24" s="54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64"/>
    </row>
    <row r="25" spans="1:35" ht="15" customHeight="1" x14ac:dyDescent="0.2">
      <c r="A25" s="71"/>
      <c r="B25" s="54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64"/>
    </row>
    <row r="26" spans="1:35" ht="15" customHeight="1" x14ac:dyDescent="0.2">
      <c r="A26" s="6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70"/>
    </row>
    <row r="27" spans="1:35" ht="15" customHeight="1" x14ac:dyDescent="0.2">
      <c r="A27" s="69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70"/>
    </row>
    <row r="28" spans="1:35" ht="15" customHeight="1" x14ac:dyDescent="0.2">
      <c r="A28" s="69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70"/>
      <c r="AI28" s="55"/>
    </row>
    <row r="29" spans="1:35" ht="15" customHeight="1" x14ac:dyDescent="0.2">
      <c r="A29" s="62"/>
      <c r="AH29" s="61"/>
      <c r="AI29" s="55"/>
    </row>
    <row r="30" spans="1:35" ht="15" customHeight="1" x14ac:dyDescent="0.25">
      <c r="A30" s="160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2"/>
      <c r="AI30" s="55"/>
    </row>
    <row r="31" spans="1:35" ht="15" customHeight="1" x14ac:dyDescent="0.2">
      <c r="A31" s="62"/>
      <c r="AH31" s="61"/>
      <c r="AI31" s="55"/>
    </row>
    <row r="32" spans="1:35" ht="15" customHeight="1" x14ac:dyDescent="0.2">
      <c r="A32" s="69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70"/>
      <c r="AI32" s="55"/>
    </row>
    <row r="33" spans="1:35" ht="15" customHeight="1" x14ac:dyDescent="0.25">
      <c r="A33" s="163" t="s">
        <v>264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5"/>
      <c r="AI33" s="55"/>
    </row>
    <row r="34" spans="1:35" ht="15" customHeight="1" x14ac:dyDescent="0.2">
      <c r="A34" s="69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70"/>
      <c r="AI34" s="55"/>
    </row>
    <row r="35" spans="1:35" ht="15" customHeight="1" x14ac:dyDescent="0.2">
      <c r="A35" s="62"/>
      <c r="AH35" s="61"/>
      <c r="AI35" s="55"/>
    </row>
    <row r="36" spans="1:35" ht="15" customHeight="1" x14ac:dyDescent="0.2">
      <c r="A36" s="69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70"/>
      <c r="AI36" s="55"/>
    </row>
    <row r="37" spans="1:35" ht="15" customHeight="1" x14ac:dyDescent="0.2">
      <c r="A37" s="69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70"/>
      <c r="AI37" s="55"/>
    </row>
    <row r="38" spans="1:35" ht="15" customHeight="1" x14ac:dyDescent="0.2">
      <c r="A38" s="69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70"/>
    </row>
    <row r="39" spans="1:35" ht="15" customHeight="1" x14ac:dyDescent="0.2">
      <c r="A39" s="69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70"/>
    </row>
    <row r="40" spans="1:35" ht="15" customHeight="1" x14ac:dyDescent="0.2">
      <c r="A40" s="69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70"/>
    </row>
    <row r="41" spans="1:35" ht="15" customHeight="1" x14ac:dyDescent="0.2">
      <c r="A41" s="69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70"/>
    </row>
    <row r="42" spans="1:35" ht="15" customHeight="1" x14ac:dyDescent="0.2">
      <c r="A42" s="69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70"/>
    </row>
    <row r="43" spans="1:35" ht="15" customHeight="1" x14ac:dyDescent="0.2">
      <c r="A43" s="69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70"/>
    </row>
    <row r="44" spans="1:35" ht="15" customHeight="1" x14ac:dyDescent="0.2">
      <c r="A44" s="69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70"/>
    </row>
    <row r="45" spans="1:35" ht="15" customHeight="1" x14ac:dyDescent="0.2">
      <c r="A45" s="69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70"/>
    </row>
    <row r="46" spans="1:35" ht="15" customHeight="1" x14ac:dyDescent="0.2">
      <c r="A46" s="69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70"/>
    </row>
    <row r="47" spans="1:35" ht="15" customHeight="1" x14ac:dyDescent="0.2">
      <c r="A47" s="69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70"/>
    </row>
    <row r="48" spans="1:35" ht="15" customHeight="1" x14ac:dyDescent="0.2">
      <c r="A48" s="69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70"/>
    </row>
    <row r="49" spans="1:34" ht="15" customHeight="1" x14ac:dyDescent="0.2">
      <c r="A49" s="69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70"/>
    </row>
    <row r="50" spans="1:34" ht="15" customHeight="1" x14ac:dyDescent="0.2">
      <c r="A50" s="69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70"/>
    </row>
    <row r="51" spans="1:34" ht="15" customHeight="1" x14ac:dyDescent="0.2">
      <c r="A51" s="69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70"/>
    </row>
    <row r="52" spans="1:34" ht="15" customHeight="1" x14ac:dyDescent="0.2">
      <c r="A52" s="69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70"/>
    </row>
    <row r="53" spans="1:34" ht="15" customHeight="1" x14ac:dyDescent="0.2">
      <c r="A53" s="69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70"/>
    </row>
    <row r="54" spans="1:34" ht="15" customHeight="1" x14ac:dyDescent="0.2">
      <c r="A54" s="69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70"/>
    </row>
    <row r="55" spans="1:34" ht="15" customHeight="1" x14ac:dyDescent="0.2">
      <c r="A55" s="69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70"/>
    </row>
    <row r="56" spans="1:34" ht="15" customHeight="1" x14ac:dyDescent="0.2">
      <c r="A56" s="69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70"/>
    </row>
    <row r="57" spans="1:34" ht="15" customHeight="1" thickBot="1" x14ac:dyDescent="0.25">
      <c r="A57" s="69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70"/>
    </row>
    <row r="58" spans="1:34" ht="15" customHeight="1" thickBot="1" x14ac:dyDescent="0.25">
      <c r="A58" s="166" t="s">
        <v>0</v>
      </c>
      <c r="B58" s="167"/>
      <c r="C58" s="168" t="s">
        <v>213</v>
      </c>
      <c r="D58" s="169"/>
      <c r="E58" s="167"/>
      <c r="F58" s="168" t="s">
        <v>214</v>
      </c>
      <c r="G58" s="167"/>
      <c r="H58" s="168" t="s">
        <v>215</v>
      </c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7"/>
      <c r="Z58" s="168" t="s">
        <v>216</v>
      </c>
      <c r="AA58" s="169"/>
      <c r="AB58" s="167"/>
      <c r="AC58" s="168" t="s">
        <v>217</v>
      </c>
      <c r="AD58" s="169"/>
      <c r="AE58" s="167"/>
      <c r="AF58" s="168" t="s">
        <v>218</v>
      </c>
      <c r="AG58" s="169"/>
      <c r="AH58" s="170"/>
    </row>
    <row r="59" spans="1:34" ht="15" customHeight="1" x14ac:dyDescent="0.2">
      <c r="A59" s="157">
        <v>0</v>
      </c>
      <c r="B59" s="158"/>
      <c r="C59" s="159">
        <v>46171</v>
      </c>
      <c r="D59" s="154"/>
      <c r="E59" s="158"/>
      <c r="F59" s="153" t="s">
        <v>32</v>
      </c>
      <c r="G59" s="158"/>
      <c r="H59" s="153" t="s">
        <v>265</v>
      </c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8"/>
      <c r="Z59" s="153" t="s">
        <v>261</v>
      </c>
      <c r="AA59" s="154"/>
      <c r="AB59" s="158"/>
      <c r="AC59" s="153" t="s">
        <v>262</v>
      </c>
      <c r="AD59" s="154"/>
      <c r="AE59" s="158"/>
      <c r="AF59" s="153" t="s">
        <v>263</v>
      </c>
      <c r="AG59" s="154"/>
      <c r="AH59" s="155"/>
    </row>
    <row r="60" spans="1:34" ht="15" customHeight="1" x14ac:dyDescent="0.2">
      <c r="A60" s="151">
        <v>1</v>
      </c>
      <c r="B60" s="152"/>
      <c r="C60" s="156">
        <v>46211</v>
      </c>
      <c r="D60" s="149"/>
      <c r="E60" s="152"/>
      <c r="F60" s="148" t="s">
        <v>32</v>
      </c>
      <c r="G60" s="152"/>
      <c r="H60" s="148" t="s">
        <v>265</v>
      </c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52"/>
      <c r="Z60" s="148" t="s">
        <v>261</v>
      </c>
      <c r="AA60" s="149"/>
      <c r="AB60" s="152"/>
      <c r="AC60" s="148" t="s">
        <v>262</v>
      </c>
      <c r="AD60" s="149"/>
      <c r="AE60" s="152"/>
      <c r="AF60" s="148" t="s">
        <v>263</v>
      </c>
      <c r="AG60" s="149"/>
      <c r="AH60" s="150"/>
    </row>
    <row r="61" spans="1:34" ht="15" customHeight="1" x14ac:dyDescent="0.2">
      <c r="A61" s="151"/>
      <c r="B61" s="152"/>
      <c r="C61" s="148"/>
      <c r="D61" s="149"/>
      <c r="E61" s="152"/>
      <c r="F61" s="148"/>
      <c r="G61" s="152"/>
      <c r="H61" s="148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52"/>
      <c r="Z61" s="148"/>
      <c r="AA61" s="149"/>
      <c r="AB61" s="152"/>
      <c r="AC61" s="148"/>
      <c r="AD61" s="149"/>
      <c r="AE61" s="152"/>
      <c r="AF61" s="148"/>
      <c r="AG61" s="149"/>
      <c r="AH61" s="150"/>
    </row>
    <row r="62" spans="1:34" ht="15" customHeight="1" x14ac:dyDescent="0.2">
      <c r="A62" s="151"/>
      <c r="B62" s="152"/>
      <c r="C62" s="148"/>
      <c r="D62" s="149"/>
      <c r="E62" s="152"/>
      <c r="F62" s="148"/>
      <c r="G62" s="152"/>
      <c r="H62" s="148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52"/>
      <c r="Z62" s="148"/>
      <c r="AA62" s="149"/>
      <c r="AB62" s="152"/>
      <c r="AC62" s="148"/>
      <c r="AD62" s="149"/>
      <c r="AE62" s="152"/>
      <c r="AF62" s="148"/>
      <c r="AG62" s="149"/>
      <c r="AH62" s="150"/>
    </row>
    <row r="63" spans="1:34" ht="15" customHeight="1" x14ac:dyDescent="0.2">
      <c r="A63" s="151"/>
      <c r="B63" s="152"/>
      <c r="C63" s="148"/>
      <c r="D63" s="149"/>
      <c r="E63" s="152"/>
      <c r="F63" s="148"/>
      <c r="G63" s="152"/>
      <c r="H63" s="148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52"/>
      <c r="Z63" s="148"/>
      <c r="AA63" s="149"/>
      <c r="AB63" s="152"/>
      <c r="AC63" s="148"/>
      <c r="AD63" s="149"/>
      <c r="AE63" s="152"/>
      <c r="AF63" s="148"/>
      <c r="AG63" s="149"/>
      <c r="AH63" s="150"/>
    </row>
    <row r="64" spans="1:34" ht="15" customHeight="1" x14ac:dyDescent="0.2">
      <c r="A64" s="151"/>
      <c r="B64" s="152"/>
      <c r="C64" s="148"/>
      <c r="D64" s="149"/>
      <c r="E64" s="152"/>
      <c r="F64" s="148"/>
      <c r="G64" s="152"/>
      <c r="H64" s="148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52"/>
      <c r="Z64" s="148"/>
      <c r="AA64" s="149"/>
      <c r="AB64" s="152"/>
      <c r="AC64" s="148"/>
      <c r="AD64" s="149"/>
      <c r="AE64" s="152"/>
      <c r="AF64" s="148"/>
      <c r="AG64" s="149"/>
      <c r="AH64" s="150"/>
    </row>
    <row r="65" spans="1:34" ht="15" customHeight="1" thickBot="1" x14ac:dyDescent="0.25">
      <c r="A65" s="146"/>
      <c r="B65" s="147"/>
      <c r="C65" s="137"/>
      <c r="D65" s="138"/>
      <c r="E65" s="147"/>
      <c r="F65" s="137"/>
      <c r="G65" s="147"/>
      <c r="H65" s="137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47"/>
      <c r="Z65" s="137"/>
      <c r="AA65" s="138"/>
      <c r="AB65" s="147"/>
      <c r="AC65" s="137"/>
      <c r="AD65" s="138"/>
      <c r="AE65" s="147"/>
      <c r="AF65" s="137"/>
      <c r="AG65" s="138"/>
      <c r="AH65" s="139"/>
    </row>
    <row r="66" spans="1:34" ht="15" customHeight="1" thickBot="1" x14ac:dyDescent="0.25">
      <c r="A66" s="140" t="s">
        <v>219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2"/>
    </row>
    <row r="67" spans="1:34" ht="15" customHeight="1" x14ac:dyDescent="0.2">
      <c r="A67" s="143" t="s">
        <v>31</v>
      </c>
      <c r="B67" s="144"/>
      <c r="C67" s="128" t="s">
        <v>205</v>
      </c>
      <c r="D67" s="128"/>
      <c r="E67" s="128"/>
      <c r="F67" s="128"/>
      <c r="G67" s="127" t="s">
        <v>32</v>
      </c>
      <c r="H67" s="127"/>
      <c r="I67" s="128" t="s">
        <v>222</v>
      </c>
      <c r="J67" s="128"/>
      <c r="K67" s="128"/>
      <c r="L67" s="128"/>
      <c r="M67" s="127" t="s">
        <v>35</v>
      </c>
      <c r="N67" s="127"/>
      <c r="O67" s="128" t="s">
        <v>225</v>
      </c>
      <c r="P67" s="128"/>
      <c r="Q67" s="128"/>
      <c r="R67" s="128"/>
      <c r="S67" s="128"/>
      <c r="T67" s="128"/>
      <c r="U67" s="127" t="s">
        <v>38</v>
      </c>
      <c r="V67" s="127"/>
      <c r="W67" s="145" t="s">
        <v>228</v>
      </c>
      <c r="X67" s="145"/>
      <c r="Y67" s="145"/>
      <c r="Z67" s="145"/>
      <c r="AA67" s="145"/>
      <c r="AB67" s="129"/>
      <c r="AC67" s="129"/>
      <c r="AD67" s="129"/>
      <c r="AE67" s="129"/>
      <c r="AF67" s="129"/>
      <c r="AG67" s="129"/>
      <c r="AH67" s="130"/>
    </row>
    <row r="68" spans="1:34" ht="15" customHeight="1" x14ac:dyDescent="0.2">
      <c r="A68" s="134" t="s">
        <v>204</v>
      </c>
      <c r="B68" s="127"/>
      <c r="C68" s="128" t="s">
        <v>220</v>
      </c>
      <c r="D68" s="128"/>
      <c r="E68" s="128"/>
      <c r="F68" s="128"/>
      <c r="G68" s="127" t="s">
        <v>33</v>
      </c>
      <c r="H68" s="127"/>
      <c r="I68" s="128" t="s">
        <v>223</v>
      </c>
      <c r="J68" s="128"/>
      <c r="K68" s="128"/>
      <c r="L68" s="128"/>
      <c r="M68" s="127" t="s">
        <v>36</v>
      </c>
      <c r="N68" s="127"/>
      <c r="O68" s="128" t="s">
        <v>226</v>
      </c>
      <c r="P68" s="128"/>
      <c r="Q68" s="128"/>
      <c r="R68" s="128"/>
      <c r="S68" s="128"/>
      <c r="T68" s="128"/>
      <c r="U68" s="127" t="s">
        <v>203</v>
      </c>
      <c r="V68" s="127"/>
      <c r="W68" s="128" t="s">
        <v>229</v>
      </c>
      <c r="X68" s="128"/>
      <c r="Y68" s="128"/>
      <c r="Z68" s="128"/>
      <c r="AA68" s="128"/>
      <c r="AB68" s="135"/>
      <c r="AC68" s="135"/>
      <c r="AD68" s="135"/>
      <c r="AE68" s="135"/>
      <c r="AF68" s="135"/>
      <c r="AG68" s="135"/>
      <c r="AH68" s="136"/>
    </row>
    <row r="69" spans="1:34" ht="15" customHeight="1" x14ac:dyDescent="0.2">
      <c r="A69" s="134" t="s">
        <v>202</v>
      </c>
      <c r="B69" s="127"/>
      <c r="C69" s="128" t="s">
        <v>221</v>
      </c>
      <c r="D69" s="128"/>
      <c r="E69" s="128"/>
      <c r="F69" s="128"/>
      <c r="G69" s="127" t="s">
        <v>34</v>
      </c>
      <c r="H69" s="127"/>
      <c r="I69" s="128" t="s">
        <v>224</v>
      </c>
      <c r="J69" s="128"/>
      <c r="K69" s="128"/>
      <c r="L69" s="128"/>
      <c r="M69" s="127" t="s">
        <v>37</v>
      </c>
      <c r="N69" s="127"/>
      <c r="O69" s="128" t="s">
        <v>227</v>
      </c>
      <c r="P69" s="128"/>
      <c r="Q69" s="128"/>
      <c r="R69" s="128"/>
      <c r="S69" s="128"/>
      <c r="T69" s="128"/>
      <c r="U69" s="127" t="s">
        <v>39</v>
      </c>
      <c r="V69" s="127"/>
      <c r="W69" s="128" t="s">
        <v>230</v>
      </c>
      <c r="X69" s="128"/>
      <c r="Y69" s="128"/>
      <c r="Z69" s="128"/>
      <c r="AA69" s="128"/>
      <c r="AB69" s="129"/>
      <c r="AC69" s="129"/>
      <c r="AD69" s="129"/>
      <c r="AE69" s="129"/>
      <c r="AF69" s="129"/>
      <c r="AG69" s="129"/>
      <c r="AH69" s="130"/>
    </row>
    <row r="70" spans="1:34" ht="19.5" customHeight="1" thickBot="1" x14ac:dyDescent="0.25">
      <c r="A70" s="131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3"/>
    </row>
    <row r="71" spans="1:34" ht="15" customHeight="1" x14ac:dyDescent="0.2">
      <c r="A71" s="49"/>
      <c r="B71" s="49"/>
    </row>
    <row r="72" spans="1:34" ht="15" customHeight="1" x14ac:dyDescent="0.2">
      <c r="A72" s="49"/>
      <c r="B72" s="49"/>
    </row>
    <row r="73" spans="1:34" ht="15" customHeight="1" x14ac:dyDescent="0.2">
      <c r="A73" s="49"/>
      <c r="B73" s="49"/>
    </row>
    <row r="74" spans="1:34" ht="15" customHeight="1" x14ac:dyDescent="0.2">
      <c r="A74" s="49"/>
      <c r="B74" s="49"/>
    </row>
    <row r="75" spans="1:34" ht="15" customHeight="1" x14ac:dyDescent="0.2">
      <c r="A75" s="49"/>
      <c r="B75" s="49"/>
    </row>
    <row r="76" spans="1:34" ht="15" customHeight="1" x14ac:dyDescent="0.2">
      <c r="A76" s="49"/>
      <c r="B76" s="49"/>
    </row>
    <row r="77" spans="1:34" ht="15" customHeight="1" x14ac:dyDescent="0.2">
      <c r="A77" s="49"/>
      <c r="B77" s="49"/>
    </row>
    <row r="78" spans="1:34" ht="15" customHeight="1" x14ac:dyDescent="0.2">
      <c r="A78" s="49"/>
      <c r="B78" s="49"/>
    </row>
    <row r="79" spans="1:34" ht="15" customHeight="1" x14ac:dyDescent="0.2">
      <c r="A79" s="49"/>
      <c r="B79" s="49"/>
    </row>
    <row r="80" spans="1:34" ht="15" customHeight="1" x14ac:dyDescent="0.2">
      <c r="A80" s="49"/>
      <c r="B80" s="49"/>
    </row>
    <row r="81" spans="1:2" ht="15" customHeight="1" x14ac:dyDescent="0.2">
      <c r="A81" s="49"/>
      <c r="B81" s="49"/>
    </row>
    <row r="82" spans="1:2" ht="15" customHeight="1" x14ac:dyDescent="0.2">
      <c r="A82" s="49"/>
      <c r="B82" s="49"/>
    </row>
    <row r="83" spans="1:2" ht="15" customHeight="1" x14ac:dyDescent="0.2">
      <c r="A83" s="49"/>
      <c r="B83" s="49"/>
    </row>
    <row r="84" spans="1:2" ht="15" customHeight="1" x14ac:dyDescent="0.2">
      <c r="A84" s="49"/>
      <c r="B84" s="49"/>
    </row>
    <row r="85" spans="1:2" ht="15" customHeight="1" x14ac:dyDescent="0.2">
      <c r="A85" s="49"/>
      <c r="B85" s="49"/>
    </row>
    <row r="86" spans="1:2" ht="15" customHeight="1" x14ac:dyDescent="0.2">
      <c r="A86" s="49"/>
      <c r="B86" s="49"/>
    </row>
    <row r="87" spans="1:2" ht="14.1" customHeight="1" x14ac:dyDescent="0.2">
      <c r="A87" s="49"/>
      <c r="B87" s="49"/>
    </row>
    <row r="88" spans="1:2" ht="14.1" customHeight="1" x14ac:dyDescent="0.2">
      <c r="A88" s="56"/>
      <c r="B88" s="56"/>
    </row>
    <row r="89" spans="1:2" ht="14.1" customHeight="1" x14ac:dyDescent="0.2">
      <c r="A89" s="56"/>
      <c r="B89" s="56"/>
    </row>
    <row r="90" spans="1:2" ht="14.1" customHeight="1" x14ac:dyDescent="0.2">
      <c r="A90" s="56"/>
      <c r="B90" s="56"/>
    </row>
    <row r="91" spans="1:2" ht="14.1" customHeight="1" x14ac:dyDescent="0.2">
      <c r="A91" s="56"/>
      <c r="B91" s="56"/>
    </row>
    <row r="92" spans="1:2" ht="14.1" customHeight="1" x14ac:dyDescent="0.2">
      <c r="A92" s="56"/>
      <c r="B92" s="56"/>
    </row>
    <row r="93" spans="1:2" ht="14.1" customHeight="1" x14ac:dyDescent="0.2">
      <c r="A93" s="56"/>
      <c r="B93" s="56"/>
    </row>
    <row r="94" spans="1:2" ht="14.1" customHeight="1" x14ac:dyDescent="0.2">
      <c r="A94" s="56"/>
      <c r="B94" s="56"/>
    </row>
    <row r="95" spans="1:2" ht="14.1" customHeight="1" x14ac:dyDescent="0.2">
      <c r="A95" s="56"/>
      <c r="B95" s="56"/>
    </row>
    <row r="96" spans="1:2" ht="14.1" customHeight="1" x14ac:dyDescent="0.2">
      <c r="A96" s="56"/>
      <c r="B96" s="56"/>
    </row>
    <row r="97" spans="1:2" ht="14.1" customHeight="1" x14ac:dyDescent="0.2">
      <c r="A97" s="56"/>
      <c r="B97" s="56"/>
    </row>
    <row r="98" spans="1:2" ht="14.1" customHeight="1" x14ac:dyDescent="0.2">
      <c r="A98" s="56"/>
      <c r="B98" s="56"/>
    </row>
    <row r="99" spans="1:2" ht="14.1" customHeight="1" x14ac:dyDescent="0.2">
      <c r="A99" s="56"/>
      <c r="B99" s="56"/>
    </row>
    <row r="100" spans="1:2" ht="14.1" customHeight="1" x14ac:dyDescent="0.2">
      <c r="A100" s="56"/>
      <c r="B100" s="56"/>
    </row>
    <row r="101" spans="1:2" ht="14.1" customHeight="1" x14ac:dyDescent="0.2">
      <c r="A101" s="56"/>
      <c r="B101" s="56"/>
    </row>
    <row r="102" spans="1:2" ht="14.1" customHeight="1" x14ac:dyDescent="0.2">
      <c r="A102" s="56"/>
      <c r="B102" s="56"/>
    </row>
    <row r="103" spans="1:2" ht="14.1" customHeight="1" x14ac:dyDescent="0.2">
      <c r="A103" s="56"/>
      <c r="B103" s="56"/>
    </row>
    <row r="104" spans="1:2" ht="14.1" customHeight="1" x14ac:dyDescent="0.2">
      <c r="A104" s="56"/>
      <c r="B104" s="56"/>
    </row>
    <row r="105" spans="1:2" ht="14.1" customHeight="1" x14ac:dyDescent="0.2">
      <c r="A105" s="56"/>
      <c r="B105" s="56"/>
    </row>
    <row r="106" spans="1:2" ht="14.1" customHeight="1" x14ac:dyDescent="0.2">
      <c r="A106" s="56"/>
      <c r="B106" s="56"/>
    </row>
    <row r="107" spans="1:2" ht="14.1" customHeight="1" x14ac:dyDescent="0.2">
      <c r="A107" s="56"/>
      <c r="B107" s="56"/>
    </row>
    <row r="108" spans="1:2" ht="14.1" customHeight="1" x14ac:dyDescent="0.2">
      <c r="A108" s="56"/>
      <c r="B108" s="56"/>
    </row>
    <row r="109" spans="1:2" ht="14.1" customHeight="1" x14ac:dyDescent="0.2">
      <c r="A109" s="56"/>
      <c r="B109" s="56"/>
    </row>
    <row r="110" spans="1:2" ht="14.1" customHeight="1" x14ac:dyDescent="0.2">
      <c r="A110" s="56"/>
      <c r="B110" s="56"/>
    </row>
    <row r="111" spans="1:2" ht="14.1" customHeight="1" x14ac:dyDescent="0.2">
      <c r="A111" s="56"/>
      <c r="B111" s="56"/>
    </row>
    <row r="112" spans="1:2" ht="14.1" customHeight="1" x14ac:dyDescent="0.2">
      <c r="A112" s="56"/>
      <c r="B112" s="56"/>
    </row>
    <row r="113" spans="1:2" ht="14.1" customHeight="1" x14ac:dyDescent="0.2">
      <c r="A113" s="56"/>
      <c r="B113" s="56"/>
    </row>
    <row r="114" spans="1:2" ht="14.1" customHeight="1" x14ac:dyDescent="0.2">
      <c r="A114" s="56"/>
      <c r="B114" s="56"/>
    </row>
    <row r="115" spans="1:2" ht="14.1" customHeight="1" x14ac:dyDescent="0.2">
      <c r="A115" s="56"/>
      <c r="B115" s="56"/>
    </row>
    <row r="116" spans="1:2" ht="14.1" customHeight="1" x14ac:dyDescent="0.2">
      <c r="A116" s="56"/>
      <c r="B116" s="56"/>
    </row>
    <row r="117" spans="1:2" ht="14.1" customHeight="1" x14ac:dyDescent="0.2">
      <c r="A117" s="56"/>
      <c r="B117" s="56"/>
    </row>
    <row r="118" spans="1:2" ht="14.1" customHeight="1" x14ac:dyDescent="0.2">
      <c r="A118" s="56"/>
      <c r="B118" s="56"/>
    </row>
    <row r="119" spans="1:2" ht="14.1" customHeight="1" x14ac:dyDescent="0.2">
      <c r="A119" s="56"/>
      <c r="B119" s="56"/>
    </row>
    <row r="120" spans="1:2" ht="14.1" customHeight="1" x14ac:dyDescent="0.2">
      <c r="A120" s="56"/>
      <c r="B120" s="56"/>
    </row>
    <row r="121" spans="1:2" ht="14.1" customHeight="1" x14ac:dyDescent="0.2">
      <c r="A121" s="56"/>
      <c r="B121" s="56"/>
    </row>
    <row r="122" spans="1:2" ht="14.1" customHeight="1" x14ac:dyDescent="0.2">
      <c r="A122" s="56"/>
      <c r="B122" s="56"/>
    </row>
    <row r="123" spans="1:2" ht="14.1" customHeight="1" x14ac:dyDescent="0.2">
      <c r="A123" s="56"/>
      <c r="B123" s="56"/>
    </row>
    <row r="124" spans="1:2" ht="14.1" customHeight="1" x14ac:dyDescent="0.2">
      <c r="A124" s="56"/>
      <c r="B124" s="56"/>
    </row>
    <row r="125" spans="1:2" ht="14.1" customHeight="1" x14ac:dyDescent="0.2">
      <c r="A125" s="56"/>
      <c r="B125" s="56"/>
    </row>
    <row r="126" spans="1:2" ht="14.1" customHeight="1" x14ac:dyDescent="0.2">
      <c r="A126" s="56"/>
      <c r="B126" s="56"/>
    </row>
    <row r="127" spans="1:2" ht="14.1" customHeight="1" x14ac:dyDescent="0.2">
      <c r="A127" s="56"/>
      <c r="B127" s="56"/>
    </row>
    <row r="128" spans="1:2" ht="14.1" customHeight="1" x14ac:dyDescent="0.2">
      <c r="A128" s="56"/>
      <c r="B128" s="56"/>
    </row>
    <row r="129" spans="1:2" ht="13.5" customHeight="1" x14ac:dyDescent="0.2">
      <c r="A129" s="56"/>
      <c r="B129" s="56"/>
    </row>
    <row r="130" spans="1:2" ht="13.5" customHeight="1" x14ac:dyDescent="0.2">
      <c r="A130" s="56"/>
      <c r="B130" s="56"/>
    </row>
    <row r="131" spans="1:2" ht="13.5" customHeight="1" x14ac:dyDescent="0.2">
      <c r="A131" s="56"/>
      <c r="B131" s="56"/>
    </row>
    <row r="132" spans="1:2" ht="13.5" customHeight="1" x14ac:dyDescent="0.2">
      <c r="A132" s="56"/>
      <c r="B132" s="56"/>
    </row>
    <row r="133" spans="1:2" ht="13.5" customHeight="1" x14ac:dyDescent="0.2">
      <c r="A133" s="56"/>
      <c r="B133" s="56"/>
    </row>
    <row r="134" spans="1:2" ht="13.5" customHeight="1" x14ac:dyDescent="0.2">
      <c r="A134" s="56"/>
      <c r="B134" s="56"/>
    </row>
    <row r="135" spans="1:2" ht="13.5" customHeight="1" x14ac:dyDescent="0.2">
      <c r="A135" s="56"/>
      <c r="B135" s="56"/>
    </row>
    <row r="136" spans="1:2" ht="13.5" customHeight="1" x14ac:dyDescent="0.2">
      <c r="A136" s="56"/>
      <c r="B136" s="56"/>
    </row>
    <row r="137" spans="1:2" ht="12.75" customHeight="1" x14ac:dyDescent="0.2">
      <c r="A137" s="56"/>
      <c r="B137" s="56"/>
    </row>
    <row r="138" spans="1:2" ht="12.75" customHeight="1" x14ac:dyDescent="0.2">
      <c r="A138" s="56"/>
      <c r="B138" s="56"/>
    </row>
    <row r="139" spans="1:2" ht="12.75" customHeight="1" x14ac:dyDescent="0.2">
      <c r="A139" s="56"/>
      <c r="B139" s="56"/>
    </row>
    <row r="140" spans="1:2" ht="12.75" customHeight="1" x14ac:dyDescent="0.2">
      <c r="A140" s="56"/>
      <c r="B140" s="56"/>
    </row>
    <row r="141" spans="1:2" ht="12.75" customHeight="1" x14ac:dyDescent="0.2">
      <c r="A141" s="56"/>
      <c r="B141" s="56"/>
    </row>
    <row r="142" spans="1:2" ht="12.75" customHeight="1" x14ac:dyDescent="0.2">
      <c r="A142" s="56"/>
      <c r="B142" s="56"/>
    </row>
    <row r="143" spans="1:2" ht="12.75" customHeight="1" x14ac:dyDescent="0.2">
      <c r="A143" s="56"/>
      <c r="B143" s="56"/>
    </row>
    <row r="144" spans="1:2" ht="12.75" customHeight="1" x14ac:dyDescent="0.2">
      <c r="A144" s="56"/>
      <c r="B144" s="56"/>
    </row>
    <row r="145" spans="1:2" ht="12.75" customHeight="1" x14ac:dyDescent="0.2">
      <c r="A145" s="56"/>
      <c r="B145" s="56"/>
    </row>
    <row r="146" spans="1:2" ht="12.75" customHeight="1" x14ac:dyDescent="0.2">
      <c r="A146" s="56"/>
      <c r="B146" s="56"/>
    </row>
    <row r="147" spans="1:2" ht="12.75" customHeight="1" x14ac:dyDescent="0.2">
      <c r="A147" s="56"/>
      <c r="B147" s="56"/>
    </row>
    <row r="148" spans="1:2" ht="12.75" customHeight="1" x14ac:dyDescent="0.2">
      <c r="A148" s="56"/>
      <c r="B148" s="56"/>
    </row>
    <row r="149" spans="1:2" ht="12.75" customHeight="1" x14ac:dyDescent="0.2">
      <c r="A149" s="56"/>
      <c r="B149" s="56"/>
    </row>
    <row r="150" spans="1:2" ht="12.75" customHeight="1" x14ac:dyDescent="0.2">
      <c r="B150" s="56"/>
    </row>
  </sheetData>
  <mergeCells count="108">
    <mergeCell ref="J1:X2"/>
    <mergeCell ref="Y1:AF1"/>
    <mergeCell ref="AG1:AH1"/>
    <mergeCell ref="Y2:AF2"/>
    <mergeCell ref="AG2:AH2"/>
    <mergeCell ref="J3:X3"/>
    <mergeCell ref="Y3:AF3"/>
    <mergeCell ref="AG3:AH3"/>
    <mergeCell ref="A7:I9"/>
    <mergeCell ref="J7:R7"/>
    <mergeCell ref="S7:Z7"/>
    <mergeCell ref="AA7:AH7"/>
    <mergeCell ref="J8:AH8"/>
    <mergeCell ref="J9:AH9"/>
    <mergeCell ref="A4:I6"/>
    <mergeCell ref="J4:X4"/>
    <mergeCell ref="Y4:AF4"/>
    <mergeCell ref="AG4:AH4"/>
    <mergeCell ref="J6:R6"/>
    <mergeCell ref="S6:Z6"/>
    <mergeCell ref="AA6:AH6"/>
    <mergeCell ref="A30:AH30"/>
    <mergeCell ref="A33:AH33"/>
    <mergeCell ref="A58:B58"/>
    <mergeCell ref="C58:E58"/>
    <mergeCell ref="F58:G58"/>
    <mergeCell ref="H58:Y58"/>
    <mergeCell ref="Z58:AB58"/>
    <mergeCell ref="AC58:AE58"/>
    <mergeCell ref="AF58:AH58"/>
    <mergeCell ref="AF59:AH59"/>
    <mergeCell ref="A60:B60"/>
    <mergeCell ref="C60:E60"/>
    <mergeCell ref="F60:G60"/>
    <mergeCell ref="H60:Y60"/>
    <mergeCell ref="Z60:AB60"/>
    <mergeCell ref="AC60:AE60"/>
    <mergeCell ref="AF60:AH60"/>
    <mergeCell ref="A59:B59"/>
    <mergeCell ref="C59:E59"/>
    <mergeCell ref="F59:G59"/>
    <mergeCell ref="H59:Y59"/>
    <mergeCell ref="Z59:AB59"/>
    <mergeCell ref="AC59:AE59"/>
    <mergeCell ref="AF61:AH61"/>
    <mergeCell ref="A62:B62"/>
    <mergeCell ref="C62:E62"/>
    <mergeCell ref="F62:G62"/>
    <mergeCell ref="H62:Y62"/>
    <mergeCell ref="Z62:AB62"/>
    <mergeCell ref="AC62:AE62"/>
    <mergeCell ref="AF62:AH62"/>
    <mergeCell ref="A61:B61"/>
    <mergeCell ref="C61:E61"/>
    <mergeCell ref="F61:G61"/>
    <mergeCell ref="H61:Y61"/>
    <mergeCell ref="Z61:AB61"/>
    <mergeCell ref="AC61:AE61"/>
    <mergeCell ref="AF63:AH63"/>
    <mergeCell ref="A64:B64"/>
    <mergeCell ref="C64:E64"/>
    <mergeCell ref="F64:G64"/>
    <mergeCell ref="H64:Y64"/>
    <mergeCell ref="Z64:AB64"/>
    <mergeCell ref="AC64:AE64"/>
    <mergeCell ref="AF64:AH64"/>
    <mergeCell ref="A63:B63"/>
    <mergeCell ref="C63:E63"/>
    <mergeCell ref="F63:G63"/>
    <mergeCell ref="H63:Y63"/>
    <mergeCell ref="Z63:AB63"/>
    <mergeCell ref="AC63:AE63"/>
    <mergeCell ref="AF65:AH65"/>
    <mergeCell ref="A66:AH66"/>
    <mergeCell ref="A67:B67"/>
    <mergeCell ref="C67:F67"/>
    <mergeCell ref="G67:H67"/>
    <mergeCell ref="I67:L67"/>
    <mergeCell ref="M67:N67"/>
    <mergeCell ref="O67:T67"/>
    <mergeCell ref="U67:V67"/>
    <mergeCell ref="W67:AA67"/>
    <mergeCell ref="A65:B65"/>
    <mergeCell ref="C65:E65"/>
    <mergeCell ref="F65:G65"/>
    <mergeCell ref="H65:Y65"/>
    <mergeCell ref="Z65:AB65"/>
    <mergeCell ref="AC65:AE65"/>
    <mergeCell ref="AB67:AH67"/>
    <mergeCell ref="A68:B68"/>
    <mergeCell ref="C68:F68"/>
    <mergeCell ref="G68:H68"/>
    <mergeCell ref="I68:L68"/>
    <mergeCell ref="M68:N68"/>
    <mergeCell ref="O68:T68"/>
    <mergeCell ref="U68:V68"/>
    <mergeCell ref="W68:AA68"/>
    <mergeCell ref="AB68:AH68"/>
    <mergeCell ref="U69:V69"/>
    <mergeCell ref="W69:AA69"/>
    <mergeCell ref="AB69:AH69"/>
    <mergeCell ref="A70:AH70"/>
    <mergeCell ref="A69:B69"/>
    <mergeCell ref="C69:F69"/>
    <mergeCell ref="G69:H69"/>
    <mergeCell ref="I69:L69"/>
    <mergeCell ref="M69:N69"/>
    <mergeCell ref="O69:T69"/>
  </mergeCells>
  <printOptions horizontalCentered="1" verticalCentered="1"/>
  <pageMargins left="0" right="0" top="0" bottom="0" header="0" footer="0"/>
  <pageSetup paperSize="9" scale="70" orientation="portrait" r:id="rId1"/>
  <rowBreaks count="1" manualBreakCount="1">
    <brk id="70" man="1"/>
  </rowBreaks>
  <colBreaks count="1" manualBreakCount="1">
    <brk id="3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3"/>
  <sheetViews>
    <sheetView showGridLines="0" view="pageBreakPreview" topLeftCell="A32" zoomScale="90" zoomScaleNormal="55" zoomScaleSheetLayoutView="90" zoomScalePageLayoutView="55" workbookViewId="0">
      <selection activeCell="X52" sqref="X52"/>
    </sheetView>
  </sheetViews>
  <sheetFormatPr defaultRowHeight="12.75" x14ac:dyDescent="0.2"/>
  <cols>
    <col min="1" max="1" width="7.7109375" style="5" customWidth="1"/>
    <col min="2" max="2" width="9.85546875" style="5" customWidth="1"/>
    <col min="3" max="3" width="13.85546875" customWidth="1"/>
    <col min="4" max="4" width="25" bestFit="1" customWidth="1"/>
    <col min="5" max="5" width="28.5703125" bestFit="1" customWidth="1"/>
    <col min="6" max="6" width="8.5703125" customWidth="1"/>
    <col min="7" max="7" width="7.7109375" customWidth="1"/>
    <col min="8" max="8" width="8.42578125" customWidth="1"/>
    <col min="9" max="9" width="6.85546875" customWidth="1"/>
    <col min="10" max="10" width="8.5703125" customWidth="1"/>
    <col min="11" max="11" width="15.7109375" customWidth="1"/>
    <col min="12" max="12" width="14.28515625" customWidth="1"/>
    <col min="13" max="13" width="16" customWidth="1"/>
    <col min="14" max="14" width="30" customWidth="1"/>
    <col min="15" max="15" width="37.28515625" customWidth="1"/>
    <col min="16" max="16" width="27" customWidth="1"/>
    <col min="17" max="17" width="12.85546875" customWidth="1"/>
    <col min="18" max="18" width="13.28515625" customWidth="1"/>
  </cols>
  <sheetData>
    <row r="1" spans="1:18" s="2" customFormat="1" ht="15" customHeight="1" x14ac:dyDescent="0.2">
      <c r="A1" s="213"/>
      <c r="B1" s="214"/>
      <c r="C1" s="214"/>
      <c r="D1" s="214"/>
      <c r="E1" s="214"/>
      <c r="F1" s="215"/>
      <c r="G1" s="234" t="s">
        <v>242</v>
      </c>
      <c r="H1" s="235"/>
      <c r="I1" s="235"/>
      <c r="J1" s="235"/>
      <c r="K1" s="235"/>
      <c r="L1" s="235"/>
      <c r="M1" s="235"/>
      <c r="N1" s="235"/>
      <c r="O1" s="233" t="s">
        <v>209</v>
      </c>
      <c r="P1" s="224"/>
      <c r="Q1" s="225"/>
      <c r="R1" s="90" t="s">
        <v>30</v>
      </c>
    </row>
    <row r="2" spans="1:18" s="2" customFormat="1" ht="13.5" customHeight="1" x14ac:dyDescent="0.2">
      <c r="A2" s="216"/>
      <c r="B2" s="217"/>
      <c r="C2" s="217"/>
      <c r="D2" s="217"/>
      <c r="E2" s="217"/>
      <c r="F2" s="218"/>
      <c r="G2" s="236"/>
      <c r="H2" s="237"/>
      <c r="I2" s="237"/>
      <c r="J2" s="237"/>
      <c r="K2" s="237"/>
      <c r="L2" s="237"/>
      <c r="M2" s="237"/>
      <c r="N2" s="237"/>
      <c r="O2" s="238" t="str">
        <f>CAPA!Y2</f>
        <v>BK-SP08-02000-LC-79-00001</v>
      </c>
      <c r="P2" s="229"/>
      <c r="Q2" s="230"/>
      <c r="R2" s="91">
        <f>CAPA!AG2</f>
        <v>1</v>
      </c>
    </row>
    <row r="3" spans="1:18" s="2" customFormat="1" ht="12" customHeight="1" x14ac:dyDescent="0.2">
      <c r="A3" s="216"/>
      <c r="B3" s="217"/>
      <c r="C3" s="217"/>
      <c r="D3" s="217"/>
      <c r="E3" s="217"/>
      <c r="F3" s="218"/>
      <c r="G3" s="239" t="s">
        <v>206</v>
      </c>
      <c r="H3" s="240"/>
      <c r="I3" s="240"/>
      <c r="J3" s="240"/>
      <c r="K3" s="240"/>
      <c r="L3" s="240"/>
      <c r="M3" s="240"/>
      <c r="N3" s="241"/>
      <c r="O3" s="233" t="s">
        <v>207</v>
      </c>
      <c r="P3" s="224"/>
      <c r="Q3" s="225"/>
      <c r="R3" s="92" t="s">
        <v>208</v>
      </c>
    </row>
    <row r="4" spans="1:18" s="2" customFormat="1" ht="18" customHeight="1" x14ac:dyDescent="0.2">
      <c r="A4" s="216"/>
      <c r="B4" s="217"/>
      <c r="C4" s="217"/>
      <c r="D4" s="217"/>
      <c r="E4" s="217"/>
      <c r="F4" s="218"/>
      <c r="G4" s="232" t="s">
        <v>235</v>
      </c>
      <c r="H4" s="222"/>
      <c r="I4" s="222"/>
      <c r="J4" s="222"/>
      <c r="K4" s="222"/>
      <c r="L4" s="222"/>
      <c r="M4" s="222"/>
      <c r="N4" s="223"/>
      <c r="O4" s="232" t="s">
        <v>288</v>
      </c>
      <c r="P4" s="222"/>
      <c r="Q4" s="223"/>
      <c r="R4" s="93" t="s">
        <v>279</v>
      </c>
    </row>
    <row r="5" spans="1:18" ht="3.75" customHeight="1" x14ac:dyDescent="0.2">
      <c r="A5" s="216"/>
      <c r="B5" s="217"/>
      <c r="C5" s="217"/>
      <c r="D5" s="217"/>
      <c r="E5" s="217"/>
      <c r="F5" s="218"/>
      <c r="G5" s="73"/>
      <c r="H5" s="73"/>
      <c r="I5" s="73"/>
      <c r="J5" s="73"/>
      <c r="K5" s="73"/>
      <c r="L5" s="72"/>
      <c r="M5" s="73"/>
      <c r="N5" s="73"/>
      <c r="O5" s="72"/>
      <c r="P5" s="73"/>
      <c r="Q5" s="73"/>
      <c r="R5" s="23"/>
    </row>
    <row r="6" spans="1:18" ht="12" customHeight="1" x14ac:dyDescent="0.2">
      <c r="A6" s="216"/>
      <c r="B6" s="217"/>
      <c r="C6" s="217"/>
      <c r="D6" s="217"/>
      <c r="E6" s="217"/>
      <c r="F6" s="218"/>
      <c r="G6" s="94" t="s">
        <v>239</v>
      </c>
      <c r="H6" s="94"/>
      <c r="I6" s="94"/>
      <c r="J6" s="94"/>
      <c r="K6" s="94"/>
      <c r="L6" s="74" t="s">
        <v>240</v>
      </c>
      <c r="M6" s="94"/>
      <c r="N6" s="94"/>
      <c r="O6" s="210" t="s">
        <v>241</v>
      </c>
      <c r="P6" s="211"/>
      <c r="Q6" s="211"/>
      <c r="R6" s="212"/>
    </row>
    <row r="7" spans="1:18" ht="18" customHeight="1" x14ac:dyDescent="0.2">
      <c r="A7" s="216"/>
      <c r="B7" s="217"/>
      <c r="C7" s="217"/>
      <c r="D7" s="217"/>
      <c r="E7" s="217"/>
      <c r="F7" s="218"/>
      <c r="G7" s="229" t="s">
        <v>237</v>
      </c>
      <c r="H7" s="229"/>
      <c r="I7" s="229"/>
      <c r="J7" s="229"/>
      <c r="K7" s="230"/>
      <c r="L7" s="231" t="s">
        <v>233</v>
      </c>
      <c r="M7" s="227"/>
      <c r="N7" s="228"/>
      <c r="O7" s="226" t="s">
        <v>234</v>
      </c>
      <c r="P7" s="227"/>
      <c r="Q7" s="227"/>
      <c r="R7" s="228"/>
    </row>
    <row r="8" spans="1:18" ht="12" customHeight="1" x14ac:dyDescent="0.2">
      <c r="A8" s="216"/>
      <c r="B8" s="217"/>
      <c r="C8" s="217"/>
      <c r="D8" s="217"/>
      <c r="E8" s="217"/>
      <c r="F8" s="218"/>
      <c r="G8" s="211" t="s">
        <v>212</v>
      </c>
      <c r="H8" s="211"/>
      <c r="I8" s="211"/>
      <c r="J8" s="211"/>
      <c r="K8" s="211"/>
      <c r="L8" s="224"/>
      <c r="M8" s="224"/>
      <c r="N8" s="224"/>
      <c r="O8" s="224"/>
      <c r="P8" s="224"/>
      <c r="Q8" s="224"/>
      <c r="R8" s="225"/>
    </row>
    <row r="9" spans="1:18" ht="21.75" customHeight="1" x14ac:dyDescent="0.2">
      <c r="A9" s="219"/>
      <c r="B9" s="220"/>
      <c r="C9" s="220"/>
      <c r="D9" s="220"/>
      <c r="E9" s="220"/>
      <c r="F9" s="221"/>
      <c r="G9" s="222" t="s">
        <v>238</v>
      </c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3"/>
    </row>
    <row r="10" spans="1:18" ht="3.75" customHeight="1" x14ac:dyDescent="0.2">
      <c r="A10" s="86"/>
      <c r="B10" s="87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9"/>
    </row>
    <row r="11" spans="1:18" s="45" customFormat="1" ht="29.45" customHeight="1" x14ac:dyDescent="0.2">
      <c r="A11" s="246" t="s">
        <v>243</v>
      </c>
      <c r="B11" s="246"/>
      <c r="C11" s="245" t="s">
        <v>244</v>
      </c>
      <c r="D11" s="245"/>
      <c r="E11" s="245" t="s">
        <v>245</v>
      </c>
      <c r="F11" s="76" t="s">
        <v>246</v>
      </c>
      <c r="G11" s="245" t="s">
        <v>247</v>
      </c>
      <c r="H11" s="245"/>
      <c r="I11" s="245" t="s">
        <v>248</v>
      </c>
      <c r="J11" s="245"/>
      <c r="K11" s="245" t="s">
        <v>249</v>
      </c>
      <c r="L11" s="245" t="s">
        <v>256</v>
      </c>
      <c r="M11" s="245"/>
      <c r="N11" s="245" t="s">
        <v>250</v>
      </c>
      <c r="O11" s="245" t="s">
        <v>251</v>
      </c>
      <c r="P11" s="245"/>
      <c r="Q11" s="245" t="s">
        <v>408</v>
      </c>
      <c r="R11" s="245"/>
    </row>
    <row r="12" spans="1:18" s="45" customFormat="1" ht="29.45" customHeight="1" x14ac:dyDescent="0.2">
      <c r="A12" s="246"/>
      <c r="B12" s="246"/>
      <c r="C12" s="245" t="s">
        <v>335</v>
      </c>
      <c r="D12" s="245"/>
      <c r="E12" s="245"/>
      <c r="F12" s="77" t="s">
        <v>252</v>
      </c>
      <c r="G12" s="245" t="s">
        <v>253</v>
      </c>
      <c r="H12" s="245"/>
      <c r="I12" s="245" t="s">
        <v>254</v>
      </c>
      <c r="J12" s="245"/>
      <c r="K12" s="245"/>
      <c r="L12" s="245" t="s">
        <v>257</v>
      </c>
      <c r="M12" s="245"/>
      <c r="N12" s="245"/>
      <c r="O12" s="245"/>
      <c r="P12" s="245"/>
      <c r="Q12" s="245"/>
      <c r="R12" s="245"/>
    </row>
    <row r="13" spans="1:18" s="45" customFormat="1" ht="15.95" customHeight="1" x14ac:dyDescent="0.2">
      <c r="A13" s="252" t="s">
        <v>259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18" s="79" customFormat="1" ht="29.45" customHeight="1" x14ac:dyDescent="0.2">
      <c r="A14" s="247" t="s">
        <v>556</v>
      </c>
      <c r="B14" s="247"/>
      <c r="C14" s="248" t="s">
        <v>290</v>
      </c>
      <c r="D14" s="248"/>
      <c r="E14" s="251" t="s">
        <v>258</v>
      </c>
      <c r="F14" s="96">
        <v>66</v>
      </c>
      <c r="G14" s="242" t="s">
        <v>266</v>
      </c>
      <c r="H14" s="242"/>
      <c r="I14" s="242" t="s">
        <v>49</v>
      </c>
      <c r="J14" s="242"/>
      <c r="K14" s="249" t="s">
        <v>458</v>
      </c>
      <c r="L14" s="249">
        <v>686</v>
      </c>
      <c r="M14" s="250"/>
      <c r="N14" s="251" t="s">
        <v>269</v>
      </c>
      <c r="O14" s="253" t="s">
        <v>394</v>
      </c>
      <c r="P14" s="253"/>
      <c r="Q14" s="243" t="s">
        <v>409</v>
      </c>
      <c r="R14" s="244"/>
    </row>
    <row r="15" spans="1:18" s="79" customFormat="1" ht="27" customHeight="1" x14ac:dyDescent="0.2">
      <c r="A15" s="247"/>
      <c r="B15" s="247"/>
      <c r="C15" s="248" t="s">
        <v>337</v>
      </c>
      <c r="D15" s="248"/>
      <c r="E15" s="251"/>
      <c r="F15" s="78" t="s">
        <v>255</v>
      </c>
      <c r="G15" s="242" t="s">
        <v>260</v>
      </c>
      <c r="H15" s="242"/>
      <c r="I15" s="242" t="s">
        <v>1</v>
      </c>
      <c r="J15" s="242"/>
      <c r="K15" s="249"/>
      <c r="L15" s="249">
        <f>F14</f>
        <v>66</v>
      </c>
      <c r="M15" s="250"/>
      <c r="N15" s="251"/>
      <c r="O15" s="253"/>
      <c r="P15" s="253"/>
      <c r="Q15" s="244"/>
      <c r="R15" s="244"/>
    </row>
    <row r="16" spans="1:18" s="79" customFormat="1" ht="29.45" customHeight="1" x14ac:dyDescent="0.2">
      <c r="A16" s="247" t="s">
        <v>557</v>
      </c>
      <c r="B16" s="247"/>
      <c r="C16" s="248" t="s">
        <v>290</v>
      </c>
      <c r="D16" s="248"/>
      <c r="E16" s="251" t="s">
        <v>258</v>
      </c>
      <c r="F16" s="96">
        <v>66</v>
      </c>
      <c r="G16" s="242" t="s">
        <v>266</v>
      </c>
      <c r="H16" s="242"/>
      <c r="I16" s="242" t="s">
        <v>49</v>
      </c>
      <c r="J16" s="242"/>
      <c r="K16" s="249" t="s">
        <v>458</v>
      </c>
      <c r="L16" s="249">
        <v>686</v>
      </c>
      <c r="M16" s="250"/>
      <c r="N16" s="251" t="s">
        <v>269</v>
      </c>
      <c r="O16" s="253" t="s">
        <v>394</v>
      </c>
      <c r="P16" s="253"/>
      <c r="Q16" s="243" t="s">
        <v>410</v>
      </c>
      <c r="R16" s="244"/>
    </row>
    <row r="17" spans="1:18" s="79" customFormat="1" ht="27" customHeight="1" x14ac:dyDescent="0.2">
      <c r="A17" s="247"/>
      <c r="B17" s="247"/>
      <c r="C17" s="248" t="s">
        <v>338</v>
      </c>
      <c r="D17" s="248"/>
      <c r="E17" s="251"/>
      <c r="F17" s="78" t="s">
        <v>255</v>
      </c>
      <c r="G17" s="242" t="s">
        <v>260</v>
      </c>
      <c r="H17" s="242"/>
      <c r="I17" s="242" t="s">
        <v>1</v>
      </c>
      <c r="J17" s="242"/>
      <c r="K17" s="249"/>
      <c r="L17" s="249">
        <f>F16</f>
        <v>66</v>
      </c>
      <c r="M17" s="250"/>
      <c r="N17" s="251"/>
      <c r="O17" s="253"/>
      <c r="P17" s="253"/>
      <c r="Q17" s="244"/>
      <c r="R17" s="244"/>
    </row>
    <row r="18" spans="1:18" s="79" customFormat="1" ht="29.45" customHeight="1" x14ac:dyDescent="0.2">
      <c r="A18" s="247" t="s">
        <v>558</v>
      </c>
      <c r="B18" s="247"/>
      <c r="C18" s="248" t="s">
        <v>290</v>
      </c>
      <c r="D18" s="248"/>
      <c r="E18" s="251" t="s">
        <v>258</v>
      </c>
      <c r="F18" s="96">
        <v>66</v>
      </c>
      <c r="G18" s="242" t="s">
        <v>266</v>
      </c>
      <c r="H18" s="242"/>
      <c r="I18" s="242" t="s">
        <v>49</v>
      </c>
      <c r="J18" s="242"/>
      <c r="K18" s="249" t="s">
        <v>458</v>
      </c>
      <c r="L18" s="249">
        <v>686</v>
      </c>
      <c r="M18" s="250"/>
      <c r="N18" s="251" t="s">
        <v>269</v>
      </c>
      <c r="O18" s="253" t="s">
        <v>394</v>
      </c>
      <c r="P18" s="253"/>
      <c r="Q18" s="243" t="s">
        <v>411</v>
      </c>
      <c r="R18" s="244"/>
    </row>
    <row r="19" spans="1:18" s="79" customFormat="1" ht="27" customHeight="1" x14ac:dyDescent="0.2">
      <c r="A19" s="247"/>
      <c r="B19" s="247"/>
      <c r="C19" s="248" t="s">
        <v>339</v>
      </c>
      <c r="D19" s="248"/>
      <c r="E19" s="251"/>
      <c r="F19" s="78" t="s">
        <v>255</v>
      </c>
      <c r="G19" s="242" t="s">
        <v>260</v>
      </c>
      <c r="H19" s="242"/>
      <c r="I19" s="242" t="s">
        <v>1</v>
      </c>
      <c r="J19" s="242"/>
      <c r="K19" s="249"/>
      <c r="L19" s="249">
        <f>F18</f>
        <v>66</v>
      </c>
      <c r="M19" s="250"/>
      <c r="N19" s="251"/>
      <c r="O19" s="253"/>
      <c r="P19" s="253"/>
      <c r="Q19" s="244"/>
      <c r="R19" s="244"/>
    </row>
    <row r="20" spans="1:18" s="79" customFormat="1" ht="29.45" customHeight="1" x14ac:dyDescent="0.2">
      <c r="A20" s="247" t="s">
        <v>559</v>
      </c>
      <c r="B20" s="247"/>
      <c r="C20" s="248" t="s">
        <v>290</v>
      </c>
      <c r="D20" s="248"/>
      <c r="E20" s="251" t="s">
        <v>258</v>
      </c>
      <c r="F20" s="96">
        <v>60</v>
      </c>
      <c r="G20" s="242" t="s">
        <v>266</v>
      </c>
      <c r="H20" s="242"/>
      <c r="I20" s="242" t="s">
        <v>49</v>
      </c>
      <c r="J20" s="242"/>
      <c r="K20" s="249" t="s">
        <v>458</v>
      </c>
      <c r="L20" s="249">
        <v>686</v>
      </c>
      <c r="M20" s="250"/>
      <c r="N20" s="251" t="s">
        <v>269</v>
      </c>
      <c r="O20" s="253" t="s">
        <v>394</v>
      </c>
      <c r="P20" s="253"/>
      <c r="Q20" s="243" t="s">
        <v>412</v>
      </c>
      <c r="R20" s="244"/>
    </row>
    <row r="21" spans="1:18" s="79" customFormat="1" ht="27" customHeight="1" x14ac:dyDescent="0.2">
      <c r="A21" s="247"/>
      <c r="B21" s="247"/>
      <c r="C21" s="248" t="s">
        <v>340</v>
      </c>
      <c r="D21" s="248"/>
      <c r="E21" s="251"/>
      <c r="F21" s="78" t="s">
        <v>255</v>
      </c>
      <c r="G21" s="242" t="s">
        <v>260</v>
      </c>
      <c r="H21" s="242"/>
      <c r="I21" s="242" t="s">
        <v>1</v>
      </c>
      <c r="J21" s="242"/>
      <c r="K21" s="249"/>
      <c r="L21" s="249">
        <f>F20</f>
        <v>60</v>
      </c>
      <c r="M21" s="250"/>
      <c r="N21" s="251"/>
      <c r="O21" s="253"/>
      <c r="P21" s="253"/>
      <c r="Q21" s="244"/>
      <c r="R21" s="244"/>
    </row>
    <row r="22" spans="1:18" s="79" customFormat="1" ht="29.45" customHeight="1" x14ac:dyDescent="0.2">
      <c r="A22" s="247" t="s">
        <v>560</v>
      </c>
      <c r="B22" s="247"/>
      <c r="C22" s="248" t="s">
        <v>290</v>
      </c>
      <c r="D22" s="248"/>
      <c r="E22" s="251" t="s">
        <v>258</v>
      </c>
      <c r="F22" s="96">
        <v>60</v>
      </c>
      <c r="G22" s="242" t="s">
        <v>266</v>
      </c>
      <c r="H22" s="242"/>
      <c r="I22" s="242" t="s">
        <v>49</v>
      </c>
      <c r="J22" s="242"/>
      <c r="K22" s="249" t="s">
        <v>458</v>
      </c>
      <c r="L22" s="249">
        <v>686</v>
      </c>
      <c r="M22" s="250"/>
      <c r="N22" s="251" t="s">
        <v>269</v>
      </c>
      <c r="O22" s="253" t="s">
        <v>394</v>
      </c>
      <c r="P22" s="253"/>
      <c r="Q22" s="243" t="s">
        <v>413</v>
      </c>
      <c r="R22" s="244"/>
    </row>
    <row r="23" spans="1:18" s="79" customFormat="1" ht="27" customHeight="1" x14ac:dyDescent="0.2">
      <c r="A23" s="247"/>
      <c r="B23" s="247"/>
      <c r="C23" s="248" t="s">
        <v>341</v>
      </c>
      <c r="D23" s="248"/>
      <c r="E23" s="251"/>
      <c r="F23" s="78" t="s">
        <v>255</v>
      </c>
      <c r="G23" s="242" t="s">
        <v>260</v>
      </c>
      <c r="H23" s="242"/>
      <c r="I23" s="242" t="s">
        <v>1</v>
      </c>
      <c r="J23" s="242"/>
      <c r="K23" s="249"/>
      <c r="L23" s="249">
        <f>F22</f>
        <v>60</v>
      </c>
      <c r="M23" s="250"/>
      <c r="N23" s="251"/>
      <c r="O23" s="253"/>
      <c r="P23" s="253"/>
      <c r="Q23" s="244"/>
      <c r="R23" s="244"/>
    </row>
    <row r="24" spans="1:18" s="79" customFormat="1" ht="29.45" customHeight="1" x14ac:dyDescent="0.2">
      <c r="A24" s="247" t="s">
        <v>561</v>
      </c>
      <c r="B24" s="247"/>
      <c r="C24" s="248" t="s">
        <v>290</v>
      </c>
      <c r="D24" s="248"/>
      <c r="E24" s="251" t="s">
        <v>258</v>
      </c>
      <c r="F24" s="96">
        <v>58</v>
      </c>
      <c r="G24" s="242" t="s">
        <v>266</v>
      </c>
      <c r="H24" s="242"/>
      <c r="I24" s="242" t="s">
        <v>49</v>
      </c>
      <c r="J24" s="242"/>
      <c r="K24" s="249" t="s">
        <v>458</v>
      </c>
      <c r="L24" s="249">
        <v>686</v>
      </c>
      <c r="M24" s="250"/>
      <c r="N24" s="251" t="s">
        <v>269</v>
      </c>
      <c r="O24" s="253" t="s">
        <v>394</v>
      </c>
      <c r="P24" s="253"/>
      <c r="Q24" s="243" t="s">
        <v>414</v>
      </c>
      <c r="R24" s="244"/>
    </row>
    <row r="25" spans="1:18" s="79" customFormat="1" ht="27" customHeight="1" x14ac:dyDescent="0.2">
      <c r="A25" s="247"/>
      <c r="B25" s="247"/>
      <c r="C25" s="248" t="s">
        <v>342</v>
      </c>
      <c r="D25" s="248"/>
      <c r="E25" s="251"/>
      <c r="F25" s="78" t="s">
        <v>255</v>
      </c>
      <c r="G25" s="242" t="s">
        <v>260</v>
      </c>
      <c r="H25" s="242"/>
      <c r="I25" s="242" t="s">
        <v>1</v>
      </c>
      <c r="J25" s="242"/>
      <c r="K25" s="249"/>
      <c r="L25" s="249">
        <f>F24</f>
        <v>58</v>
      </c>
      <c r="M25" s="250"/>
      <c r="N25" s="251"/>
      <c r="O25" s="253"/>
      <c r="P25" s="253"/>
      <c r="Q25" s="244"/>
      <c r="R25" s="244"/>
    </row>
    <row r="26" spans="1:18" s="79" customFormat="1" ht="29.45" customHeight="1" x14ac:dyDescent="0.2">
      <c r="A26" s="247" t="s">
        <v>562</v>
      </c>
      <c r="B26" s="247"/>
      <c r="C26" s="248" t="s">
        <v>290</v>
      </c>
      <c r="D26" s="248"/>
      <c r="E26" s="251" t="s">
        <v>258</v>
      </c>
      <c r="F26" s="96">
        <v>58</v>
      </c>
      <c r="G26" s="242" t="s">
        <v>266</v>
      </c>
      <c r="H26" s="242"/>
      <c r="I26" s="242" t="s">
        <v>49</v>
      </c>
      <c r="J26" s="242"/>
      <c r="K26" s="249" t="s">
        <v>458</v>
      </c>
      <c r="L26" s="249">
        <v>686</v>
      </c>
      <c r="M26" s="250"/>
      <c r="N26" s="251" t="s">
        <v>269</v>
      </c>
      <c r="O26" s="253" t="s">
        <v>394</v>
      </c>
      <c r="P26" s="253"/>
      <c r="Q26" s="243" t="s">
        <v>415</v>
      </c>
      <c r="R26" s="244"/>
    </row>
    <row r="27" spans="1:18" s="79" customFormat="1" ht="27" customHeight="1" x14ac:dyDescent="0.2">
      <c r="A27" s="247"/>
      <c r="B27" s="247"/>
      <c r="C27" s="248" t="s">
        <v>343</v>
      </c>
      <c r="D27" s="248"/>
      <c r="E27" s="251"/>
      <c r="F27" s="78" t="s">
        <v>255</v>
      </c>
      <c r="G27" s="242" t="s">
        <v>260</v>
      </c>
      <c r="H27" s="242"/>
      <c r="I27" s="242" t="s">
        <v>1</v>
      </c>
      <c r="J27" s="242"/>
      <c r="K27" s="249"/>
      <c r="L27" s="249">
        <f>F26</f>
        <v>58</v>
      </c>
      <c r="M27" s="250"/>
      <c r="N27" s="251"/>
      <c r="O27" s="253"/>
      <c r="P27" s="253"/>
      <c r="Q27" s="244"/>
      <c r="R27" s="244"/>
    </row>
    <row r="28" spans="1:18" s="79" customFormat="1" ht="29.45" customHeight="1" x14ac:dyDescent="0.2">
      <c r="A28" s="247" t="s">
        <v>563</v>
      </c>
      <c r="B28" s="247"/>
      <c r="C28" s="248" t="s">
        <v>290</v>
      </c>
      <c r="D28" s="248"/>
      <c r="E28" s="251" t="s">
        <v>258</v>
      </c>
      <c r="F28" s="96">
        <v>58</v>
      </c>
      <c r="G28" s="242" t="s">
        <v>266</v>
      </c>
      <c r="H28" s="242"/>
      <c r="I28" s="242" t="s">
        <v>49</v>
      </c>
      <c r="J28" s="242"/>
      <c r="K28" s="249" t="s">
        <v>458</v>
      </c>
      <c r="L28" s="249">
        <v>686</v>
      </c>
      <c r="M28" s="250"/>
      <c r="N28" s="251" t="s">
        <v>269</v>
      </c>
      <c r="O28" s="253" t="s">
        <v>394</v>
      </c>
      <c r="P28" s="253"/>
      <c r="Q28" s="243" t="s">
        <v>416</v>
      </c>
      <c r="R28" s="244"/>
    </row>
    <row r="29" spans="1:18" s="79" customFormat="1" ht="27" customHeight="1" x14ac:dyDescent="0.2">
      <c r="A29" s="247"/>
      <c r="B29" s="247"/>
      <c r="C29" s="248" t="s">
        <v>344</v>
      </c>
      <c r="D29" s="248"/>
      <c r="E29" s="251"/>
      <c r="F29" s="78" t="s">
        <v>255</v>
      </c>
      <c r="G29" s="242" t="s">
        <v>260</v>
      </c>
      <c r="H29" s="242"/>
      <c r="I29" s="242" t="s">
        <v>1</v>
      </c>
      <c r="J29" s="242"/>
      <c r="K29" s="249"/>
      <c r="L29" s="249">
        <f>F28</f>
        <v>58</v>
      </c>
      <c r="M29" s="250"/>
      <c r="N29" s="251"/>
      <c r="O29" s="253"/>
      <c r="P29" s="253"/>
      <c r="Q29" s="244"/>
      <c r="R29" s="244"/>
    </row>
    <row r="30" spans="1:18" s="79" customFormat="1" ht="29.45" customHeight="1" x14ac:dyDescent="0.2">
      <c r="A30" s="247" t="s">
        <v>564</v>
      </c>
      <c r="B30" s="247"/>
      <c r="C30" s="248" t="s">
        <v>290</v>
      </c>
      <c r="D30" s="248"/>
      <c r="E30" s="251" t="s">
        <v>258</v>
      </c>
      <c r="F30" s="96">
        <v>58</v>
      </c>
      <c r="G30" s="242" t="s">
        <v>266</v>
      </c>
      <c r="H30" s="242"/>
      <c r="I30" s="242" t="s">
        <v>49</v>
      </c>
      <c r="J30" s="242"/>
      <c r="K30" s="249" t="s">
        <v>458</v>
      </c>
      <c r="L30" s="249">
        <v>686</v>
      </c>
      <c r="M30" s="250"/>
      <c r="N30" s="251" t="s">
        <v>269</v>
      </c>
      <c r="O30" s="253" t="s">
        <v>394</v>
      </c>
      <c r="P30" s="253"/>
      <c r="Q30" s="243" t="s">
        <v>417</v>
      </c>
      <c r="R30" s="244"/>
    </row>
    <row r="31" spans="1:18" s="79" customFormat="1" ht="27" customHeight="1" x14ac:dyDescent="0.2">
      <c r="A31" s="247"/>
      <c r="B31" s="247"/>
      <c r="C31" s="248" t="s">
        <v>345</v>
      </c>
      <c r="D31" s="248"/>
      <c r="E31" s="251"/>
      <c r="F31" s="78" t="s">
        <v>255</v>
      </c>
      <c r="G31" s="242" t="s">
        <v>260</v>
      </c>
      <c r="H31" s="242"/>
      <c r="I31" s="242" t="s">
        <v>1</v>
      </c>
      <c r="J31" s="242"/>
      <c r="K31" s="249"/>
      <c r="L31" s="249">
        <f>F30</f>
        <v>58</v>
      </c>
      <c r="M31" s="250"/>
      <c r="N31" s="251"/>
      <c r="O31" s="253"/>
      <c r="P31" s="253"/>
      <c r="Q31" s="244"/>
      <c r="R31" s="244"/>
    </row>
    <row r="32" spans="1:18" s="79" customFormat="1" ht="29.45" customHeight="1" x14ac:dyDescent="0.2">
      <c r="A32" s="247" t="s">
        <v>565</v>
      </c>
      <c r="B32" s="247"/>
      <c r="C32" s="248" t="s">
        <v>290</v>
      </c>
      <c r="D32" s="248"/>
      <c r="E32" s="253" t="s">
        <v>258</v>
      </c>
      <c r="F32" s="96">
        <v>95</v>
      </c>
      <c r="G32" s="242" t="s">
        <v>266</v>
      </c>
      <c r="H32" s="242"/>
      <c r="I32" s="242" t="s">
        <v>49</v>
      </c>
      <c r="J32" s="242"/>
      <c r="K32" s="249" t="s">
        <v>459</v>
      </c>
      <c r="L32" s="249">
        <v>707</v>
      </c>
      <c r="M32" s="250"/>
      <c r="N32" s="251" t="s">
        <v>396</v>
      </c>
      <c r="O32" s="253" t="s">
        <v>395</v>
      </c>
      <c r="P32" s="253"/>
      <c r="Q32" s="243" t="s">
        <v>418</v>
      </c>
      <c r="R32" s="244"/>
    </row>
    <row r="33" spans="1:18" s="79" customFormat="1" ht="27" customHeight="1" x14ac:dyDescent="0.2">
      <c r="A33" s="247"/>
      <c r="B33" s="247"/>
      <c r="C33" s="248" t="s">
        <v>347</v>
      </c>
      <c r="D33" s="248"/>
      <c r="E33" s="253"/>
      <c r="F33" s="78" t="s">
        <v>255</v>
      </c>
      <c r="G33" s="242" t="s">
        <v>260</v>
      </c>
      <c r="H33" s="242"/>
      <c r="I33" s="242" t="s">
        <v>1</v>
      </c>
      <c r="J33" s="242"/>
      <c r="K33" s="249"/>
      <c r="L33" s="249">
        <f>F32</f>
        <v>95</v>
      </c>
      <c r="M33" s="250"/>
      <c r="N33" s="251"/>
      <c r="O33" s="253"/>
      <c r="P33" s="253"/>
      <c r="Q33" s="244"/>
      <c r="R33" s="244"/>
    </row>
    <row r="34" spans="1:18" s="79" customFormat="1" ht="29.45" customHeight="1" x14ac:dyDescent="0.2">
      <c r="A34" s="247" t="s">
        <v>566</v>
      </c>
      <c r="B34" s="247"/>
      <c r="C34" s="248" t="s">
        <v>290</v>
      </c>
      <c r="D34" s="248"/>
      <c r="E34" s="253" t="s">
        <v>258</v>
      </c>
      <c r="F34" s="96">
        <v>95</v>
      </c>
      <c r="G34" s="242" t="s">
        <v>266</v>
      </c>
      <c r="H34" s="242"/>
      <c r="I34" s="242" t="s">
        <v>49</v>
      </c>
      <c r="J34" s="242"/>
      <c r="K34" s="249" t="s">
        <v>459</v>
      </c>
      <c r="L34" s="249">
        <v>707</v>
      </c>
      <c r="M34" s="250"/>
      <c r="N34" s="251" t="s">
        <v>397</v>
      </c>
      <c r="O34" s="253" t="s">
        <v>395</v>
      </c>
      <c r="P34" s="253"/>
      <c r="Q34" s="243" t="s">
        <v>419</v>
      </c>
      <c r="R34" s="244"/>
    </row>
    <row r="35" spans="1:18" s="79" customFormat="1" ht="27" customHeight="1" x14ac:dyDescent="0.2">
      <c r="A35" s="247"/>
      <c r="B35" s="247"/>
      <c r="C35" s="248" t="s">
        <v>346</v>
      </c>
      <c r="D35" s="248"/>
      <c r="E35" s="253"/>
      <c r="F35" s="78" t="s">
        <v>255</v>
      </c>
      <c r="G35" s="242" t="s">
        <v>260</v>
      </c>
      <c r="H35" s="242"/>
      <c r="I35" s="242" t="s">
        <v>1</v>
      </c>
      <c r="J35" s="242"/>
      <c r="K35" s="249"/>
      <c r="L35" s="249">
        <f>F34</f>
        <v>95</v>
      </c>
      <c r="M35" s="250"/>
      <c r="N35" s="251"/>
      <c r="O35" s="253"/>
      <c r="P35" s="253"/>
      <c r="Q35" s="244"/>
      <c r="R35" s="244"/>
    </row>
    <row r="36" spans="1:18" s="79" customFormat="1" ht="29.45" customHeight="1" x14ac:dyDescent="0.2">
      <c r="A36" s="247" t="s">
        <v>567</v>
      </c>
      <c r="B36" s="247"/>
      <c r="C36" s="248" t="s">
        <v>290</v>
      </c>
      <c r="D36" s="248"/>
      <c r="E36" s="253" t="s">
        <v>258</v>
      </c>
      <c r="F36" s="96">
        <v>84</v>
      </c>
      <c r="G36" s="242" t="s">
        <v>266</v>
      </c>
      <c r="H36" s="242"/>
      <c r="I36" s="242" t="s">
        <v>49</v>
      </c>
      <c r="J36" s="242"/>
      <c r="K36" s="249" t="s">
        <v>459</v>
      </c>
      <c r="L36" s="249">
        <v>707</v>
      </c>
      <c r="M36" s="250"/>
      <c r="N36" s="251" t="s">
        <v>273</v>
      </c>
      <c r="O36" s="253" t="s">
        <v>395</v>
      </c>
      <c r="P36" s="253"/>
      <c r="Q36" s="243" t="s">
        <v>420</v>
      </c>
      <c r="R36" s="244"/>
    </row>
    <row r="37" spans="1:18" s="79" customFormat="1" ht="27" customHeight="1" x14ac:dyDescent="0.2">
      <c r="A37" s="247"/>
      <c r="B37" s="247"/>
      <c r="C37" s="248" t="s">
        <v>348</v>
      </c>
      <c r="D37" s="248"/>
      <c r="E37" s="253"/>
      <c r="F37" s="78" t="s">
        <v>255</v>
      </c>
      <c r="G37" s="242" t="s">
        <v>260</v>
      </c>
      <c r="H37" s="242"/>
      <c r="I37" s="242" t="s">
        <v>1</v>
      </c>
      <c r="J37" s="242"/>
      <c r="K37" s="249"/>
      <c r="L37" s="249">
        <f>F36</f>
        <v>84</v>
      </c>
      <c r="M37" s="250"/>
      <c r="N37" s="251"/>
      <c r="O37" s="253"/>
      <c r="P37" s="253"/>
      <c r="Q37" s="244"/>
      <c r="R37" s="244"/>
    </row>
    <row r="38" spans="1:18" s="79" customFormat="1" ht="29.45" customHeight="1" x14ac:dyDescent="0.2">
      <c r="A38" s="247" t="s">
        <v>568</v>
      </c>
      <c r="B38" s="247"/>
      <c r="C38" s="248" t="s">
        <v>290</v>
      </c>
      <c r="D38" s="248"/>
      <c r="E38" s="253" t="s">
        <v>258</v>
      </c>
      <c r="F38" s="96">
        <v>109</v>
      </c>
      <c r="G38" s="242" t="s">
        <v>266</v>
      </c>
      <c r="H38" s="242"/>
      <c r="I38" s="242" t="s">
        <v>49</v>
      </c>
      <c r="J38" s="242"/>
      <c r="K38" s="249" t="s">
        <v>459</v>
      </c>
      <c r="L38" s="249">
        <v>707</v>
      </c>
      <c r="M38" s="250"/>
      <c r="N38" s="251" t="s">
        <v>269</v>
      </c>
      <c r="O38" s="253" t="s">
        <v>395</v>
      </c>
      <c r="P38" s="253"/>
      <c r="Q38" s="243" t="s">
        <v>421</v>
      </c>
      <c r="R38" s="244"/>
    </row>
    <row r="39" spans="1:18" s="79" customFormat="1" ht="27" customHeight="1" x14ac:dyDescent="0.2">
      <c r="A39" s="247"/>
      <c r="B39" s="247"/>
      <c r="C39" s="248" t="s">
        <v>349</v>
      </c>
      <c r="D39" s="248"/>
      <c r="E39" s="253"/>
      <c r="F39" s="78" t="s">
        <v>255</v>
      </c>
      <c r="G39" s="242" t="s">
        <v>260</v>
      </c>
      <c r="H39" s="242"/>
      <c r="I39" s="242" t="s">
        <v>1</v>
      </c>
      <c r="J39" s="242"/>
      <c r="K39" s="249"/>
      <c r="L39" s="249">
        <f>F38</f>
        <v>109</v>
      </c>
      <c r="M39" s="250"/>
      <c r="N39" s="251"/>
      <c r="O39" s="253"/>
      <c r="P39" s="253"/>
      <c r="Q39" s="244"/>
      <c r="R39" s="244"/>
    </row>
    <row r="40" spans="1:18" s="79" customFormat="1" ht="29.45" customHeight="1" x14ac:dyDescent="0.2">
      <c r="A40" s="247" t="s">
        <v>569</v>
      </c>
      <c r="B40" s="247"/>
      <c r="C40" s="248" t="s">
        <v>290</v>
      </c>
      <c r="D40" s="248"/>
      <c r="E40" s="253" t="s">
        <v>258</v>
      </c>
      <c r="F40" s="96">
        <v>74</v>
      </c>
      <c r="G40" s="242" t="s">
        <v>266</v>
      </c>
      <c r="H40" s="242"/>
      <c r="I40" s="242" t="s">
        <v>49</v>
      </c>
      <c r="J40" s="242"/>
      <c r="K40" s="249" t="s">
        <v>459</v>
      </c>
      <c r="L40" s="249">
        <v>707</v>
      </c>
      <c r="M40" s="250"/>
      <c r="N40" s="251" t="s">
        <v>274</v>
      </c>
      <c r="O40" s="253" t="s">
        <v>395</v>
      </c>
      <c r="P40" s="253"/>
      <c r="Q40" s="243" t="s">
        <v>422</v>
      </c>
      <c r="R40" s="244"/>
    </row>
    <row r="41" spans="1:18" s="79" customFormat="1" ht="27" customHeight="1" x14ac:dyDescent="0.2">
      <c r="A41" s="247"/>
      <c r="B41" s="247"/>
      <c r="C41" s="248" t="s">
        <v>350</v>
      </c>
      <c r="D41" s="248"/>
      <c r="E41" s="253"/>
      <c r="F41" s="78" t="s">
        <v>255</v>
      </c>
      <c r="G41" s="242" t="s">
        <v>260</v>
      </c>
      <c r="H41" s="242"/>
      <c r="I41" s="242" t="s">
        <v>1</v>
      </c>
      <c r="J41" s="242"/>
      <c r="K41" s="249"/>
      <c r="L41" s="249">
        <f>F40</f>
        <v>74</v>
      </c>
      <c r="M41" s="250"/>
      <c r="N41" s="251"/>
      <c r="O41" s="253"/>
      <c r="P41" s="253"/>
      <c r="Q41" s="244"/>
      <c r="R41" s="244"/>
    </row>
    <row r="42" spans="1:18" s="79" customFormat="1" ht="29.45" customHeight="1" x14ac:dyDescent="0.2">
      <c r="A42" s="247" t="s">
        <v>570</v>
      </c>
      <c r="B42" s="247"/>
      <c r="C42" s="248" t="s">
        <v>290</v>
      </c>
      <c r="D42" s="248"/>
      <c r="E42" s="253" t="s">
        <v>258</v>
      </c>
      <c r="F42" s="96">
        <v>87</v>
      </c>
      <c r="G42" s="254" t="s">
        <v>266</v>
      </c>
      <c r="H42" s="254"/>
      <c r="I42" s="254" t="s">
        <v>49</v>
      </c>
      <c r="J42" s="254"/>
      <c r="K42" s="249" t="s">
        <v>459</v>
      </c>
      <c r="L42" s="249">
        <v>707</v>
      </c>
      <c r="M42" s="250"/>
      <c r="N42" s="253" t="s">
        <v>273</v>
      </c>
      <c r="O42" s="253" t="s">
        <v>395</v>
      </c>
      <c r="P42" s="253"/>
      <c r="Q42" s="243" t="s">
        <v>423</v>
      </c>
      <c r="R42" s="244"/>
    </row>
    <row r="43" spans="1:18" s="79" customFormat="1" ht="27" customHeight="1" x14ac:dyDescent="0.2">
      <c r="A43" s="247"/>
      <c r="B43" s="247"/>
      <c r="C43" s="248" t="s">
        <v>381</v>
      </c>
      <c r="D43" s="248"/>
      <c r="E43" s="253"/>
      <c r="F43" s="96" t="s">
        <v>255</v>
      </c>
      <c r="G43" s="254" t="s">
        <v>260</v>
      </c>
      <c r="H43" s="254"/>
      <c r="I43" s="254" t="s">
        <v>1</v>
      </c>
      <c r="J43" s="254"/>
      <c r="K43" s="249"/>
      <c r="L43" s="249">
        <f>F42</f>
        <v>87</v>
      </c>
      <c r="M43" s="250"/>
      <c r="N43" s="253"/>
      <c r="O43" s="253"/>
      <c r="P43" s="253"/>
      <c r="Q43" s="244"/>
      <c r="R43" s="244"/>
    </row>
    <row r="44" spans="1:18" s="3" customFormat="1" ht="15" customHeight="1" x14ac:dyDescent="0.2">
      <c r="A44" s="43"/>
      <c r="B44" s="44"/>
      <c r="C44" s="4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</row>
    <row r="45" spans="1:18" s="3" customFormat="1" ht="15" customHeight="1" x14ac:dyDescent="0.2">
      <c r="A45" s="46"/>
      <c r="B45" s="40"/>
      <c r="C45" s="41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</row>
    <row r="46" spans="1:18" ht="15" customHeight="1" x14ac:dyDescent="0.2">
      <c r="A46" s="42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39"/>
      <c r="O46" s="39"/>
      <c r="P46" s="39"/>
      <c r="Q46" s="39"/>
      <c r="R46" s="39"/>
    </row>
    <row r="47" spans="1:18" ht="15" customHeight="1" x14ac:dyDescent="0.2">
      <c r="A47" s="42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8" ht="15" customHeight="1" x14ac:dyDescent="0.2">
      <c r="A48" s="42"/>
      <c r="B48" s="44"/>
    </row>
    <row r="49" spans="1:2" ht="15" customHeight="1" x14ac:dyDescent="0.2">
      <c r="A49"/>
      <c r="B49"/>
    </row>
    <row r="50" spans="1:2" ht="15" customHeight="1" x14ac:dyDescent="0.2">
      <c r="A50"/>
      <c r="B50"/>
    </row>
    <row r="51" spans="1:2" ht="15" customHeight="1" x14ac:dyDescent="0.2">
      <c r="A51"/>
      <c r="B51"/>
    </row>
    <row r="52" spans="1:2" ht="15" customHeight="1" x14ac:dyDescent="0.2">
      <c r="A52"/>
      <c r="B52"/>
    </row>
    <row r="53" spans="1:2" ht="15" customHeight="1" x14ac:dyDescent="0.2">
      <c r="A53"/>
      <c r="B53"/>
    </row>
    <row r="54" spans="1:2" ht="15" customHeight="1" x14ac:dyDescent="0.2">
      <c r="A54"/>
      <c r="B54"/>
    </row>
    <row r="55" spans="1:2" ht="15" customHeight="1" x14ac:dyDescent="0.2">
      <c r="A55"/>
      <c r="B55"/>
    </row>
    <row r="56" spans="1:2" ht="15" customHeight="1" x14ac:dyDescent="0.2">
      <c r="A56"/>
      <c r="B56"/>
    </row>
    <row r="57" spans="1:2" ht="14.1" customHeight="1" x14ac:dyDescent="0.2">
      <c r="A57"/>
      <c r="B57"/>
    </row>
    <row r="58" spans="1:2" ht="14.1" customHeight="1" x14ac:dyDescent="0.2">
      <c r="A58"/>
      <c r="B58"/>
    </row>
    <row r="59" spans="1:2" ht="14.1" customHeight="1" x14ac:dyDescent="0.2">
      <c r="A59"/>
      <c r="B59"/>
    </row>
    <row r="60" spans="1:2" ht="14.1" customHeight="1" x14ac:dyDescent="0.2">
      <c r="A60"/>
      <c r="B60"/>
    </row>
    <row r="61" spans="1:2" ht="14.1" customHeight="1" x14ac:dyDescent="0.2">
      <c r="A61" s="4"/>
      <c r="B61" s="4"/>
    </row>
    <row r="62" spans="1:2" ht="14.1" customHeight="1" x14ac:dyDescent="0.2">
      <c r="A62" s="4"/>
      <c r="B62" s="4"/>
    </row>
    <row r="63" spans="1:2" ht="14.1" customHeight="1" x14ac:dyDescent="0.2">
      <c r="A63" s="4"/>
      <c r="B63" s="4"/>
    </row>
    <row r="64" spans="1:2" ht="14.1" customHeight="1" x14ac:dyDescent="0.2">
      <c r="A64" s="4"/>
      <c r="B64" s="4"/>
    </row>
    <row r="65" spans="1:2" ht="14.1" customHeight="1" x14ac:dyDescent="0.2">
      <c r="A65" s="4"/>
      <c r="B65" s="4"/>
    </row>
    <row r="66" spans="1:2" ht="14.1" customHeight="1" x14ac:dyDescent="0.2">
      <c r="A66" s="4"/>
      <c r="B66" s="4"/>
    </row>
    <row r="67" spans="1:2" ht="14.1" customHeight="1" x14ac:dyDescent="0.2">
      <c r="A67" s="4"/>
      <c r="B67" s="4"/>
    </row>
    <row r="68" spans="1:2" ht="14.1" customHeight="1" x14ac:dyDescent="0.2">
      <c r="A68" s="4"/>
      <c r="B68" s="4"/>
    </row>
    <row r="69" spans="1:2" ht="14.1" customHeight="1" x14ac:dyDescent="0.2">
      <c r="A69" s="4"/>
      <c r="B69" s="4"/>
    </row>
    <row r="70" spans="1:2" ht="14.1" customHeight="1" x14ac:dyDescent="0.2">
      <c r="A70" s="4"/>
      <c r="B70" s="4"/>
    </row>
    <row r="71" spans="1:2" ht="14.1" customHeight="1" x14ac:dyDescent="0.2">
      <c r="A71" s="4"/>
      <c r="B71" s="4"/>
    </row>
    <row r="72" spans="1:2" ht="14.1" customHeight="1" x14ac:dyDescent="0.2">
      <c r="A72" s="4"/>
      <c r="B72" s="4"/>
    </row>
    <row r="73" spans="1:2" ht="14.1" customHeight="1" x14ac:dyDescent="0.2">
      <c r="A73" s="4"/>
      <c r="B73" s="4"/>
    </row>
    <row r="74" spans="1:2" ht="14.1" customHeight="1" x14ac:dyDescent="0.2">
      <c r="A74" s="4"/>
      <c r="B74" s="4"/>
    </row>
    <row r="75" spans="1:2" ht="14.1" customHeight="1" x14ac:dyDescent="0.2">
      <c r="A75" s="4"/>
      <c r="B75" s="4"/>
    </row>
    <row r="76" spans="1:2" ht="14.1" customHeight="1" x14ac:dyDescent="0.2">
      <c r="A76" s="4"/>
      <c r="B76" s="4"/>
    </row>
    <row r="77" spans="1:2" ht="14.1" customHeight="1" x14ac:dyDescent="0.2">
      <c r="A77" s="4"/>
      <c r="B77" s="4"/>
    </row>
    <row r="78" spans="1:2" ht="14.1" customHeight="1" x14ac:dyDescent="0.2">
      <c r="A78" s="4"/>
      <c r="B78" s="4"/>
    </row>
    <row r="79" spans="1:2" ht="14.1" customHeight="1" x14ac:dyDescent="0.2">
      <c r="A79" s="4"/>
      <c r="B79" s="4"/>
    </row>
    <row r="80" spans="1:2" ht="14.1" customHeight="1" x14ac:dyDescent="0.2">
      <c r="A80" s="4"/>
      <c r="B80" s="4"/>
    </row>
    <row r="81" spans="1:2" ht="14.1" customHeight="1" x14ac:dyDescent="0.2">
      <c r="A81" s="4"/>
      <c r="B81" s="4"/>
    </row>
    <row r="82" spans="1:2" ht="14.1" customHeight="1" x14ac:dyDescent="0.2">
      <c r="A82" s="4"/>
      <c r="B82" s="4"/>
    </row>
    <row r="83" spans="1:2" ht="14.1" customHeight="1" x14ac:dyDescent="0.2">
      <c r="A83" s="4"/>
      <c r="B83" s="4"/>
    </row>
    <row r="84" spans="1:2" ht="14.1" customHeight="1" x14ac:dyDescent="0.2">
      <c r="A84" s="4"/>
      <c r="B84" s="4"/>
    </row>
    <row r="85" spans="1:2" ht="14.1" customHeight="1" x14ac:dyDescent="0.2">
      <c r="A85" s="4"/>
      <c r="B85" s="4"/>
    </row>
    <row r="86" spans="1:2" ht="14.1" customHeight="1" x14ac:dyDescent="0.2">
      <c r="A86" s="4"/>
      <c r="B86" s="4"/>
    </row>
    <row r="87" spans="1:2" ht="14.1" customHeight="1" x14ac:dyDescent="0.2">
      <c r="A87" s="4"/>
      <c r="B87" s="4"/>
    </row>
    <row r="88" spans="1:2" ht="14.1" customHeight="1" x14ac:dyDescent="0.2">
      <c r="A88" s="4"/>
      <c r="B88" s="4"/>
    </row>
    <row r="89" spans="1:2" ht="14.1" customHeight="1" x14ac:dyDescent="0.2">
      <c r="A89" s="4"/>
      <c r="B89" s="4"/>
    </row>
    <row r="90" spans="1:2" ht="14.1" customHeight="1" x14ac:dyDescent="0.2">
      <c r="A90" s="4"/>
      <c r="B90" s="4"/>
    </row>
    <row r="91" spans="1:2" ht="14.1" customHeight="1" x14ac:dyDescent="0.2">
      <c r="A91" s="4"/>
      <c r="B91" s="4"/>
    </row>
    <row r="92" spans="1:2" ht="14.1" customHeight="1" x14ac:dyDescent="0.2">
      <c r="A92" s="4"/>
      <c r="B92" s="4"/>
    </row>
    <row r="93" spans="1:2" ht="14.1" customHeight="1" x14ac:dyDescent="0.2">
      <c r="A93" s="4"/>
      <c r="B93" s="4"/>
    </row>
    <row r="94" spans="1:2" ht="14.1" customHeight="1" x14ac:dyDescent="0.2">
      <c r="A94" s="4"/>
      <c r="B94" s="4"/>
    </row>
    <row r="95" spans="1:2" ht="14.1" customHeight="1" x14ac:dyDescent="0.2">
      <c r="A95" s="4"/>
      <c r="B95" s="4"/>
    </row>
    <row r="96" spans="1:2" ht="14.1" customHeight="1" x14ac:dyDescent="0.2">
      <c r="A96" s="4"/>
      <c r="B96" s="4"/>
    </row>
    <row r="97" spans="1:2" ht="14.1" customHeight="1" x14ac:dyDescent="0.2">
      <c r="A97" s="4"/>
      <c r="B97" s="4"/>
    </row>
    <row r="98" spans="1:2" ht="14.1" customHeight="1" x14ac:dyDescent="0.2">
      <c r="A98" s="4"/>
      <c r="B98" s="4"/>
    </row>
    <row r="99" spans="1:2" ht="13.5" customHeight="1" x14ac:dyDescent="0.2">
      <c r="A99" s="4"/>
      <c r="B99" s="4"/>
    </row>
    <row r="100" spans="1:2" ht="13.5" customHeight="1" x14ac:dyDescent="0.2">
      <c r="A100" s="4"/>
      <c r="B100" s="4"/>
    </row>
    <row r="101" spans="1:2" ht="13.5" customHeight="1" x14ac:dyDescent="0.2">
      <c r="A101" s="4"/>
      <c r="B101" s="4"/>
    </row>
    <row r="102" spans="1:2" ht="13.5" customHeight="1" x14ac:dyDescent="0.2">
      <c r="A102" s="4"/>
      <c r="B102" s="4"/>
    </row>
    <row r="103" spans="1:2" ht="13.5" customHeight="1" x14ac:dyDescent="0.2">
      <c r="A103" s="4"/>
      <c r="B103" s="4"/>
    </row>
    <row r="104" spans="1:2" ht="13.5" customHeight="1" x14ac:dyDescent="0.2">
      <c r="A104" s="4"/>
      <c r="B104" s="4"/>
    </row>
    <row r="105" spans="1:2" ht="13.5" customHeight="1" x14ac:dyDescent="0.2">
      <c r="A105" s="4"/>
      <c r="B105" s="4"/>
    </row>
    <row r="106" spans="1:2" ht="13.5" customHeight="1" x14ac:dyDescent="0.2">
      <c r="A106" s="4"/>
      <c r="B106" s="4"/>
    </row>
    <row r="107" spans="1:2" x14ac:dyDescent="0.2">
      <c r="A107" s="4"/>
      <c r="B107" s="4"/>
    </row>
    <row r="108" spans="1:2" x14ac:dyDescent="0.2">
      <c r="A108" s="4"/>
      <c r="B108" s="4"/>
    </row>
    <row r="109" spans="1:2" x14ac:dyDescent="0.2">
      <c r="A109" s="4"/>
      <c r="B109" s="4"/>
    </row>
    <row r="110" spans="1:2" x14ac:dyDescent="0.2">
      <c r="A110" s="4"/>
      <c r="B110" s="4"/>
    </row>
    <row r="111" spans="1:2" x14ac:dyDescent="0.2">
      <c r="A111" s="4"/>
      <c r="B111" s="4"/>
    </row>
    <row r="112" spans="1:2" x14ac:dyDescent="0.2">
      <c r="A112" s="4"/>
      <c r="B112" s="4"/>
    </row>
    <row r="113" spans="1:2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  <row r="119" spans="1:2" x14ac:dyDescent="0.2">
      <c r="A119" s="4"/>
      <c r="B119" s="4"/>
    </row>
    <row r="120" spans="1:2" x14ac:dyDescent="0.2">
      <c r="A120" s="4"/>
      <c r="B120" s="4"/>
    </row>
    <row r="121" spans="1:2" x14ac:dyDescent="0.2">
      <c r="A121" s="4"/>
      <c r="B121" s="4"/>
    </row>
    <row r="122" spans="1:2" x14ac:dyDescent="0.2">
      <c r="A122" s="4"/>
      <c r="B122" s="4"/>
    </row>
    <row r="123" spans="1:2" x14ac:dyDescent="0.2">
      <c r="B123" s="4"/>
    </row>
  </sheetData>
  <mergeCells count="239">
    <mergeCell ref="K42:K43"/>
    <mergeCell ref="L42:M42"/>
    <mergeCell ref="N42:N43"/>
    <mergeCell ref="O42:P43"/>
    <mergeCell ref="Q42:R43"/>
    <mergeCell ref="L43:M43"/>
    <mergeCell ref="A42:B43"/>
    <mergeCell ref="C42:D42"/>
    <mergeCell ref="E42:E43"/>
    <mergeCell ref="G42:H42"/>
    <mergeCell ref="I42:J42"/>
    <mergeCell ref="C43:D43"/>
    <mergeCell ref="G43:H43"/>
    <mergeCell ref="I43:J43"/>
    <mergeCell ref="K40:K41"/>
    <mergeCell ref="L40:M40"/>
    <mergeCell ref="N40:N41"/>
    <mergeCell ref="O40:P41"/>
    <mergeCell ref="Q40:R41"/>
    <mergeCell ref="L41:M41"/>
    <mergeCell ref="A40:B41"/>
    <mergeCell ref="C40:D40"/>
    <mergeCell ref="E40:E41"/>
    <mergeCell ref="G40:H40"/>
    <mergeCell ref="I40:J40"/>
    <mergeCell ref="C41:D41"/>
    <mergeCell ref="G41:H41"/>
    <mergeCell ref="I41:J41"/>
    <mergeCell ref="K38:K39"/>
    <mergeCell ref="L38:M38"/>
    <mergeCell ref="N38:N39"/>
    <mergeCell ref="O38:P39"/>
    <mergeCell ref="Q38:R39"/>
    <mergeCell ref="L39:M39"/>
    <mergeCell ref="A38:B39"/>
    <mergeCell ref="C38:D38"/>
    <mergeCell ref="E38:E39"/>
    <mergeCell ref="G38:H38"/>
    <mergeCell ref="I38:J38"/>
    <mergeCell ref="C39:D39"/>
    <mergeCell ref="G39:H39"/>
    <mergeCell ref="I39:J39"/>
    <mergeCell ref="K36:K37"/>
    <mergeCell ref="L36:M36"/>
    <mergeCell ref="N36:N37"/>
    <mergeCell ref="O36:P37"/>
    <mergeCell ref="Q36:R37"/>
    <mergeCell ref="L37:M37"/>
    <mergeCell ref="A36:B37"/>
    <mergeCell ref="C36:D36"/>
    <mergeCell ref="E36:E37"/>
    <mergeCell ref="G36:H36"/>
    <mergeCell ref="I36:J36"/>
    <mergeCell ref="C37:D37"/>
    <mergeCell ref="G37:H37"/>
    <mergeCell ref="I37:J37"/>
    <mergeCell ref="K34:K35"/>
    <mergeCell ref="L34:M34"/>
    <mergeCell ref="N34:N35"/>
    <mergeCell ref="O34:P35"/>
    <mergeCell ref="Q34:R35"/>
    <mergeCell ref="L35:M35"/>
    <mergeCell ref="A34:B35"/>
    <mergeCell ref="C34:D34"/>
    <mergeCell ref="E34:E35"/>
    <mergeCell ref="G34:H34"/>
    <mergeCell ref="I34:J34"/>
    <mergeCell ref="C35:D35"/>
    <mergeCell ref="G35:H35"/>
    <mergeCell ref="I35:J35"/>
    <mergeCell ref="K32:K33"/>
    <mergeCell ref="L32:M32"/>
    <mergeCell ref="N32:N33"/>
    <mergeCell ref="O32:P33"/>
    <mergeCell ref="Q32:R33"/>
    <mergeCell ref="L33:M33"/>
    <mergeCell ref="A32:B33"/>
    <mergeCell ref="C32:D32"/>
    <mergeCell ref="E32:E33"/>
    <mergeCell ref="G32:H32"/>
    <mergeCell ref="I32:J32"/>
    <mergeCell ref="C33:D33"/>
    <mergeCell ref="G33:H33"/>
    <mergeCell ref="I33:J33"/>
    <mergeCell ref="N16:N17"/>
    <mergeCell ref="O16:P17"/>
    <mergeCell ref="Q16:R17"/>
    <mergeCell ref="N18:N19"/>
    <mergeCell ref="O18:P19"/>
    <mergeCell ref="Q18:R19"/>
    <mergeCell ref="K16:K17"/>
    <mergeCell ref="K18:K19"/>
    <mergeCell ref="K20:K21"/>
    <mergeCell ref="L31:M31"/>
    <mergeCell ref="E30:E31"/>
    <mergeCell ref="K30:K31"/>
    <mergeCell ref="N30:N31"/>
    <mergeCell ref="O30:P31"/>
    <mergeCell ref="Q30:R31"/>
    <mergeCell ref="A30:B31"/>
    <mergeCell ref="C30:D30"/>
    <mergeCell ref="G30:H30"/>
    <mergeCell ref="I30:J30"/>
    <mergeCell ref="L30:M30"/>
    <mergeCell ref="C31:D31"/>
    <mergeCell ref="G31:H31"/>
    <mergeCell ref="I31:J31"/>
    <mergeCell ref="L29:M29"/>
    <mergeCell ref="E28:E29"/>
    <mergeCell ref="K28:K29"/>
    <mergeCell ref="N28:N29"/>
    <mergeCell ref="O28:P29"/>
    <mergeCell ref="Q28:R29"/>
    <mergeCell ref="A28:B29"/>
    <mergeCell ref="C28:D28"/>
    <mergeCell ref="G28:H28"/>
    <mergeCell ref="I28:J28"/>
    <mergeCell ref="L28:M28"/>
    <mergeCell ref="C29:D29"/>
    <mergeCell ref="G29:H29"/>
    <mergeCell ref="I29:J29"/>
    <mergeCell ref="L27:M27"/>
    <mergeCell ref="E26:E27"/>
    <mergeCell ref="K26:K27"/>
    <mergeCell ref="N26:N27"/>
    <mergeCell ref="O26:P27"/>
    <mergeCell ref="Q26:R27"/>
    <mergeCell ref="A26:B27"/>
    <mergeCell ref="C26:D26"/>
    <mergeCell ref="G26:H26"/>
    <mergeCell ref="I26:J26"/>
    <mergeCell ref="L26:M26"/>
    <mergeCell ref="C27:D27"/>
    <mergeCell ref="G27:H27"/>
    <mergeCell ref="I27:J27"/>
    <mergeCell ref="L25:M25"/>
    <mergeCell ref="N24:N25"/>
    <mergeCell ref="O24:P25"/>
    <mergeCell ref="Q24:R25"/>
    <mergeCell ref="A24:B25"/>
    <mergeCell ref="C24:D24"/>
    <mergeCell ref="G24:H24"/>
    <mergeCell ref="I24:J24"/>
    <mergeCell ref="L24:M24"/>
    <mergeCell ref="K24:K25"/>
    <mergeCell ref="E24:E25"/>
    <mergeCell ref="C25:D25"/>
    <mergeCell ref="G25:H25"/>
    <mergeCell ref="I25:J25"/>
    <mergeCell ref="L23:M23"/>
    <mergeCell ref="N22:N23"/>
    <mergeCell ref="O22:P23"/>
    <mergeCell ref="Q22:R23"/>
    <mergeCell ref="A22:B23"/>
    <mergeCell ref="C22:D22"/>
    <mergeCell ref="G22:H22"/>
    <mergeCell ref="I22:J22"/>
    <mergeCell ref="L22:M22"/>
    <mergeCell ref="K22:K23"/>
    <mergeCell ref="E22:E23"/>
    <mergeCell ref="C23:D23"/>
    <mergeCell ref="G23:H23"/>
    <mergeCell ref="I23:J23"/>
    <mergeCell ref="I21:J21"/>
    <mergeCell ref="L21:M21"/>
    <mergeCell ref="N20:N21"/>
    <mergeCell ref="O20:P21"/>
    <mergeCell ref="Q20:R21"/>
    <mergeCell ref="A20:B21"/>
    <mergeCell ref="C20:D20"/>
    <mergeCell ref="G20:H20"/>
    <mergeCell ref="I20:J20"/>
    <mergeCell ref="L20:M20"/>
    <mergeCell ref="E20:E21"/>
    <mergeCell ref="C21:D21"/>
    <mergeCell ref="G21:H21"/>
    <mergeCell ref="C19:D19"/>
    <mergeCell ref="G19:H19"/>
    <mergeCell ref="I19:J19"/>
    <mergeCell ref="L19:M19"/>
    <mergeCell ref="A18:B19"/>
    <mergeCell ref="C18:D18"/>
    <mergeCell ref="G18:H18"/>
    <mergeCell ref="I18:J18"/>
    <mergeCell ref="L18:M18"/>
    <mergeCell ref="E18:E19"/>
    <mergeCell ref="A11:B12"/>
    <mergeCell ref="C11:D11"/>
    <mergeCell ref="E11:E12"/>
    <mergeCell ref="G11:H11"/>
    <mergeCell ref="A16:B17"/>
    <mergeCell ref="C16:D16"/>
    <mergeCell ref="G16:H16"/>
    <mergeCell ref="I16:J16"/>
    <mergeCell ref="L16:M16"/>
    <mergeCell ref="C17:D17"/>
    <mergeCell ref="G17:H17"/>
    <mergeCell ref="I17:J17"/>
    <mergeCell ref="L17:M17"/>
    <mergeCell ref="E16:E17"/>
    <mergeCell ref="A13:R13"/>
    <mergeCell ref="K14:K15"/>
    <mergeCell ref="L14:M14"/>
    <mergeCell ref="L15:M15"/>
    <mergeCell ref="N14:N15"/>
    <mergeCell ref="O14:P15"/>
    <mergeCell ref="A14:B15"/>
    <mergeCell ref="C14:D14"/>
    <mergeCell ref="C15:D15"/>
    <mergeCell ref="E14:E15"/>
    <mergeCell ref="G14:H14"/>
    <mergeCell ref="G15:H15"/>
    <mergeCell ref="I14:J14"/>
    <mergeCell ref="I15:J15"/>
    <mergeCell ref="Q14:R15"/>
    <mergeCell ref="I11:J11"/>
    <mergeCell ref="L11:M11"/>
    <mergeCell ref="C12:D12"/>
    <mergeCell ref="G12:H12"/>
    <mergeCell ref="I12:J12"/>
    <mergeCell ref="L12:M12"/>
    <mergeCell ref="Q11:R12"/>
    <mergeCell ref="O11:P12"/>
    <mergeCell ref="K11:K12"/>
    <mergeCell ref="N11:N12"/>
    <mergeCell ref="O6:R6"/>
    <mergeCell ref="A1:F9"/>
    <mergeCell ref="G9:R9"/>
    <mergeCell ref="G8:R8"/>
    <mergeCell ref="O7:R7"/>
    <mergeCell ref="G7:K7"/>
    <mergeCell ref="L7:N7"/>
    <mergeCell ref="G4:N4"/>
    <mergeCell ref="O3:Q3"/>
    <mergeCell ref="O4:Q4"/>
    <mergeCell ref="G1:N2"/>
    <mergeCell ref="O1:Q1"/>
    <mergeCell ref="O2:Q2"/>
    <mergeCell ref="G3:N3"/>
  </mergeCells>
  <phoneticPr fontId="5" type="noConversion"/>
  <printOptions horizontalCentered="1"/>
  <pageMargins left="0.7" right="0.7" top="0.75" bottom="0.75" header="0.3" footer="0.3"/>
  <pageSetup paperSize="9" scale="46" fitToHeight="0" orientation="landscape" r:id="rId1"/>
  <headerFooter alignWithMargins="0">
    <oddHeader xml:space="preserve">&amp;R
          </oddHeader>
    <oddFooter xml:space="preserve">&amp;R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BFCD-4B68-46B6-BA88-09F587A6C58A}">
  <sheetPr>
    <pageSetUpPr fitToPage="1"/>
  </sheetPr>
  <dimension ref="A1:R124"/>
  <sheetViews>
    <sheetView showGridLines="0" view="pageBreakPreview" topLeftCell="A7" zoomScale="85" zoomScaleNormal="55" zoomScaleSheetLayoutView="85" zoomScalePageLayoutView="55" workbookViewId="0">
      <selection activeCell="X52" sqref="X52"/>
    </sheetView>
  </sheetViews>
  <sheetFormatPr defaultRowHeight="12.75" x14ac:dyDescent="0.2"/>
  <cols>
    <col min="1" max="1" width="7.7109375" style="5" customWidth="1"/>
    <col min="2" max="2" width="9.85546875" style="5" customWidth="1"/>
    <col min="3" max="3" width="13.85546875" customWidth="1"/>
    <col min="4" max="4" width="25" bestFit="1" customWidth="1"/>
    <col min="5" max="5" width="28.5703125" bestFit="1" customWidth="1"/>
    <col min="6" max="6" width="8.5703125" customWidth="1"/>
    <col min="7" max="7" width="7.7109375" customWidth="1"/>
    <col min="8" max="8" width="8.42578125" customWidth="1"/>
    <col min="9" max="9" width="6.85546875" customWidth="1"/>
    <col min="10" max="10" width="8.5703125" customWidth="1"/>
    <col min="11" max="11" width="15.7109375" customWidth="1"/>
    <col min="12" max="12" width="14.28515625" customWidth="1"/>
    <col min="13" max="13" width="16" customWidth="1"/>
    <col min="14" max="14" width="30" customWidth="1"/>
    <col min="15" max="15" width="37.28515625" customWidth="1"/>
    <col min="16" max="16" width="27" customWidth="1"/>
    <col min="17" max="17" width="12.85546875" customWidth="1"/>
    <col min="18" max="18" width="13.28515625" customWidth="1"/>
  </cols>
  <sheetData>
    <row r="1" spans="1:18" s="2" customFormat="1" ht="15" customHeight="1" x14ac:dyDescent="0.2">
      <c r="A1" s="213"/>
      <c r="B1" s="214"/>
      <c r="C1" s="214"/>
      <c r="D1" s="214"/>
      <c r="E1" s="214"/>
      <c r="F1" s="215"/>
      <c r="G1" s="234" t="s">
        <v>242</v>
      </c>
      <c r="H1" s="235"/>
      <c r="I1" s="235"/>
      <c r="J1" s="235"/>
      <c r="K1" s="235"/>
      <c r="L1" s="235"/>
      <c r="M1" s="235"/>
      <c r="N1" s="235"/>
      <c r="O1" s="233" t="s">
        <v>209</v>
      </c>
      <c r="P1" s="224"/>
      <c r="Q1" s="225"/>
      <c r="R1" s="90" t="s">
        <v>30</v>
      </c>
    </row>
    <row r="2" spans="1:18" s="2" customFormat="1" ht="13.5" customHeight="1" x14ac:dyDescent="0.2">
      <c r="A2" s="216"/>
      <c r="B2" s="217"/>
      <c r="C2" s="217"/>
      <c r="D2" s="217"/>
      <c r="E2" s="217"/>
      <c r="F2" s="218"/>
      <c r="G2" s="236"/>
      <c r="H2" s="237"/>
      <c r="I2" s="237"/>
      <c r="J2" s="237"/>
      <c r="K2" s="237"/>
      <c r="L2" s="237"/>
      <c r="M2" s="237"/>
      <c r="N2" s="237"/>
      <c r="O2" s="238" t="str">
        <f>CAPA!Y2</f>
        <v>BK-SP08-02000-LC-79-00001</v>
      </c>
      <c r="P2" s="229"/>
      <c r="Q2" s="230"/>
      <c r="R2" s="91">
        <f>CAPA!AG2</f>
        <v>1</v>
      </c>
    </row>
    <row r="3" spans="1:18" s="2" customFormat="1" ht="12" customHeight="1" x14ac:dyDescent="0.2">
      <c r="A3" s="216"/>
      <c r="B3" s="217"/>
      <c r="C3" s="217"/>
      <c r="D3" s="217"/>
      <c r="E3" s="217"/>
      <c r="F3" s="218"/>
      <c r="G3" s="239" t="s">
        <v>206</v>
      </c>
      <c r="H3" s="240"/>
      <c r="I3" s="240"/>
      <c r="J3" s="240"/>
      <c r="K3" s="240"/>
      <c r="L3" s="240"/>
      <c r="M3" s="240"/>
      <c r="N3" s="241"/>
      <c r="O3" s="233" t="s">
        <v>207</v>
      </c>
      <c r="P3" s="224"/>
      <c r="Q3" s="225"/>
      <c r="R3" s="92" t="s">
        <v>208</v>
      </c>
    </row>
    <row r="4" spans="1:18" s="2" customFormat="1" ht="18" customHeight="1" x14ac:dyDescent="0.2">
      <c r="A4" s="216"/>
      <c r="B4" s="217"/>
      <c r="C4" s="217"/>
      <c r="D4" s="217"/>
      <c r="E4" s="217"/>
      <c r="F4" s="218"/>
      <c r="G4" s="232" t="s">
        <v>235</v>
      </c>
      <c r="H4" s="222"/>
      <c r="I4" s="222"/>
      <c r="J4" s="222"/>
      <c r="K4" s="222"/>
      <c r="L4" s="222"/>
      <c r="M4" s="222"/>
      <c r="N4" s="223"/>
      <c r="O4" s="232" t="s">
        <v>288</v>
      </c>
      <c r="P4" s="222"/>
      <c r="Q4" s="223"/>
      <c r="R4" s="93" t="s">
        <v>280</v>
      </c>
    </row>
    <row r="5" spans="1:18" ht="3.75" customHeight="1" x14ac:dyDescent="0.2">
      <c r="A5" s="216"/>
      <c r="B5" s="217"/>
      <c r="C5" s="217"/>
      <c r="D5" s="217"/>
      <c r="E5" s="217"/>
      <c r="F5" s="218"/>
      <c r="G5" s="73"/>
      <c r="H5" s="73"/>
      <c r="I5" s="73"/>
      <c r="J5" s="73"/>
      <c r="K5" s="73"/>
      <c r="L5" s="72"/>
      <c r="M5" s="73"/>
      <c r="N5" s="73"/>
      <c r="O5" s="72"/>
      <c r="P5" s="73"/>
      <c r="Q5" s="73"/>
      <c r="R5" s="23"/>
    </row>
    <row r="6" spans="1:18" ht="12" customHeight="1" x14ac:dyDescent="0.2">
      <c r="A6" s="216"/>
      <c r="B6" s="217"/>
      <c r="C6" s="217"/>
      <c r="D6" s="217"/>
      <c r="E6" s="217"/>
      <c r="F6" s="218"/>
      <c r="G6" s="94" t="s">
        <v>239</v>
      </c>
      <c r="H6" s="94"/>
      <c r="I6" s="94"/>
      <c r="J6" s="94"/>
      <c r="K6" s="94"/>
      <c r="L6" s="74" t="s">
        <v>240</v>
      </c>
      <c r="M6" s="94"/>
      <c r="N6" s="94"/>
      <c r="O6" s="210" t="s">
        <v>241</v>
      </c>
      <c r="P6" s="211"/>
      <c r="Q6" s="211"/>
      <c r="R6" s="212"/>
    </row>
    <row r="7" spans="1:18" ht="18" customHeight="1" x14ac:dyDescent="0.2">
      <c r="A7" s="216"/>
      <c r="B7" s="217"/>
      <c r="C7" s="217"/>
      <c r="D7" s="217"/>
      <c r="E7" s="217"/>
      <c r="F7" s="218"/>
      <c r="G7" s="229" t="s">
        <v>237</v>
      </c>
      <c r="H7" s="229"/>
      <c r="I7" s="229"/>
      <c r="J7" s="229"/>
      <c r="K7" s="230"/>
      <c r="L7" s="231" t="s">
        <v>233</v>
      </c>
      <c r="M7" s="227"/>
      <c r="N7" s="228"/>
      <c r="O7" s="226" t="s">
        <v>234</v>
      </c>
      <c r="P7" s="227"/>
      <c r="Q7" s="227"/>
      <c r="R7" s="228"/>
    </row>
    <row r="8" spans="1:18" ht="12" customHeight="1" x14ac:dyDescent="0.2">
      <c r="A8" s="216"/>
      <c r="B8" s="217"/>
      <c r="C8" s="217"/>
      <c r="D8" s="217"/>
      <c r="E8" s="217"/>
      <c r="F8" s="218"/>
      <c r="G8" s="211" t="s">
        <v>212</v>
      </c>
      <c r="H8" s="211"/>
      <c r="I8" s="211"/>
      <c r="J8" s="211"/>
      <c r="K8" s="211"/>
      <c r="L8" s="224"/>
      <c r="M8" s="224"/>
      <c r="N8" s="224"/>
      <c r="O8" s="224"/>
      <c r="P8" s="224"/>
      <c r="Q8" s="224"/>
      <c r="R8" s="225"/>
    </row>
    <row r="9" spans="1:18" ht="21.75" customHeight="1" x14ac:dyDescent="0.2">
      <c r="A9" s="219"/>
      <c r="B9" s="220"/>
      <c r="C9" s="220"/>
      <c r="D9" s="220"/>
      <c r="E9" s="220"/>
      <c r="F9" s="221"/>
      <c r="G9" s="222" t="s">
        <v>238</v>
      </c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3"/>
    </row>
    <row r="10" spans="1:18" ht="3.75" customHeight="1" x14ac:dyDescent="0.2">
      <c r="A10" s="86"/>
      <c r="B10" s="87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9"/>
    </row>
    <row r="11" spans="1:18" s="45" customFormat="1" ht="29.45" customHeight="1" x14ac:dyDescent="0.2">
      <c r="A11" s="246" t="s">
        <v>243</v>
      </c>
      <c r="B11" s="246"/>
      <c r="C11" s="245" t="s">
        <v>244</v>
      </c>
      <c r="D11" s="245"/>
      <c r="E11" s="245" t="s">
        <v>245</v>
      </c>
      <c r="F11" s="76" t="s">
        <v>246</v>
      </c>
      <c r="G11" s="245" t="s">
        <v>247</v>
      </c>
      <c r="H11" s="245"/>
      <c r="I11" s="245" t="s">
        <v>248</v>
      </c>
      <c r="J11" s="245"/>
      <c r="K11" s="245" t="s">
        <v>249</v>
      </c>
      <c r="L11" s="245" t="s">
        <v>256</v>
      </c>
      <c r="M11" s="245"/>
      <c r="N11" s="245" t="s">
        <v>250</v>
      </c>
      <c r="O11" s="245" t="s">
        <v>251</v>
      </c>
      <c r="P11" s="245"/>
      <c r="Q11" s="245" t="s">
        <v>408</v>
      </c>
      <c r="R11" s="245"/>
    </row>
    <row r="12" spans="1:18" s="45" customFormat="1" ht="29.45" customHeight="1" x14ac:dyDescent="0.2">
      <c r="A12" s="246"/>
      <c r="B12" s="246"/>
      <c r="C12" s="245" t="s">
        <v>336</v>
      </c>
      <c r="D12" s="245"/>
      <c r="E12" s="245"/>
      <c r="F12" s="77" t="s">
        <v>252</v>
      </c>
      <c r="G12" s="245" t="s">
        <v>253</v>
      </c>
      <c r="H12" s="245"/>
      <c r="I12" s="245" t="s">
        <v>254</v>
      </c>
      <c r="J12" s="245"/>
      <c r="K12" s="245"/>
      <c r="L12" s="245" t="s">
        <v>257</v>
      </c>
      <c r="M12" s="245"/>
      <c r="N12" s="245"/>
      <c r="O12" s="245"/>
      <c r="P12" s="245"/>
      <c r="Q12" s="245"/>
      <c r="R12" s="245"/>
    </row>
    <row r="13" spans="1:18" s="45" customFormat="1" ht="15.95" customHeight="1" x14ac:dyDescent="0.2">
      <c r="A13" s="252" t="s">
        <v>259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18" s="79" customFormat="1" ht="29.45" customHeight="1" x14ac:dyDescent="0.2">
      <c r="A14" s="247" t="s">
        <v>571</v>
      </c>
      <c r="B14" s="247"/>
      <c r="C14" s="248" t="s">
        <v>290</v>
      </c>
      <c r="D14" s="248"/>
      <c r="E14" s="253" t="s">
        <v>258</v>
      </c>
      <c r="F14" s="96">
        <v>92</v>
      </c>
      <c r="G14" s="254" t="s">
        <v>266</v>
      </c>
      <c r="H14" s="254"/>
      <c r="I14" s="254" t="s">
        <v>49</v>
      </c>
      <c r="J14" s="254"/>
      <c r="K14" s="249" t="s">
        <v>459</v>
      </c>
      <c r="L14" s="249">
        <v>707</v>
      </c>
      <c r="M14" s="250"/>
      <c r="N14" s="253" t="s">
        <v>269</v>
      </c>
      <c r="O14" s="253" t="s">
        <v>395</v>
      </c>
      <c r="P14" s="253"/>
      <c r="Q14" s="243" t="s">
        <v>424</v>
      </c>
      <c r="R14" s="244"/>
    </row>
    <row r="15" spans="1:18" s="79" customFormat="1" ht="27" customHeight="1" x14ac:dyDescent="0.2">
      <c r="A15" s="247"/>
      <c r="B15" s="247"/>
      <c r="C15" s="248" t="s">
        <v>385</v>
      </c>
      <c r="D15" s="248"/>
      <c r="E15" s="253"/>
      <c r="F15" s="96" t="s">
        <v>255</v>
      </c>
      <c r="G15" s="254" t="s">
        <v>260</v>
      </c>
      <c r="H15" s="254"/>
      <c r="I15" s="254" t="s">
        <v>1</v>
      </c>
      <c r="J15" s="254"/>
      <c r="K15" s="249"/>
      <c r="L15" s="249">
        <f>F14</f>
        <v>92</v>
      </c>
      <c r="M15" s="250"/>
      <c r="N15" s="253"/>
      <c r="O15" s="253"/>
      <c r="P15" s="253"/>
      <c r="Q15" s="244"/>
      <c r="R15" s="244"/>
    </row>
    <row r="16" spans="1:18" s="79" customFormat="1" ht="29.45" customHeight="1" x14ac:dyDescent="0.2">
      <c r="A16" s="247" t="s">
        <v>572</v>
      </c>
      <c r="B16" s="247"/>
      <c r="C16" s="248" t="s">
        <v>290</v>
      </c>
      <c r="D16" s="248"/>
      <c r="E16" s="253" t="s">
        <v>258</v>
      </c>
      <c r="F16" s="96">
        <v>71</v>
      </c>
      <c r="G16" s="254" t="s">
        <v>266</v>
      </c>
      <c r="H16" s="254"/>
      <c r="I16" s="254" t="s">
        <v>49</v>
      </c>
      <c r="J16" s="254"/>
      <c r="K16" s="249" t="s">
        <v>459</v>
      </c>
      <c r="L16" s="249">
        <v>707</v>
      </c>
      <c r="M16" s="250"/>
      <c r="N16" s="253" t="s">
        <v>274</v>
      </c>
      <c r="O16" s="253" t="s">
        <v>395</v>
      </c>
      <c r="P16" s="253"/>
      <c r="Q16" s="243" t="s">
        <v>425</v>
      </c>
      <c r="R16" s="244"/>
    </row>
    <row r="17" spans="1:18" s="79" customFormat="1" ht="27" customHeight="1" x14ac:dyDescent="0.2">
      <c r="A17" s="247"/>
      <c r="B17" s="247"/>
      <c r="C17" s="248" t="s">
        <v>386</v>
      </c>
      <c r="D17" s="248"/>
      <c r="E17" s="253"/>
      <c r="F17" s="96" t="s">
        <v>255</v>
      </c>
      <c r="G17" s="254" t="s">
        <v>260</v>
      </c>
      <c r="H17" s="254"/>
      <c r="I17" s="254" t="s">
        <v>1</v>
      </c>
      <c r="J17" s="254"/>
      <c r="K17" s="249"/>
      <c r="L17" s="249">
        <f>F16</f>
        <v>71</v>
      </c>
      <c r="M17" s="250"/>
      <c r="N17" s="253"/>
      <c r="O17" s="253"/>
      <c r="P17" s="253"/>
      <c r="Q17" s="244"/>
      <c r="R17" s="244"/>
    </row>
    <row r="18" spans="1:18" s="79" customFormat="1" ht="29.45" customHeight="1" x14ac:dyDescent="0.2">
      <c r="A18" s="247" t="s">
        <v>573</v>
      </c>
      <c r="B18" s="247"/>
      <c r="C18" s="248" t="s">
        <v>328</v>
      </c>
      <c r="D18" s="248"/>
      <c r="E18" s="251" t="s">
        <v>258</v>
      </c>
      <c r="F18" s="96">
        <v>68</v>
      </c>
      <c r="G18" s="242" t="s">
        <v>266</v>
      </c>
      <c r="H18" s="242"/>
      <c r="I18" s="242" t="s">
        <v>49</v>
      </c>
      <c r="J18" s="242"/>
      <c r="K18" s="249" t="s">
        <v>458</v>
      </c>
      <c r="L18" s="249">
        <v>686</v>
      </c>
      <c r="M18" s="250"/>
      <c r="N18" s="251" t="s">
        <v>269</v>
      </c>
      <c r="O18" s="253" t="s">
        <v>394</v>
      </c>
      <c r="P18" s="253"/>
      <c r="Q18" s="243" t="s">
        <v>426</v>
      </c>
      <c r="R18" s="244"/>
    </row>
    <row r="19" spans="1:18" s="79" customFormat="1" ht="27" customHeight="1" x14ac:dyDescent="0.2">
      <c r="A19" s="247"/>
      <c r="B19" s="247"/>
      <c r="C19" s="248" t="s">
        <v>351</v>
      </c>
      <c r="D19" s="248"/>
      <c r="E19" s="251"/>
      <c r="F19" s="78" t="s">
        <v>255</v>
      </c>
      <c r="G19" s="242" t="s">
        <v>260</v>
      </c>
      <c r="H19" s="242"/>
      <c r="I19" s="242" t="s">
        <v>1</v>
      </c>
      <c r="J19" s="242"/>
      <c r="K19" s="249"/>
      <c r="L19" s="249">
        <f>F18</f>
        <v>68</v>
      </c>
      <c r="M19" s="250"/>
      <c r="N19" s="251"/>
      <c r="O19" s="253"/>
      <c r="P19" s="253"/>
      <c r="Q19" s="244"/>
      <c r="R19" s="244"/>
    </row>
    <row r="20" spans="1:18" s="79" customFormat="1" ht="29.45" customHeight="1" x14ac:dyDescent="0.2">
      <c r="A20" s="247" t="s">
        <v>574</v>
      </c>
      <c r="B20" s="247"/>
      <c r="C20" s="248" t="s">
        <v>328</v>
      </c>
      <c r="D20" s="248"/>
      <c r="E20" s="251" t="s">
        <v>258</v>
      </c>
      <c r="F20" s="96">
        <v>68</v>
      </c>
      <c r="G20" s="242" t="s">
        <v>266</v>
      </c>
      <c r="H20" s="242"/>
      <c r="I20" s="242" t="s">
        <v>49</v>
      </c>
      <c r="J20" s="242"/>
      <c r="K20" s="249" t="s">
        <v>458</v>
      </c>
      <c r="L20" s="249">
        <v>686</v>
      </c>
      <c r="M20" s="250"/>
      <c r="N20" s="251" t="s">
        <v>269</v>
      </c>
      <c r="O20" s="253" t="s">
        <v>394</v>
      </c>
      <c r="P20" s="253"/>
      <c r="Q20" s="243" t="s">
        <v>427</v>
      </c>
      <c r="R20" s="244"/>
    </row>
    <row r="21" spans="1:18" s="79" customFormat="1" ht="27" customHeight="1" x14ac:dyDescent="0.2">
      <c r="A21" s="247"/>
      <c r="B21" s="247"/>
      <c r="C21" s="248" t="s">
        <v>351</v>
      </c>
      <c r="D21" s="248"/>
      <c r="E21" s="251"/>
      <c r="F21" s="78" t="s">
        <v>255</v>
      </c>
      <c r="G21" s="242" t="s">
        <v>260</v>
      </c>
      <c r="H21" s="242"/>
      <c r="I21" s="242" t="s">
        <v>1</v>
      </c>
      <c r="J21" s="242"/>
      <c r="K21" s="249"/>
      <c r="L21" s="249">
        <f>F20</f>
        <v>68</v>
      </c>
      <c r="M21" s="250"/>
      <c r="N21" s="251"/>
      <c r="O21" s="253"/>
      <c r="P21" s="253"/>
      <c r="Q21" s="244"/>
      <c r="R21" s="244"/>
    </row>
    <row r="22" spans="1:18" s="79" customFormat="1" ht="29.45" customHeight="1" x14ac:dyDescent="0.2">
      <c r="A22" s="255" t="s">
        <v>575</v>
      </c>
      <c r="B22" s="256"/>
      <c r="C22" s="259" t="s">
        <v>267</v>
      </c>
      <c r="D22" s="260"/>
      <c r="E22" s="261" t="s">
        <v>268</v>
      </c>
      <c r="F22" s="96">
        <v>210</v>
      </c>
      <c r="G22" s="263" t="s">
        <v>266</v>
      </c>
      <c r="H22" s="264"/>
      <c r="I22" s="263" t="s">
        <v>49</v>
      </c>
      <c r="J22" s="264"/>
      <c r="K22" s="265" t="s">
        <v>464</v>
      </c>
      <c r="L22" s="267">
        <v>210</v>
      </c>
      <c r="M22" s="268"/>
      <c r="N22" s="261" t="s">
        <v>276</v>
      </c>
      <c r="O22" s="253" t="s">
        <v>394</v>
      </c>
      <c r="P22" s="253"/>
      <c r="Q22" s="269" t="s">
        <v>428</v>
      </c>
      <c r="R22" s="270"/>
    </row>
    <row r="23" spans="1:18" s="79" customFormat="1" ht="27.75" customHeight="1" x14ac:dyDescent="0.2">
      <c r="A23" s="257"/>
      <c r="B23" s="258"/>
      <c r="C23" s="259" t="s">
        <v>358</v>
      </c>
      <c r="D23" s="260"/>
      <c r="E23" s="262"/>
      <c r="F23" s="78" t="s">
        <v>255</v>
      </c>
      <c r="G23" s="263" t="s">
        <v>260</v>
      </c>
      <c r="H23" s="264"/>
      <c r="I23" s="263" t="s">
        <v>1</v>
      </c>
      <c r="J23" s="264"/>
      <c r="K23" s="266"/>
      <c r="L23" s="267">
        <f>F22</f>
        <v>210</v>
      </c>
      <c r="M23" s="268"/>
      <c r="N23" s="262"/>
      <c r="O23" s="253"/>
      <c r="P23" s="253"/>
      <c r="Q23" s="271"/>
      <c r="R23" s="272"/>
    </row>
    <row r="24" spans="1:18" s="79" customFormat="1" ht="29.45" customHeight="1" x14ac:dyDescent="0.2">
      <c r="A24" s="247" t="s">
        <v>576</v>
      </c>
      <c r="B24" s="247"/>
      <c r="C24" s="248" t="s">
        <v>290</v>
      </c>
      <c r="D24" s="248"/>
      <c r="E24" s="253" t="s">
        <v>285</v>
      </c>
      <c r="F24" s="96">
        <v>49</v>
      </c>
      <c r="G24" s="242" t="s">
        <v>266</v>
      </c>
      <c r="H24" s="242"/>
      <c r="I24" s="242" t="s">
        <v>49</v>
      </c>
      <c r="J24" s="242"/>
      <c r="K24" s="249" t="s">
        <v>460</v>
      </c>
      <c r="L24" s="249">
        <v>578</v>
      </c>
      <c r="M24" s="250"/>
      <c r="N24" s="251" t="s">
        <v>273</v>
      </c>
      <c r="O24" s="253" t="s">
        <v>394</v>
      </c>
      <c r="P24" s="253"/>
      <c r="Q24" s="243" t="s">
        <v>429</v>
      </c>
      <c r="R24" s="244"/>
    </row>
    <row r="25" spans="1:18" s="79" customFormat="1" ht="27" customHeight="1" x14ac:dyDescent="0.2">
      <c r="A25" s="247"/>
      <c r="B25" s="247"/>
      <c r="C25" s="248" t="s">
        <v>354</v>
      </c>
      <c r="D25" s="248"/>
      <c r="E25" s="253"/>
      <c r="F25" s="78" t="s">
        <v>255</v>
      </c>
      <c r="G25" s="242" t="s">
        <v>260</v>
      </c>
      <c r="H25" s="242"/>
      <c r="I25" s="242" t="s">
        <v>1</v>
      </c>
      <c r="J25" s="242"/>
      <c r="K25" s="249"/>
      <c r="L25" s="249">
        <f>F24</f>
        <v>49</v>
      </c>
      <c r="M25" s="250"/>
      <c r="N25" s="251"/>
      <c r="O25" s="253"/>
      <c r="P25" s="253"/>
      <c r="Q25" s="244"/>
      <c r="R25" s="244"/>
    </row>
    <row r="26" spans="1:18" s="79" customFormat="1" ht="29.45" customHeight="1" x14ac:dyDescent="0.2">
      <c r="A26" s="247" t="s">
        <v>577</v>
      </c>
      <c r="B26" s="247"/>
      <c r="C26" s="248" t="s">
        <v>290</v>
      </c>
      <c r="D26" s="248"/>
      <c r="E26" s="253" t="s">
        <v>285</v>
      </c>
      <c r="F26" s="96">
        <v>49</v>
      </c>
      <c r="G26" s="242" t="s">
        <v>266</v>
      </c>
      <c r="H26" s="242"/>
      <c r="I26" s="242" t="s">
        <v>49</v>
      </c>
      <c r="J26" s="242"/>
      <c r="K26" s="249" t="s">
        <v>460</v>
      </c>
      <c r="L26" s="249">
        <v>578</v>
      </c>
      <c r="M26" s="250"/>
      <c r="N26" s="251" t="s">
        <v>273</v>
      </c>
      <c r="O26" s="253" t="s">
        <v>394</v>
      </c>
      <c r="P26" s="253"/>
      <c r="Q26" s="243" t="s">
        <v>430</v>
      </c>
      <c r="R26" s="244"/>
    </row>
    <row r="27" spans="1:18" s="79" customFormat="1" ht="27" customHeight="1" x14ac:dyDescent="0.2">
      <c r="A27" s="247"/>
      <c r="B27" s="247"/>
      <c r="C27" s="248" t="s">
        <v>355</v>
      </c>
      <c r="D27" s="248"/>
      <c r="E27" s="253"/>
      <c r="F27" s="78" t="s">
        <v>255</v>
      </c>
      <c r="G27" s="242" t="s">
        <v>260</v>
      </c>
      <c r="H27" s="242"/>
      <c r="I27" s="242" t="s">
        <v>1</v>
      </c>
      <c r="J27" s="242"/>
      <c r="K27" s="249"/>
      <c r="L27" s="249">
        <f>F26</f>
        <v>49</v>
      </c>
      <c r="M27" s="250"/>
      <c r="N27" s="251"/>
      <c r="O27" s="253"/>
      <c r="P27" s="253"/>
      <c r="Q27" s="244"/>
      <c r="R27" s="244"/>
    </row>
    <row r="28" spans="1:18" s="79" customFormat="1" ht="29.45" customHeight="1" x14ac:dyDescent="0.2">
      <c r="A28" s="247" t="s">
        <v>578</v>
      </c>
      <c r="B28" s="247"/>
      <c r="C28" s="248" t="s">
        <v>290</v>
      </c>
      <c r="D28" s="248"/>
      <c r="E28" s="253" t="s">
        <v>272</v>
      </c>
      <c r="F28" s="96">
        <v>42</v>
      </c>
      <c r="G28" s="242" t="s">
        <v>266</v>
      </c>
      <c r="H28" s="242"/>
      <c r="I28" s="242" t="s">
        <v>49</v>
      </c>
      <c r="J28" s="242"/>
      <c r="K28" s="249" t="s">
        <v>463</v>
      </c>
      <c r="L28" s="249">
        <v>146</v>
      </c>
      <c r="M28" s="250"/>
      <c r="N28" s="251" t="s">
        <v>273</v>
      </c>
      <c r="O28" s="253" t="s">
        <v>394</v>
      </c>
      <c r="P28" s="253"/>
      <c r="Q28" s="243" t="s">
        <v>431</v>
      </c>
      <c r="R28" s="244"/>
    </row>
    <row r="29" spans="1:18" s="79" customFormat="1" ht="27" customHeight="1" x14ac:dyDescent="0.2">
      <c r="A29" s="247"/>
      <c r="B29" s="247"/>
      <c r="C29" s="248" t="s">
        <v>356</v>
      </c>
      <c r="D29" s="248"/>
      <c r="E29" s="253"/>
      <c r="F29" s="78" t="s">
        <v>255</v>
      </c>
      <c r="G29" s="242" t="s">
        <v>260</v>
      </c>
      <c r="H29" s="242"/>
      <c r="I29" s="242" t="s">
        <v>1</v>
      </c>
      <c r="J29" s="242"/>
      <c r="K29" s="249"/>
      <c r="L29" s="249">
        <f>F28</f>
        <v>42</v>
      </c>
      <c r="M29" s="250"/>
      <c r="N29" s="251"/>
      <c r="O29" s="253"/>
      <c r="P29" s="253"/>
      <c r="Q29" s="244"/>
      <c r="R29" s="244"/>
    </row>
    <row r="30" spans="1:18" s="79" customFormat="1" ht="29.45" customHeight="1" x14ac:dyDescent="0.2">
      <c r="A30" s="247" t="s">
        <v>579</v>
      </c>
      <c r="B30" s="247"/>
      <c r="C30" s="248" t="s">
        <v>290</v>
      </c>
      <c r="D30" s="248"/>
      <c r="E30" s="253" t="s">
        <v>272</v>
      </c>
      <c r="F30" s="96">
        <v>52</v>
      </c>
      <c r="G30" s="242" t="s">
        <v>266</v>
      </c>
      <c r="H30" s="242"/>
      <c r="I30" s="242" t="s">
        <v>49</v>
      </c>
      <c r="J30" s="242"/>
      <c r="K30" s="249" t="s">
        <v>463</v>
      </c>
      <c r="L30" s="249">
        <v>146</v>
      </c>
      <c r="M30" s="250"/>
      <c r="N30" s="251" t="s">
        <v>274</v>
      </c>
      <c r="O30" s="253" t="s">
        <v>394</v>
      </c>
      <c r="P30" s="253"/>
      <c r="Q30" s="243" t="s">
        <v>432</v>
      </c>
      <c r="R30" s="244"/>
    </row>
    <row r="31" spans="1:18" s="79" customFormat="1" ht="27" customHeight="1" x14ac:dyDescent="0.2">
      <c r="A31" s="247"/>
      <c r="B31" s="247"/>
      <c r="C31" s="248" t="s">
        <v>357</v>
      </c>
      <c r="D31" s="248"/>
      <c r="E31" s="253"/>
      <c r="F31" s="78" t="s">
        <v>255</v>
      </c>
      <c r="G31" s="242" t="s">
        <v>260</v>
      </c>
      <c r="H31" s="242"/>
      <c r="I31" s="242" t="s">
        <v>1</v>
      </c>
      <c r="J31" s="242"/>
      <c r="K31" s="249"/>
      <c r="L31" s="249">
        <f>F30</f>
        <v>52</v>
      </c>
      <c r="M31" s="250"/>
      <c r="N31" s="251"/>
      <c r="O31" s="253"/>
      <c r="P31" s="253"/>
      <c r="Q31" s="244"/>
      <c r="R31" s="244"/>
    </row>
    <row r="32" spans="1:18" s="45" customFormat="1" ht="15.95" customHeight="1" x14ac:dyDescent="0.2">
      <c r="A32" s="252" t="s">
        <v>270</v>
      </c>
      <c r="B32" s="252"/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</row>
    <row r="33" spans="1:18" s="79" customFormat="1" ht="29.45" customHeight="1" x14ac:dyDescent="0.2">
      <c r="A33" s="247" t="s">
        <v>580</v>
      </c>
      <c r="B33" s="247"/>
      <c r="C33" s="248" t="s">
        <v>306</v>
      </c>
      <c r="D33" s="248"/>
      <c r="E33" s="253" t="s">
        <v>285</v>
      </c>
      <c r="F33" s="96">
        <v>60</v>
      </c>
      <c r="G33" s="242" t="s">
        <v>266</v>
      </c>
      <c r="H33" s="242"/>
      <c r="I33" s="242" t="s">
        <v>49</v>
      </c>
      <c r="J33" s="242"/>
      <c r="K33" s="249" t="s">
        <v>460</v>
      </c>
      <c r="L33" s="249">
        <v>578</v>
      </c>
      <c r="M33" s="250"/>
      <c r="N33" s="251" t="s">
        <v>269</v>
      </c>
      <c r="O33" s="253" t="s">
        <v>394</v>
      </c>
      <c r="P33" s="253"/>
      <c r="Q33" s="243" t="s">
        <v>433</v>
      </c>
      <c r="R33" s="244"/>
    </row>
    <row r="34" spans="1:18" s="79" customFormat="1" ht="27" customHeight="1" x14ac:dyDescent="0.2">
      <c r="A34" s="247"/>
      <c r="B34" s="247"/>
      <c r="C34" s="248" t="s">
        <v>359</v>
      </c>
      <c r="D34" s="248"/>
      <c r="E34" s="253"/>
      <c r="F34" s="78" t="s">
        <v>255</v>
      </c>
      <c r="G34" s="242" t="s">
        <v>260</v>
      </c>
      <c r="H34" s="242"/>
      <c r="I34" s="242" t="s">
        <v>1</v>
      </c>
      <c r="J34" s="242"/>
      <c r="K34" s="249"/>
      <c r="L34" s="249">
        <f>F33</f>
        <v>60</v>
      </c>
      <c r="M34" s="250"/>
      <c r="N34" s="251"/>
      <c r="O34" s="253"/>
      <c r="P34" s="253"/>
      <c r="Q34" s="244"/>
      <c r="R34" s="244"/>
    </row>
    <row r="35" spans="1:18" s="79" customFormat="1" ht="29.45" customHeight="1" x14ac:dyDescent="0.2">
      <c r="A35" s="247" t="s">
        <v>581</v>
      </c>
      <c r="B35" s="247"/>
      <c r="C35" s="248" t="s">
        <v>306</v>
      </c>
      <c r="D35" s="248"/>
      <c r="E35" s="273" t="s">
        <v>285</v>
      </c>
      <c r="F35" s="96">
        <v>51</v>
      </c>
      <c r="G35" s="242" t="s">
        <v>266</v>
      </c>
      <c r="H35" s="242"/>
      <c r="I35" s="242" t="s">
        <v>49</v>
      </c>
      <c r="J35" s="242"/>
      <c r="K35" s="249" t="s">
        <v>460</v>
      </c>
      <c r="L35" s="249">
        <v>578</v>
      </c>
      <c r="M35" s="250"/>
      <c r="N35" s="251" t="s">
        <v>269</v>
      </c>
      <c r="O35" s="253" t="s">
        <v>394</v>
      </c>
      <c r="P35" s="253"/>
      <c r="Q35" s="243" t="s">
        <v>434</v>
      </c>
      <c r="R35" s="244"/>
    </row>
    <row r="36" spans="1:18" s="79" customFormat="1" ht="27" customHeight="1" x14ac:dyDescent="0.2">
      <c r="A36" s="247"/>
      <c r="B36" s="247"/>
      <c r="C36" s="248" t="s">
        <v>360</v>
      </c>
      <c r="D36" s="248"/>
      <c r="E36" s="273"/>
      <c r="F36" s="78" t="s">
        <v>255</v>
      </c>
      <c r="G36" s="242" t="s">
        <v>260</v>
      </c>
      <c r="H36" s="242"/>
      <c r="I36" s="242" t="s">
        <v>1</v>
      </c>
      <c r="J36" s="242"/>
      <c r="K36" s="249"/>
      <c r="L36" s="249">
        <f>F35</f>
        <v>51</v>
      </c>
      <c r="M36" s="250"/>
      <c r="N36" s="251"/>
      <c r="O36" s="253"/>
      <c r="P36" s="253"/>
      <c r="Q36" s="244"/>
      <c r="R36" s="244"/>
    </row>
    <row r="37" spans="1:18" s="79" customFormat="1" ht="29.45" customHeight="1" x14ac:dyDescent="0.2">
      <c r="A37" s="247" t="s">
        <v>582</v>
      </c>
      <c r="B37" s="247"/>
      <c r="C37" s="248" t="s">
        <v>306</v>
      </c>
      <c r="D37" s="248"/>
      <c r="E37" s="253" t="s">
        <v>285</v>
      </c>
      <c r="F37" s="96">
        <v>51</v>
      </c>
      <c r="G37" s="242" t="s">
        <v>266</v>
      </c>
      <c r="H37" s="242"/>
      <c r="I37" s="242" t="s">
        <v>49</v>
      </c>
      <c r="J37" s="242"/>
      <c r="K37" s="249" t="s">
        <v>460</v>
      </c>
      <c r="L37" s="249">
        <v>578</v>
      </c>
      <c r="M37" s="250"/>
      <c r="N37" s="251" t="s">
        <v>269</v>
      </c>
      <c r="O37" s="253" t="s">
        <v>394</v>
      </c>
      <c r="P37" s="253"/>
      <c r="Q37" s="243" t="s">
        <v>435</v>
      </c>
      <c r="R37" s="244"/>
    </row>
    <row r="38" spans="1:18" s="79" customFormat="1" ht="27" customHeight="1" x14ac:dyDescent="0.2">
      <c r="A38" s="247"/>
      <c r="B38" s="247"/>
      <c r="C38" s="248" t="s">
        <v>361</v>
      </c>
      <c r="D38" s="248"/>
      <c r="E38" s="253"/>
      <c r="F38" s="78" t="s">
        <v>255</v>
      </c>
      <c r="G38" s="242" t="s">
        <v>260</v>
      </c>
      <c r="H38" s="242"/>
      <c r="I38" s="242" t="s">
        <v>1</v>
      </c>
      <c r="J38" s="242"/>
      <c r="K38" s="249"/>
      <c r="L38" s="249">
        <f>F37</f>
        <v>51</v>
      </c>
      <c r="M38" s="250"/>
      <c r="N38" s="251"/>
      <c r="O38" s="253"/>
      <c r="P38" s="253"/>
      <c r="Q38" s="244"/>
      <c r="R38" s="244"/>
    </row>
    <row r="39" spans="1:18" s="79" customFormat="1" ht="29.45" customHeight="1" x14ac:dyDescent="0.2">
      <c r="A39" s="247" t="s">
        <v>583</v>
      </c>
      <c r="B39" s="247"/>
      <c r="C39" s="248" t="s">
        <v>306</v>
      </c>
      <c r="D39" s="248"/>
      <c r="E39" s="253" t="s">
        <v>285</v>
      </c>
      <c r="F39" s="96">
        <v>55</v>
      </c>
      <c r="G39" s="242" t="s">
        <v>266</v>
      </c>
      <c r="H39" s="242"/>
      <c r="I39" s="242" t="s">
        <v>49</v>
      </c>
      <c r="J39" s="242"/>
      <c r="K39" s="249" t="s">
        <v>460</v>
      </c>
      <c r="L39" s="249">
        <v>578</v>
      </c>
      <c r="M39" s="250"/>
      <c r="N39" s="251" t="s">
        <v>269</v>
      </c>
      <c r="O39" s="253" t="s">
        <v>394</v>
      </c>
      <c r="P39" s="253"/>
      <c r="Q39" s="243" t="s">
        <v>436</v>
      </c>
      <c r="R39" s="244"/>
    </row>
    <row r="40" spans="1:18" s="79" customFormat="1" ht="27" customHeight="1" x14ac:dyDescent="0.2">
      <c r="A40" s="247"/>
      <c r="B40" s="247"/>
      <c r="C40" s="248" t="s">
        <v>362</v>
      </c>
      <c r="D40" s="248"/>
      <c r="E40" s="253"/>
      <c r="F40" s="78" t="s">
        <v>255</v>
      </c>
      <c r="G40" s="242" t="s">
        <v>260</v>
      </c>
      <c r="H40" s="242"/>
      <c r="I40" s="242" t="s">
        <v>1</v>
      </c>
      <c r="J40" s="242"/>
      <c r="K40" s="249"/>
      <c r="L40" s="249">
        <f>F39</f>
        <v>55</v>
      </c>
      <c r="M40" s="250"/>
      <c r="N40" s="251"/>
      <c r="O40" s="253"/>
      <c r="P40" s="253"/>
      <c r="Q40" s="244"/>
      <c r="R40" s="244"/>
    </row>
    <row r="41" spans="1:18" s="79" customFormat="1" ht="29.45" customHeight="1" x14ac:dyDescent="0.2">
      <c r="A41" s="247" t="s">
        <v>584</v>
      </c>
      <c r="B41" s="247"/>
      <c r="C41" s="248" t="s">
        <v>306</v>
      </c>
      <c r="D41" s="248"/>
      <c r="E41" s="253" t="s">
        <v>285</v>
      </c>
      <c r="F41" s="96">
        <v>46</v>
      </c>
      <c r="G41" s="242" t="s">
        <v>266</v>
      </c>
      <c r="H41" s="242"/>
      <c r="I41" s="242" t="s">
        <v>49</v>
      </c>
      <c r="J41" s="242"/>
      <c r="K41" s="249" t="s">
        <v>460</v>
      </c>
      <c r="L41" s="249">
        <v>578</v>
      </c>
      <c r="M41" s="250"/>
      <c r="N41" s="251" t="s">
        <v>284</v>
      </c>
      <c r="O41" s="253" t="s">
        <v>394</v>
      </c>
      <c r="P41" s="253"/>
      <c r="Q41" s="243" t="s">
        <v>437</v>
      </c>
      <c r="R41" s="244"/>
    </row>
    <row r="42" spans="1:18" s="79" customFormat="1" ht="27" customHeight="1" x14ac:dyDescent="0.2">
      <c r="A42" s="247"/>
      <c r="B42" s="247"/>
      <c r="C42" s="248" t="s">
        <v>363</v>
      </c>
      <c r="D42" s="248"/>
      <c r="E42" s="253"/>
      <c r="F42" s="78" t="s">
        <v>255</v>
      </c>
      <c r="G42" s="242" t="s">
        <v>260</v>
      </c>
      <c r="H42" s="242"/>
      <c r="I42" s="242" t="s">
        <v>1</v>
      </c>
      <c r="J42" s="242"/>
      <c r="K42" s="249"/>
      <c r="L42" s="249">
        <f>F41</f>
        <v>46</v>
      </c>
      <c r="M42" s="250"/>
      <c r="N42" s="251"/>
      <c r="O42" s="253"/>
      <c r="P42" s="253"/>
      <c r="Q42" s="244"/>
      <c r="R42" s="244"/>
    </row>
    <row r="43" spans="1:18" s="79" customFormat="1" ht="29.45" customHeight="1" x14ac:dyDescent="0.2">
      <c r="A43" s="247" t="s">
        <v>585</v>
      </c>
      <c r="B43" s="247"/>
      <c r="C43" s="248" t="s">
        <v>306</v>
      </c>
      <c r="D43" s="248"/>
      <c r="E43" s="253" t="s">
        <v>285</v>
      </c>
      <c r="F43" s="96">
        <v>46</v>
      </c>
      <c r="G43" s="242" t="s">
        <v>266</v>
      </c>
      <c r="H43" s="242"/>
      <c r="I43" s="242" t="s">
        <v>49</v>
      </c>
      <c r="J43" s="242"/>
      <c r="K43" s="249" t="s">
        <v>460</v>
      </c>
      <c r="L43" s="249">
        <v>578</v>
      </c>
      <c r="M43" s="250"/>
      <c r="N43" s="251" t="s">
        <v>284</v>
      </c>
      <c r="O43" s="253" t="s">
        <v>394</v>
      </c>
      <c r="P43" s="253"/>
      <c r="Q43" s="243" t="s">
        <v>438</v>
      </c>
      <c r="R43" s="244"/>
    </row>
    <row r="44" spans="1:18" s="79" customFormat="1" ht="27" customHeight="1" x14ac:dyDescent="0.2">
      <c r="A44" s="247"/>
      <c r="B44" s="247"/>
      <c r="C44" s="248" t="s">
        <v>364</v>
      </c>
      <c r="D44" s="248"/>
      <c r="E44" s="253"/>
      <c r="F44" s="78" t="s">
        <v>255</v>
      </c>
      <c r="G44" s="242" t="s">
        <v>260</v>
      </c>
      <c r="H44" s="242"/>
      <c r="I44" s="242" t="s">
        <v>1</v>
      </c>
      <c r="J44" s="242"/>
      <c r="K44" s="249"/>
      <c r="L44" s="249">
        <f>F43</f>
        <v>46</v>
      </c>
      <c r="M44" s="250"/>
      <c r="N44" s="251"/>
      <c r="O44" s="253"/>
      <c r="P44" s="253"/>
      <c r="Q44" s="244"/>
      <c r="R44" s="244"/>
    </row>
    <row r="45" spans="1:18" s="3" customFormat="1" ht="15" customHeight="1" x14ac:dyDescent="0.2">
      <c r="A45" s="43"/>
      <c r="B45" s="44"/>
      <c r="C45" s="4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</row>
    <row r="46" spans="1:18" s="3" customFormat="1" ht="15" customHeight="1" x14ac:dyDescent="0.2">
      <c r="A46" s="46"/>
      <c r="B46" s="40"/>
      <c r="C46" s="41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</row>
    <row r="47" spans="1:18" ht="15" customHeight="1" x14ac:dyDescent="0.2">
      <c r="A47" s="42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39"/>
      <c r="O47" s="39"/>
      <c r="P47" s="39"/>
      <c r="Q47" s="39"/>
      <c r="R47" s="39"/>
    </row>
    <row r="48" spans="1:18" ht="15" customHeight="1" x14ac:dyDescent="0.2">
      <c r="A48" s="42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1:8" ht="15" customHeight="1" x14ac:dyDescent="0.2">
      <c r="A49" s="42"/>
      <c r="B49" s="44"/>
      <c r="D49" s="3"/>
      <c r="E49" s="3"/>
      <c r="H49" s="3"/>
    </row>
    <row r="50" spans="1:8" ht="15" customHeight="1" x14ac:dyDescent="0.2">
      <c r="A50"/>
      <c r="B50"/>
      <c r="D50" s="102"/>
      <c r="E50" s="101"/>
      <c r="H50" s="101"/>
    </row>
    <row r="51" spans="1:8" ht="15" customHeight="1" x14ac:dyDescent="0.2">
      <c r="A51"/>
      <c r="B51"/>
    </row>
    <row r="52" spans="1:8" ht="15" customHeight="1" x14ac:dyDescent="0.2">
      <c r="A52"/>
      <c r="B52"/>
    </row>
    <row r="53" spans="1:8" ht="15" customHeight="1" x14ac:dyDescent="0.2">
      <c r="A53"/>
      <c r="B53"/>
    </row>
    <row r="54" spans="1:8" ht="15" customHeight="1" x14ac:dyDescent="0.2">
      <c r="A54"/>
      <c r="B54"/>
    </row>
    <row r="55" spans="1:8" ht="15" customHeight="1" x14ac:dyDescent="0.2">
      <c r="A55"/>
      <c r="B55"/>
    </row>
    <row r="56" spans="1:8" ht="15" customHeight="1" x14ac:dyDescent="0.2">
      <c r="A56"/>
      <c r="B56"/>
    </row>
    <row r="57" spans="1:8" ht="15" customHeight="1" x14ac:dyDescent="0.2">
      <c r="A57"/>
      <c r="B57"/>
    </row>
    <row r="58" spans="1:8" ht="14.1" customHeight="1" x14ac:dyDescent="0.2">
      <c r="A58"/>
      <c r="B58"/>
    </row>
    <row r="59" spans="1:8" ht="14.1" customHeight="1" x14ac:dyDescent="0.2">
      <c r="A59"/>
      <c r="B59"/>
    </row>
    <row r="60" spans="1:8" ht="14.1" customHeight="1" x14ac:dyDescent="0.2">
      <c r="A60"/>
      <c r="B60"/>
    </row>
    <row r="61" spans="1:8" ht="14.1" customHeight="1" x14ac:dyDescent="0.2">
      <c r="A61"/>
      <c r="B61"/>
    </row>
    <row r="62" spans="1:8" ht="14.1" customHeight="1" x14ac:dyDescent="0.2">
      <c r="A62" s="4"/>
      <c r="B62" s="4"/>
    </row>
    <row r="63" spans="1:8" ht="14.1" customHeight="1" x14ac:dyDescent="0.2">
      <c r="A63" s="4"/>
      <c r="B63" s="4"/>
    </row>
    <row r="64" spans="1:8" ht="14.1" customHeight="1" x14ac:dyDescent="0.2">
      <c r="A64" s="4"/>
      <c r="B64" s="4"/>
    </row>
    <row r="65" spans="1:2" ht="14.1" customHeight="1" x14ac:dyDescent="0.2">
      <c r="A65" s="4"/>
      <c r="B65" s="4"/>
    </row>
    <row r="66" spans="1:2" ht="14.1" customHeight="1" x14ac:dyDescent="0.2">
      <c r="A66" s="4"/>
      <c r="B66" s="4"/>
    </row>
    <row r="67" spans="1:2" ht="14.1" customHeight="1" x14ac:dyDescent="0.2">
      <c r="A67" s="4"/>
      <c r="B67" s="4"/>
    </row>
    <row r="68" spans="1:2" ht="14.1" customHeight="1" x14ac:dyDescent="0.2">
      <c r="A68" s="4"/>
      <c r="B68" s="4"/>
    </row>
    <row r="69" spans="1:2" ht="14.1" customHeight="1" x14ac:dyDescent="0.2">
      <c r="A69" s="4"/>
      <c r="B69" s="4"/>
    </row>
    <row r="70" spans="1:2" ht="14.1" customHeight="1" x14ac:dyDescent="0.2">
      <c r="A70" s="4"/>
      <c r="B70" s="4"/>
    </row>
    <row r="71" spans="1:2" ht="14.1" customHeight="1" x14ac:dyDescent="0.2">
      <c r="A71" s="4"/>
      <c r="B71" s="4"/>
    </row>
    <row r="72" spans="1:2" ht="14.1" customHeight="1" x14ac:dyDescent="0.2">
      <c r="A72" s="4"/>
      <c r="B72" s="4"/>
    </row>
    <row r="73" spans="1:2" ht="14.1" customHeight="1" x14ac:dyDescent="0.2">
      <c r="A73" s="4"/>
      <c r="B73" s="4"/>
    </row>
    <row r="74" spans="1:2" ht="14.1" customHeight="1" x14ac:dyDescent="0.2">
      <c r="A74" s="4"/>
      <c r="B74" s="4"/>
    </row>
    <row r="75" spans="1:2" ht="14.1" customHeight="1" x14ac:dyDescent="0.2">
      <c r="A75" s="4"/>
      <c r="B75" s="4"/>
    </row>
    <row r="76" spans="1:2" ht="14.1" customHeight="1" x14ac:dyDescent="0.2">
      <c r="A76" s="4"/>
      <c r="B76" s="4"/>
    </row>
    <row r="77" spans="1:2" ht="14.1" customHeight="1" x14ac:dyDescent="0.2">
      <c r="A77" s="4"/>
      <c r="B77" s="4"/>
    </row>
    <row r="78" spans="1:2" ht="14.1" customHeight="1" x14ac:dyDescent="0.2">
      <c r="A78" s="4"/>
      <c r="B78" s="4"/>
    </row>
    <row r="79" spans="1:2" ht="14.1" customHeight="1" x14ac:dyDescent="0.2">
      <c r="A79" s="4"/>
      <c r="B79" s="4"/>
    </row>
    <row r="80" spans="1:2" ht="14.1" customHeight="1" x14ac:dyDescent="0.2">
      <c r="A80" s="4"/>
      <c r="B80" s="4"/>
    </row>
    <row r="81" spans="1:2" ht="14.1" customHeight="1" x14ac:dyDescent="0.2">
      <c r="A81" s="4"/>
      <c r="B81" s="4"/>
    </row>
    <row r="82" spans="1:2" ht="14.1" customHeight="1" x14ac:dyDescent="0.2">
      <c r="A82" s="4"/>
      <c r="B82" s="4"/>
    </row>
    <row r="83" spans="1:2" ht="14.1" customHeight="1" x14ac:dyDescent="0.2">
      <c r="A83" s="4"/>
      <c r="B83" s="4"/>
    </row>
    <row r="84" spans="1:2" ht="14.1" customHeight="1" x14ac:dyDescent="0.2">
      <c r="A84" s="4"/>
      <c r="B84" s="4"/>
    </row>
    <row r="85" spans="1:2" ht="14.1" customHeight="1" x14ac:dyDescent="0.2">
      <c r="A85" s="4"/>
      <c r="B85" s="4"/>
    </row>
    <row r="86" spans="1:2" ht="14.1" customHeight="1" x14ac:dyDescent="0.2">
      <c r="A86" s="4"/>
      <c r="B86" s="4"/>
    </row>
    <row r="87" spans="1:2" ht="14.1" customHeight="1" x14ac:dyDescent="0.2">
      <c r="A87" s="4"/>
      <c r="B87" s="4"/>
    </row>
    <row r="88" spans="1:2" ht="14.1" customHeight="1" x14ac:dyDescent="0.2">
      <c r="A88" s="4"/>
      <c r="B88" s="4"/>
    </row>
    <row r="89" spans="1:2" ht="14.1" customHeight="1" x14ac:dyDescent="0.2">
      <c r="A89" s="4"/>
      <c r="B89" s="4"/>
    </row>
    <row r="90" spans="1:2" ht="14.1" customHeight="1" x14ac:dyDescent="0.2">
      <c r="A90" s="4"/>
      <c r="B90" s="4"/>
    </row>
    <row r="91" spans="1:2" ht="14.1" customHeight="1" x14ac:dyDescent="0.2">
      <c r="A91" s="4"/>
      <c r="B91" s="4"/>
    </row>
    <row r="92" spans="1:2" ht="14.1" customHeight="1" x14ac:dyDescent="0.2">
      <c r="A92" s="4"/>
      <c r="B92" s="4"/>
    </row>
    <row r="93" spans="1:2" ht="14.1" customHeight="1" x14ac:dyDescent="0.2">
      <c r="A93" s="4"/>
      <c r="B93" s="4"/>
    </row>
    <row r="94" spans="1:2" ht="14.1" customHeight="1" x14ac:dyDescent="0.2">
      <c r="A94" s="4"/>
      <c r="B94" s="4"/>
    </row>
    <row r="95" spans="1:2" ht="14.1" customHeight="1" x14ac:dyDescent="0.2">
      <c r="A95" s="4"/>
      <c r="B95" s="4"/>
    </row>
    <row r="96" spans="1:2" ht="14.1" customHeight="1" x14ac:dyDescent="0.2">
      <c r="A96" s="4"/>
      <c r="B96" s="4"/>
    </row>
    <row r="97" spans="1:2" ht="14.1" customHeight="1" x14ac:dyDescent="0.2">
      <c r="A97" s="4"/>
      <c r="B97" s="4"/>
    </row>
    <row r="98" spans="1:2" ht="14.1" customHeight="1" x14ac:dyDescent="0.2">
      <c r="A98" s="4"/>
      <c r="B98" s="4"/>
    </row>
    <row r="99" spans="1:2" ht="14.1" customHeight="1" x14ac:dyDescent="0.2">
      <c r="A99" s="4"/>
      <c r="B99" s="4"/>
    </row>
    <row r="100" spans="1:2" ht="13.5" customHeight="1" x14ac:dyDescent="0.2">
      <c r="A100" s="4"/>
      <c r="B100" s="4"/>
    </row>
    <row r="101" spans="1:2" ht="13.5" customHeight="1" x14ac:dyDescent="0.2">
      <c r="A101" s="4"/>
      <c r="B101" s="4"/>
    </row>
    <row r="102" spans="1:2" ht="13.5" customHeight="1" x14ac:dyDescent="0.2">
      <c r="A102" s="4"/>
      <c r="B102" s="4"/>
    </row>
    <row r="103" spans="1:2" ht="13.5" customHeight="1" x14ac:dyDescent="0.2">
      <c r="A103" s="4"/>
      <c r="B103" s="4"/>
    </row>
    <row r="104" spans="1:2" ht="13.5" customHeight="1" x14ac:dyDescent="0.2">
      <c r="A104" s="4"/>
      <c r="B104" s="4"/>
    </row>
    <row r="105" spans="1:2" ht="13.5" customHeight="1" x14ac:dyDescent="0.2">
      <c r="A105" s="4"/>
      <c r="B105" s="4"/>
    </row>
    <row r="106" spans="1:2" ht="13.5" customHeight="1" x14ac:dyDescent="0.2">
      <c r="A106" s="4"/>
      <c r="B106" s="4"/>
    </row>
    <row r="107" spans="1:2" ht="13.5" customHeight="1" x14ac:dyDescent="0.2">
      <c r="A107" s="4"/>
      <c r="B107" s="4"/>
    </row>
    <row r="108" spans="1:2" x14ac:dyDescent="0.2">
      <c r="A108" s="4"/>
      <c r="B108" s="4"/>
    </row>
    <row r="109" spans="1:2" x14ac:dyDescent="0.2">
      <c r="A109" s="4"/>
      <c r="B109" s="4"/>
    </row>
    <row r="110" spans="1:2" x14ac:dyDescent="0.2">
      <c r="A110" s="4"/>
      <c r="B110" s="4"/>
    </row>
    <row r="111" spans="1:2" x14ac:dyDescent="0.2">
      <c r="A111" s="4"/>
      <c r="B111" s="4"/>
    </row>
    <row r="112" spans="1:2" x14ac:dyDescent="0.2">
      <c r="A112" s="4"/>
      <c r="B112" s="4"/>
    </row>
    <row r="113" spans="1:2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  <row r="119" spans="1:2" x14ac:dyDescent="0.2">
      <c r="A119" s="4"/>
      <c r="B119" s="4"/>
    </row>
    <row r="120" spans="1:2" x14ac:dyDescent="0.2">
      <c r="A120" s="4"/>
      <c r="B120" s="4"/>
    </row>
    <row r="121" spans="1:2" x14ac:dyDescent="0.2">
      <c r="A121" s="4"/>
      <c r="B121" s="4"/>
    </row>
    <row r="122" spans="1:2" x14ac:dyDescent="0.2">
      <c r="A122" s="4"/>
      <c r="B122" s="4"/>
    </row>
    <row r="123" spans="1:2" x14ac:dyDescent="0.2">
      <c r="A123" s="4"/>
      <c r="B123" s="4"/>
    </row>
    <row r="124" spans="1:2" x14ac:dyDescent="0.2">
      <c r="B124" s="4"/>
    </row>
  </sheetData>
  <mergeCells count="240">
    <mergeCell ref="Q43:R44"/>
    <mergeCell ref="C44:D44"/>
    <mergeCell ref="G44:H44"/>
    <mergeCell ref="I44:J44"/>
    <mergeCell ref="L44:M44"/>
    <mergeCell ref="A32:R32"/>
    <mergeCell ref="A43:B44"/>
    <mergeCell ref="C43:D43"/>
    <mergeCell ref="E43:E44"/>
    <mergeCell ref="G43:H43"/>
    <mergeCell ref="I43:J43"/>
    <mergeCell ref="K43:K44"/>
    <mergeCell ref="L41:M41"/>
    <mergeCell ref="N41:N42"/>
    <mergeCell ref="O41:P42"/>
    <mergeCell ref="L43:M43"/>
    <mergeCell ref="N43:N44"/>
    <mergeCell ref="O43:P44"/>
    <mergeCell ref="Q41:R42"/>
    <mergeCell ref="C42:D42"/>
    <mergeCell ref="G42:H42"/>
    <mergeCell ref="I42:J42"/>
    <mergeCell ref="L42:M42"/>
    <mergeCell ref="A41:B42"/>
    <mergeCell ref="C41:D41"/>
    <mergeCell ref="E41:E42"/>
    <mergeCell ref="G41:H41"/>
    <mergeCell ref="I41:J41"/>
    <mergeCell ref="K41:K42"/>
    <mergeCell ref="L39:M39"/>
    <mergeCell ref="N39:N40"/>
    <mergeCell ref="O39:P40"/>
    <mergeCell ref="Q39:R40"/>
    <mergeCell ref="C40:D40"/>
    <mergeCell ref="G40:H40"/>
    <mergeCell ref="I40:J40"/>
    <mergeCell ref="L40:M40"/>
    <mergeCell ref="A39:B40"/>
    <mergeCell ref="C39:D39"/>
    <mergeCell ref="E39:E40"/>
    <mergeCell ref="G39:H39"/>
    <mergeCell ref="I39:J39"/>
    <mergeCell ref="K39:K40"/>
    <mergeCell ref="L37:M37"/>
    <mergeCell ref="N37:N38"/>
    <mergeCell ref="O37:P38"/>
    <mergeCell ref="Q37:R38"/>
    <mergeCell ref="C38:D38"/>
    <mergeCell ref="G38:H38"/>
    <mergeCell ref="I38:J38"/>
    <mergeCell ref="L38:M38"/>
    <mergeCell ref="A37:B38"/>
    <mergeCell ref="C37:D37"/>
    <mergeCell ref="E37:E38"/>
    <mergeCell ref="G37:H37"/>
    <mergeCell ref="I37:J37"/>
    <mergeCell ref="K37:K38"/>
    <mergeCell ref="L35:M35"/>
    <mergeCell ref="N35:N36"/>
    <mergeCell ref="O35:P36"/>
    <mergeCell ref="Q35:R36"/>
    <mergeCell ref="C36:D36"/>
    <mergeCell ref="G36:H36"/>
    <mergeCell ref="I36:J36"/>
    <mergeCell ref="L36:M36"/>
    <mergeCell ref="A35:B36"/>
    <mergeCell ref="C35:D35"/>
    <mergeCell ref="E35:E36"/>
    <mergeCell ref="G35:H35"/>
    <mergeCell ref="I35:J35"/>
    <mergeCell ref="K35:K36"/>
    <mergeCell ref="L33:M33"/>
    <mergeCell ref="N33:N34"/>
    <mergeCell ref="O33:P34"/>
    <mergeCell ref="Q33:R34"/>
    <mergeCell ref="C34:D34"/>
    <mergeCell ref="G34:H34"/>
    <mergeCell ref="I34:J34"/>
    <mergeCell ref="L34:M34"/>
    <mergeCell ref="A33:B34"/>
    <mergeCell ref="C33:D33"/>
    <mergeCell ref="E33:E34"/>
    <mergeCell ref="G33:H33"/>
    <mergeCell ref="I33:J33"/>
    <mergeCell ref="K33:K34"/>
    <mergeCell ref="L30:M30"/>
    <mergeCell ref="N30:N31"/>
    <mergeCell ref="O30:P31"/>
    <mergeCell ref="Q30:R31"/>
    <mergeCell ref="C31:D31"/>
    <mergeCell ref="G31:H31"/>
    <mergeCell ref="I31:J31"/>
    <mergeCell ref="L31:M31"/>
    <mergeCell ref="A30:B31"/>
    <mergeCell ref="C30:D30"/>
    <mergeCell ref="E30:E31"/>
    <mergeCell ref="G30:H30"/>
    <mergeCell ref="I30:J30"/>
    <mergeCell ref="K30:K31"/>
    <mergeCell ref="L28:M28"/>
    <mergeCell ref="N28:N29"/>
    <mergeCell ref="O28:P29"/>
    <mergeCell ref="Q28:R29"/>
    <mergeCell ref="C29:D29"/>
    <mergeCell ref="G29:H29"/>
    <mergeCell ref="I29:J29"/>
    <mergeCell ref="L29:M29"/>
    <mergeCell ref="A28:B29"/>
    <mergeCell ref="C28:D28"/>
    <mergeCell ref="E28:E29"/>
    <mergeCell ref="G28:H28"/>
    <mergeCell ref="I28:J28"/>
    <mergeCell ref="K28:K29"/>
    <mergeCell ref="Q26:R27"/>
    <mergeCell ref="C27:D27"/>
    <mergeCell ref="G27:H27"/>
    <mergeCell ref="I27:J27"/>
    <mergeCell ref="L27:M27"/>
    <mergeCell ref="A26:B27"/>
    <mergeCell ref="C26:D26"/>
    <mergeCell ref="E26:E27"/>
    <mergeCell ref="G26:H26"/>
    <mergeCell ref="I26:J26"/>
    <mergeCell ref="K26:K27"/>
    <mergeCell ref="A24:B25"/>
    <mergeCell ref="C24:D24"/>
    <mergeCell ref="E24:E25"/>
    <mergeCell ref="G24:H24"/>
    <mergeCell ref="I24:J24"/>
    <mergeCell ref="K24:K25"/>
    <mergeCell ref="L26:M26"/>
    <mergeCell ref="N26:N27"/>
    <mergeCell ref="O26:P27"/>
    <mergeCell ref="Q22:R23"/>
    <mergeCell ref="C23:D23"/>
    <mergeCell ref="G23:H23"/>
    <mergeCell ref="I23:J23"/>
    <mergeCell ref="L23:M23"/>
    <mergeCell ref="L24:M24"/>
    <mergeCell ref="N24:N25"/>
    <mergeCell ref="O24:P25"/>
    <mergeCell ref="Q24:R25"/>
    <mergeCell ref="C25:D25"/>
    <mergeCell ref="G25:H25"/>
    <mergeCell ref="I25:J25"/>
    <mergeCell ref="L25:M25"/>
    <mergeCell ref="A22:B23"/>
    <mergeCell ref="C22:D22"/>
    <mergeCell ref="E22:E23"/>
    <mergeCell ref="G22:H22"/>
    <mergeCell ref="I22:J22"/>
    <mergeCell ref="A13:R13"/>
    <mergeCell ref="A20:B21"/>
    <mergeCell ref="C20:D20"/>
    <mergeCell ref="E20:E21"/>
    <mergeCell ref="G20:H20"/>
    <mergeCell ref="I20:J20"/>
    <mergeCell ref="K20:K21"/>
    <mergeCell ref="L20:M20"/>
    <mergeCell ref="N20:N21"/>
    <mergeCell ref="O20:P21"/>
    <mergeCell ref="Q20:R21"/>
    <mergeCell ref="C21:D21"/>
    <mergeCell ref="G21:H21"/>
    <mergeCell ref="I21:J21"/>
    <mergeCell ref="L21:M21"/>
    <mergeCell ref="K22:K23"/>
    <mergeCell ref="L22:M22"/>
    <mergeCell ref="N22:N23"/>
    <mergeCell ref="O22:P23"/>
    <mergeCell ref="L12:M12"/>
    <mergeCell ref="L7:N7"/>
    <mergeCell ref="O7:R7"/>
    <mergeCell ref="G8:R8"/>
    <mergeCell ref="G9:R9"/>
    <mergeCell ref="A11:B12"/>
    <mergeCell ref="C11:D11"/>
    <mergeCell ref="E11:E12"/>
    <mergeCell ref="G11:H11"/>
    <mergeCell ref="I11:J11"/>
    <mergeCell ref="K18:K19"/>
    <mergeCell ref="L18:M18"/>
    <mergeCell ref="N18:N19"/>
    <mergeCell ref="O18:P19"/>
    <mergeCell ref="Q18:R19"/>
    <mergeCell ref="L19:M19"/>
    <mergeCell ref="K11:K12"/>
    <mergeCell ref="A1:F9"/>
    <mergeCell ref="G1:N2"/>
    <mergeCell ref="O1:Q1"/>
    <mergeCell ref="O2:Q2"/>
    <mergeCell ref="G3:N3"/>
    <mergeCell ref="O3:Q3"/>
    <mergeCell ref="G4:N4"/>
    <mergeCell ref="O4:Q4"/>
    <mergeCell ref="O6:R6"/>
    <mergeCell ref="G7:K7"/>
    <mergeCell ref="L11:M11"/>
    <mergeCell ref="N11:N12"/>
    <mergeCell ref="O11:P12"/>
    <mergeCell ref="Q11:R12"/>
    <mergeCell ref="C12:D12"/>
    <mergeCell ref="G12:H12"/>
    <mergeCell ref="I12:J12"/>
    <mergeCell ref="A18:B19"/>
    <mergeCell ref="C18:D18"/>
    <mergeCell ref="E18:E19"/>
    <mergeCell ref="G18:H18"/>
    <mergeCell ref="I18:J18"/>
    <mergeCell ref="C19:D19"/>
    <mergeCell ref="G19:H19"/>
    <mergeCell ref="I19:J19"/>
    <mergeCell ref="A14:B15"/>
    <mergeCell ref="C14:D14"/>
    <mergeCell ref="E14:E15"/>
    <mergeCell ref="G14:H14"/>
    <mergeCell ref="I14:J14"/>
    <mergeCell ref="A16:B17"/>
    <mergeCell ref="C16:D16"/>
    <mergeCell ref="E16:E17"/>
    <mergeCell ref="G16:H16"/>
    <mergeCell ref="I16:J16"/>
    <mergeCell ref="K14:K15"/>
    <mergeCell ref="L14:M14"/>
    <mergeCell ref="N14:N15"/>
    <mergeCell ref="O14:P15"/>
    <mergeCell ref="Q14:R15"/>
    <mergeCell ref="C15:D15"/>
    <mergeCell ref="G15:H15"/>
    <mergeCell ref="I15:J15"/>
    <mergeCell ref="L15:M15"/>
    <mergeCell ref="K16:K17"/>
    <mergeCell ref="L16:M16"/>
    <mergeCell ref="N16:N17"/>
    <mergeCell ref="O16:P17"/>
    <mergeCell ref="Q16:R17"/>
    <mergeCell ref="C17:D17"/>
    <mergeCell ref="G17:H17"/>
    <mergeCell ref="I17:J17"/>
    <mergeCell ref="L17:M17"/>
  </mergeCells>
  <printOptions horizontalCentered="1"/>
  <pageMargins left="0.7" right="0.7" top="0.75" bottom="0.75" header="0.3" footer="0.3"/>
  <pageSetup paperSize="9" scale="46" fitToHeight="0" orientation="landscape" r:id="rId1"/>
  <headerFooter alignWithMargins="0">
    <oddHeader xml:space="preserve">&amp;R
          </oddHeader>
    <oddFooter xml:space="preserve">&amp;R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2F95-59A5-4057-8EBF-B62FA48F5605}">
  <sheetPr>
    <pageSetUpPr fitToPage="1"/>
  </sheetPr>
  <dimension ref="A1:R130"/>
  <sheetViews>
    <sheetView showGridLines="0" view="pageBreakPreview" topLeftCell="A10" zoomScaleNormal="55" zoomScaleSheetLayoutView="100" zoomScalePageLayoutView="55" workbookViewId="0">
      <selection activeCell="X52" sqref="X52"/>
    </sheetView>
  </sheetViews>
  <sheetFormatPr defaultRowHeight="12.75" x14ac:dyDescent="0.2"/>
  <cols>
    <col min="1" max="1" width="7.7109375" style="5" customWidth="1"/>
    <col min="2" max="2" width="9.85546875" style="5" customWidth="1"/>
    <col min="3" max="3" width="13.85546875" customWidth="1"/>
    <col min="4" max="4" width="25" bestFit="1" customWidth="1"/>
    <col min="5" max="5" width="28.5703125" bestFit="1" customWidth="1"/>
    <col min="6" max="6" width="8.5703125" customWidth="1"/>
    <col min="7" max="7" width="7.7109375" customWidth="1"/>
    <col min="8" max="8" width="8.42578125" customWidth="1"/>
    <col min="9" max="9" width="6.85546875" customWidth="1"/>
    <col min="10" max="10" width="8.5703125" customWidth="1"/>
    <col min="11" max="11" width="15.7109375" customWidth="1"/>
    <col min="12" max="12" width="14.28515625" customWidth="1"/>
    <col min="13" max="13" width="16" customWidth="1"/>
    <col min="14" max="14" width="30" customWidth="1"/>
    <col min="15" max="15" width="37.28515625" customWidth="1"/>
    <col min="16" max="16" width="27" customWidth="1"/>
    <col min="17" max="17" width="12.85546875" customWidth="1"/>
    <col min="18" max="18" width="13.28515625" customWidth="1"/>
  </cols>
  <sheetData>
    <row r="1" spans="1:18" s="2" customFormat="1" ht="15" customHeight="1" x14ac:dyDescent="0.2">
      <c r="A1" s="213"/>
      <c r="B1" s="214"/>
      <c r="C1" s="214"/>
      <c r="D1" s="214"/>
      <c r="E1" s="214"/>
      <c r="F1" s="215"/>
      <c r="G1" s="234" t="s">
        <v>242</v>
      </c>
      <c r="H1" s="235"/>
      <c r="I1" s="235"/>
      <c r="J1" s="235"/>
      <c r="K1" s="235"/>
      <c r="L1" s="235"/>
      <c r="M1" s="235"/>
      <c r="N1" s="235"/>
      <c r="O1" s="233" t="s">
        <v>209</v>
      </c>
      <c r="P1" s="224"/>
      <c r="Q1" s="225"/>
      <c r="R1" s="90" t="s">
        <v>30</v>
      </c>
    </row>
    <row r="2" spans="1:18" s="2" customFormat="1" ht="13.5" customHeight="1" x14ac:dyDescent="0.2">
      <c r="A2" s="216"/>
      <c r="B2" s="217"/>
      <c r="C2" s="217"/>
      <c r="D2" s="217"/>
      <c r="E2" s="217"/>
      <c r="F2" s="218"/>
      <c r="G2" s="236"/>
      <c r="H2" s="237"/>
      <c r="I2" s="237"/>
      <c r="J2" s="237"/>
      <c r="K2" s="237"/>
      <c r="L2" s="237"/>
      <c r="M2" s="237"/>
      <c r="N2" s="237"/>
      <c r="O2" s="238" t="str">
        <f>CAPA!Y2</f>
        <v>BK-SP08-02000-LC-79-00001</v>
      </c>
      <c r="P2" s="229"/>
      <c r="Q2" s="230"/>
      <c r="R2" s="91">
        <f>CAPA!AG2</f>
        <v>1</v>
      </c>
    </row>
    <row r="3" spans="1:18" s="2" customFormat="1" ht="12" customHeight="1" x14ac:dyDescent="0.2">
      <c r="A3" s="216"/>
      <c r="B3" s="217"/>
      <c r="C3" s="217"/>
      <c r="D3" s="217"/>
      <c r="E3" s="217"/>
      <c r="F3" s="218"/>
      <c r="G3" s="239" t="s">
        <v>206</v>
      </c>
      <c r="H3" s="240"/>
      <c r="I3" s="240"/>
      <c r="J3" s="240"/>
      <c r="K3" s="240"/>
      <c r="L3" s="240"/>
      <c r="M3" s="240"/>
      <c r="N3" s="241"/>
      <c r="O3" s="233" t="s">
        <v>207</v>
      </c>
      <c r="P3" s="224"/>
      <c r="Q3" s="225"/>
      <c r="R3" s="92" t="s">
        <v>208</v>
      </c>
    </row>
    <row r="4" spans="1:18" s="2" customFormat="1" ht="18" customHeight="1" x14ac:dyDescent="0.2">
      <c r="A4" s="216"/>
      <c r="B4" s="217"/>
      <c r="C4" s="217"/>
      <c r="D4" s="217"/>
      <c r="E4" s="217"/>
      <c r="F4" s="218"/>
      <c r="G4" s="232" t="s">
        <v>235</v>
      </c>
      <c r="H4" s="222"/>
      <c r="I4" s="222"/>
      <c r="J4" s="222"/>
      <c r="K4" s="222"/>
      <c r="L4" s="222"/>
      <c r="M4" s="222"/>
      <c r="N4" s="223"/>
      <c r="O4" s="232" t="s">
        <v>288</v>
      </c>
      <c r="P4" s="222"/>
      <c r="Q4" s="223"/>
      <c r="R4" s="93" t="s">
        <v>281</v>
      </c>
    </row>
    <row r="5" spans="1:18" ht="3.75" customHeight="1" x14ac:dyDescent="0.2">
      <c r="A5" s="216"/>
      <c r="B5" s="217"/>
      <c r="C5" s="217"/>
      <c r="D5" s="217"/>
      <c r="E5" s="217"/>
      <c r="F5" s="218"/>
      <c r="G5" s="73"/>
      <c r="H5" s="73"/>
      <c r="I5" s="73"/>
      <c r="J5" s="73"/>
      <c r="K5" s="73"/>
      <c r="L5" s="72"/>
      <c r="M5" s="73"/>
      <c r="N5" s="73"/>
      <c r="O5" s="72"/>
      <c r="P5" s="73"/>
      <c r="Q5" s="73"/>
      <c r="R5" s="23"/>
    </row>
    <row r="6" spans="1:18" ht="12" customHeight="1" x14ac:dyDescent="0.2">
      <c r="A6" s="216"/>
      <c r="B6" s="217"/>
      <c r="C6" s="217"/>
      <c r="D6" s="217"/>
      <c r="E6" s="217"/>
      <c r="F6" s="218"/>
      <c r="G6" s="94" t="s">
        <v>239</v>
      </c>
      <c r="H6" s="94"/>
      <c r="I6" s="94"/>
      <c r="J6" s="94"/>
      <c r="K6" s="94"/>
      <c r="L6" s="74" t="s">
        <v>240</v>
      </c>
      <c r="M6" s="94"/>
      <c r="N6" s="94"/>
      <c r="O6" s="210" t="s">
        <v>241</v>
      </c>
      <c r="P6" s="211"/>
      <c r="Q6" s="211"/>
      <c r="R6" s="212"/>
    </row>
    <row r="7" spans="1:18" ht="18" customHeight="1" x14ac:dyDescent="0.2">
      <c r="A7" s="216"/>
      <c r="B7" s="217"/>
      <c r="C7" s="217"/>
      <c r="D7" s="217"/>
      <c r="E7" s="217"/>
      <c r="F7" s="218"/>
      <c r="G7" s="229" t="s">
        <v>237</v>
      </c>
      <c r="H7" s="229"/>
      <c r="I7" s="229"/>
      <c r="J7" s="229"/>
      <c r="K7" s="230"/>
      <c r="L7" s="231" t="s">
        <v>233</v>
      </c>
      <c r="M7" s="227"/>
      <c r="N7" s="228"/>
      <c r="O7" s="226" t="s">
        <v>234</v>
      </c>
      <c r="P7" s="227"/>
      <c r="Q7" s="227"/>
      <c r="R7" s="228"/>
    </row>
    <row r="8" spans="1:18" ht="12" customHeight="1" x14ac:dyDescent="0.2">
      <c r="A8" s="216"/>
      <c r="B8" s="217"/>
      <c r="C8" s="217"/>
      <c r="D8" s="217"/>
      <c r="E8" s="217"/>
      <c r="F8" s="218"/>
      <c r="G8" s="211" t="s">
        <v>212</v>
      </c>
      <c r="H8" s="211"/>
      <c r="I8" s="211"/>
      <c r="J8" s="211"/>
      <c r="K8" s="211"/>
      <c r="L8" s="224"/>
      <c r="M8" s="224"/>
      <c r="N8" s="224"/>
      <c r="O8" s="224"/>
      <c r="P8" s="224"/>
      <c r="Q8" s="224"/>
      <c r="R8" s="225"/>
    </row>
    <row r="9" spans="1:18" ht="21.75" customHeight="1" x14ac:dyDescent="0.2">
      <c r="A9" s="219"/>
      <c r="B9" s="220"/>
      <c r="C9" s="220"/>
      <c r="D9" s="220"/>
      <c r="E9" s="220"/>
      <c r="F9" s="221"/>
      <c r="G9" s="222" t="s">
        <v>238</v>
      </c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3"/>
    </row>
    <row r="10" spans="1:18" ht="3.75" customHeight="1" x14ac:dyDescent="0.2">
      <c r="A10" s="86"/>
      <c r="B10" s="87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9"/>
    </row>
    <row r="11" spans="1:18" s="45" customFormat="1" ht="29.45" customHeight="1" x14ac:dyDescent="0.2">
      <c r="A11" s="246" t="s">
        <v>243</v>
      </c>
      <c r="B11" s="246"/>
      <c r="C11" s="245" t="s">
        <v>244</v>
      </c>
      <c r="D11" s="245"/>
      <c r="E11" s="245" t="s">
        <v>245</v>
      </c>
      <c r="F11" s="76" t="s">
        <v>246</v>
      </c>
      <c r="G11" s="245" t="s">
        <v>247</v>
      </c>
      <c r="H11" s="245"/>
      <c r="I11" s="245" t="s">
        <v>248</v>
      </c>
      <c r="J11" s="245"/>
      <c r="K11" s="245" t="s">
        <v>249</v>
      </c>
      <c r="L11" s="245" t="s">
        <v>256</v>
      </c>
      <c r="M11" s="245"/>
      <c r="N11" s="245" t="s">
        <v>250</v>
      </c>
      <c r="O11" s="245" t="s">
        <v>251</v>
      </c>
      <c r="P11" s="245"/>
      <c r="Q11" s="245" t="s">
        <v>408</v>
      </c>
      <c r="R11" s="245"/>
    </row>
    <row r="12" spans="1:18" s="45" customFormat="1" ht="29.45" customHeight="1" x14ac:dyDescent="0.2">
      <c r="A12" s="246"/>
      <c r="B12" s="246"/>
      <c r="C12" s="245" t="s">
        <v>336</v>
      </c>
      <c r="D12" s="245"/>
      <c r="E12" s="245"/>
      <c r="F12" s="77" t="s">
        <v>252</v>
      </c>
      <c r="G12" s="245" t="s">
        <v>253</v>
      </c>
      <c r="H12" s="245"/>
      <c r="I12" s="245" t="s">
        <v>254</v>
      </c>
      <c r="J12" s="245"/>
      <c r="K12" s="245"/>
      <c r="L12" s="245" t="s">
        <v>257</v>
      </c>
      <c r="M12" s="245"/>
      <c r="N12" s="245"/>
      <c r="O12" s="245"/>
      <c r="P12" s="245"/>
      <c r="Q12" s="245"/>
      <c r="R12" s="245"/>
    </row>
    <row r="13" spans="1:18" s="45" customFormat="1" ht="15.95" customHeight="1" x14ac:dyDescent="0.2">
      <c r="A13" s="252" t="s">
        <v>270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18" s="79" customFormat="1" ht="29.45" customHeight="1" x14ac:dyDescent="0.2">
      <c r="A14" s="247" t="s">
        <v>586</v>
      </c>
      <c r="B14" s="247"/>
      <c r="C14" s="248" t="s">
        <v>306</v>
      </c>
      <c r="D14" s="248"/>
      <c r="E14" s="253" t="s">
        <v>285</v>
      </c>
      <c r="F14" s="96">
        <v>55</v>
      </c>
      <c r="G14" s="242" t="s">
        <v>266</v>
      </c>
      <c r="H14" s="242"/>
      <c r="I14" s="242" t="s">
        <v>49</v>
      </c>
      <c r="J14" s="242"/>
      <c r="K14" s="249" t="s">
        <v>460</v>
      </c>
      <c r="L14" s="249">
        <v>578</v>
      </c>
      <c r="M14" s="250"/>
      <c r="N14" s="251" t="s">
        <v>269</v>
      </c>
      <c r="O14" s="253" t="s">
        <v>394</v>
      </c>
      <c r="P14" s="253"/>
      <c r="Q14" s="243" t="s">
        <v>439</v>
      </c>
      <c r="R14" s="244"/>
    </row>
    <row r="15" spans="1:18" s="79" customFormat="1" ht="27" customHeight="1" x14ac:dyDescent="0.2">
      <c r="A15" s="247"/>
      <c r="B15" s="247"/>
      <c r="C15" s="248" t="s">
        <v>365</v>
      </c>
      <c r="D15" s="248"/>
      <c r="E15" s="253"/>
      <c r="F15" s="78" t="s">
        <v>255</v>
      </c>
      <c r="G15" s="242" t="s">
        <v>260</v>
      </c>
      <c r="H15" s="242"/>
      <c r="I15" s="242" t="s">
        <v>1</v>
      </c>
      <c r="J15" s="242"/>
      <c r="K15" s="249"/>
      <c r="L15" s="249">
        <f>F14</f>
        <v>55</v>
      </c>
      <c r="M15" s="250"/>
      <c r="N15" s="251"/>
      <c r="O15" s="253"/>
      <c r="P15" s="253"/>
      <c r="Q15" s="244"/>
      <c r="R15" s="244"/>
    </row>
    <row r="16" spans="1:18" s="79" customFormat="1" ht="29.45" customHeight="1" x14ac:dyDescent="0.2">
      <c r="A16" s="247" t="s">
        <v>587</v>
      </c>
      <c r="B16" s="247"/>
      <c r="C16" s="248" t="s">
        <v>306</v>
      </c>
      <c r="D16" s="248"/>
      <c r="E16" s="253" t="s">
        <v>285</v>
      </c>
      <c r="F16" s="96">
        <v>58</v>
      </c>
      <c r="G16" s="242" t="s">
        <v>266</v>
      </c>
      <c r="H16" s="242"/>
      <c r="I16" s="242" t="s">
        <v>49</v>
      </c>
      <c r="J16" s="242"/>
      <c r="K16" s="249" t="s">
        <v>460</v>
      </c>
      <c r="L16" s="249">
        <v>578</v>
      </c>
      <c r="M16" s="250"/>
      <c r="N16" s="251" t="s">
        <v>269</v>
      </c>
      <c r="O16" s="253" t="s">
        <v>394</v>
      </c>
      <c r="P16" s="253"/>
      <c r="Q16" s="243" t="s">
        <v>440</v>
      </c>
      <c r="R16" s="244"/>
    </row>
    <row r="17" spans="1:18" s="79" customFormat="1" ht="27" customHeight="1" x14ac:dyDescent="0.2">
      <c r="A17" s="247"/>
      <c r="B17" s="247"/>
      <c r="C17" s="248" t="s">
        <v>366</v>
      </c>
      <c r="D17" s="248"/>
      <c r="E17" s="253"/>
      <c r="F17" s="78" t="s">
        <v>255</v>
      </c>
      <c r="G17" s="242" t="s">
        <v>260</v>
      </c>
      <c r="H17" s="242"/>
      <c r="I17" s="242" t="s">
        <v>1</v>
      </c>
      <c r="J17" s="242"/>
      <c r="K17" s="249"/>
      <c r="L17" s="249">
        <f>F16</f>
        <v>58</v>
      </c>
      <c r="M17" s="250"/>
      <c r="N17" s="251"/>
      <c r="O17" s="253"/>
      <c r="P17" s="253"/>
      <c r="Q17" s="244"/>
      <c r="R17" s="244"/>
    </row>
    <row r="18" spans="1:18" s="79" customFormat="1" ht="29.45" customHeight="1" x14ac:dyDescent="0.2">
      <c r="A18" s="247" t="s">
        <v>588</v>
      </c>
      <c r="B18" s="247"/>
      <c r="C18" s="248" t="s">
        <v>306</v>
      </c>
      <c r="D18" s="248"/>
      <c r="E18" s="253" t="s">
        <v>285</v>
      </c>
      <c r="F18" s="96">
        <v>58</v>
      </c>
      <c r="G18" s="242" t="s">
        <v>266</v>
      </c>
      <c r="H18" s="242"/>
      <c r="I18" s="242" t="s">
        <v>49</v>
      </c>
      <c r="J18" s="242"/>
      <c r="K18" s="249" t="s">
        <v>460</v>
      </c>
      <c r="L18" s="249">
        <v>578</v>
      </c>
      <c r="M18" s="250"/>
      <c r="N18" s="251" t="s">
        <v>269</v>
      </c>
      <c r="O18" s="253" t="s">
        <v>394</v>
      </c>
      <c r="P18" s="253"/>
      <c r="Q18" s="243" t="s">
        <v>441</v>
      </c>
      <c r="R18" s="244"/>
    </row>
    <row r="19" spans="1:18" s="79" customFormat="1" ht="27" customHeight="1" x14ac:dyDescent="0.2">
      <c r="A19" s="247"/>
      <c r="B19" s="247"/>
      <c r="C19" s="248" t="s">
        <v>367</v>
      </c>
      <c r="D19" s="248"/>
      <c r="E19" s="253"/>
      <c r="F19" s="78" t="s">
        <v>255</v>
      </c>
      <c r="G19" s="242" t="s">
        <v>260</v>
      </c>
      <c r="H19" s="242"/>
      <c r="I19" s="242" t="s">
        <v>1</v>
      </c>
      <c r="J19" s="242"/>
      <c r="K19" s="249"/>
      <c r="L19" s="249">
        <f>F18</f>
        <v>58</v>
      </c>
      <c r="M19" s="250"/>
      <c r="N19" s="251"/>
      <c r="O19" s="253"/>
      <c r="P19" s="253"/>
      <c r="Q19" s="244"/>
      <c r="R19" s="244"/>
    </row>
    <row r="20" spans="1:18" s="79" customFormat="1" ht="29.45" customHeight="1" x14ac:dyDescent="0.2">
      <c r="A20" s="247" t="s">
        <v>589</v>
      </c>
      <c r="B20" s="247"/>
      <c r="C20" s="248" t="s">
        <v>306</v>
      </c>
      <c r="D20" s="248"/>
      <c r="E20" s="253" t="s">
        <v>285</v>
      </c>
      <c r="F20" s="96">
        <v>71</v>
      </c>
      <c r="G20" s="242" t="s">
        <v>266</v>
      </c>
      <c r="H20" s="242"/>
      <c r="I20" s="242" t="s">
        <v>49</v>
      </c>
      <c r="J20" s="242"/>
      <c r="K20" s="249" t="s">
        <v>461</v>
      </c>
      <c r="L20" s="249">
        <v>555</v>
      </c>
      <c r="M20" s="250"/>
      <c r="N20" s="251" t="s">
        <v>269</v>
      </c>
      <c r="O20" s="253" t="s">
        <v>394</v>
      </c>
      <c r="P20" s="253"/>
      <c r="Q20" s="243" t="s">
        <v>442</v>
      </c>
      <c r="R20" s="244"/>
    </row>
    <row r="21" spans="1:18" s="79" customFormat="1" ht="27" customHeight="1" x14ac:dyDescent="0.2">
      <c r="A21" s="247"/>
      <c r="B21" s="247"/>
      <c r="C21" s="248" t="s">
        <v>368</v>
      </c>
      <c r="D21" s="248"/>
      <c r="E21" s="253"/>
      <c r="F21" s="78" t="s">
        <v>255</v>
      </c>
      <c r="G21" s="242" t="s">
        <v>260</v>
      </c>
      <c r="H21" s="242"/>
      <c r="I21" s="242" t="s">
        <v>1</v>
      </c>
      <c r="J21" s="242"/>
      <c r="K21" s="249"/>
      <c r="L21" s="249">
        <f>F20</f>
        <v>71</v>
      </c>
      <c r="M21" s="250"/>
      <c r="N21" s="251"/>
      <c r="O21" s="253"/>
      <c r="P21" s="253"/>
      <c r="Q21" s="244"/>
      <c r="R21" s="244"/>
    </row>
    <row r="22" spans="1:18" s="79" customFormat="1" ht="30" customHeight="1" x14ac:dyDescent="0.2">
      <c r="A22" s="247" t="s">
        <v>590</v>
      </c>
      <c r="B22" s="247"/>
      <c r="C22" s="248" t="s">
        <v>306</v>
      </c>
      <c r="D22" s="248"/>
      <c r="E22" s="253" t="s">
        <v>285</v>
      </c>
      <c r="F22" s="96">
        <v>71</v>
      </c>
      <c r="G22" s="242" t="s">
        <v>266</v>
      </c>
      <c r="H22" s="242"/>
      <c r="I22" s="242" t="s">
        <v>49</v>
      </c>
      <c r="J22" s="242"/>
      <c r="K22" s="249" t="s">
        <v>461</v>
      </c>
      <c r="L22" s="249">
        <v>555</v>
      </c>
      <c r="M22" s="250"/>
      <c r="N22" s="251" t="s">
        <v>269</v>
      </c>
      <c r="O22" s="253" t="s">
        <v>394</v>
      </c>
      <c r="P22" s="253"/>
      <c r="Q22" s="243" t="s">
        <v>443</v>
      </c>
      <c r="R22" s="244"/>
    </row>
    <row r="23" spans="1:18" s="79" customFormat="1" ht="30" customHeight="1" x14ac:dyDescent="0.2">
      <c r="A23" s="247"/>
      <c r="B23" s="247"/>
      <c r="C23" s="248" t="s">
        <v>369</v>
      </c>
      <c r="D23" s="248"/>
      <c r="E23" s="253"/>
      <c r="F23" s="78" t="s">
        <v>255</v>
      </c>
      <c r="G23" s="242" t="s">
        <v>260</v>
      </c>
      <c r="H23" s="242"/>
      <c r="I23" s="242" t="s">
        <v>1</v>
      </c>
      <c r="J23" s="242"/>
      <c r="K23" s="249"/>
      <c r="L23" s="249">
        <f>F22</f>
        <v>71</v>
      </c>
      <c r="M23" s="250"/>
      <c r="N23" s="251"/>
      <c r="O23" s="253"/>
      <c r="P23" s="253"/>
      <c r="Q23" s="244"/>
      <c r="R23" s="244"/>
    </row>
    <row r="24" spans="1:18" s="79" customFormat="1" ht="27" customHeight="1" x14ac:dyDescent="0.2">
      <c r="A24" s="247" t="s">
        <v>591</v>
      </c>
      <c r="B24" s="247"/>
      <c r="C24" s="248" t="s">
        <v>306</v>
      </c>
      <c r="D24" s="248"/>
      <c r="E24" s="253" t="s">
        <v>285</v>
      </c>
      <c r="F24" s="96">
        <v>48</v>
      </c>
      <c r="G24" s="242" t="s">
        <v>266</v>
      </c>
      <c r="H24" s="242"/>
      <c r="I24" s="242" t="s">
        <v>49</v>
      </c>
      <c r="J24" s="242"/>
      <c r="K24" s="249" t="s">
        <v>461</v>
      </c>
      <c r="L24" s="249">
        <v>555</v>
      </c>
      <c r="M24" s="250"/>
      <c r="N24" s="251" t="s">
        <v>284</v>
      </c>
      <c r="O24" s="253" t="s">
        <v>394</v>
      </c>
      <c r="P24" s="253"/>
      <c r="Q24" s="243" t="s">
        <v>444</v>
      </c>
      <c r="R24" s="244"/>
    </row>
    <row r="25" spans="1:18" s="79" customFormat="1" ht="27" customHeight="1" x14ac:dyDescent="0.2">
      <c r="A25" s="247"/>
      <c r="B25" s="247"/>
      <c r="C25" s="248" t="s">
        <v>370</v>
      </c>
      <c r="D25" s="248"/>
      <c r="E25" s="253"/>
      <c r="F25" s="78" t="s">
        <v>255</v>
      </c>
      <c r="G25" s="242" t="s">
        <v>260</v>
      </c>
      <c r="H25" s="242"/>
      <c r="I25" s="242" t="s">
        <v>1</v>
      </c>
      <c r="J25" s="242"/>
      <c r="K25" s="249"/>
      <c r="L25" s="249">
        <f>F24</f>
        <v>48</v>
      </c>
      <c r="M25" s="250"/>
      <c r="N25" s="251"/>
      <c r="O25" s="253"/>
      <c r="P25" s="253"/>
      <c r="Q25" s="244"/>
      <c r="R25" s="244"/>
    </row>
    <row r="26" spans="1:18" s="79" customFormat="1" ht="27" customHeight="1" x14ac:dyDescent="0.2">
      <c r="A26" s="247" t="s">
        <v>592</v>
      </c>
      <c r="B26" s="247"/>
      <c r="C26" s="248" t="s">
        <v>306</v>
      </c>
      <c r="D26" s="248"/>
      <c r="E26" s="253" t="s">
        <v>285</v>
      </c>
      <c r="F26" s="96">
        <v>48</v>
      </c>
      <c r="G26" s="242" t="s">
        <v>266</v>
      </c>
      <c r="H26" s="242"/>
      <c r="I26" s="242" t="s">
        <v>49</v>
      </c>
      <c r="J26" s="242"/>
      <c r="K26" s="249" t="s">
        <v>461</v>
      </c>
      <c r="L26" s="249">
        <v>555</v>
      </c>
      <c r="M26" s="250"/>
      <c r="N26" s="251" t="s">
        <v>284</v>
      </c>
      <c r="O26" s="253" t="s">
        <v>394</v>
      </c>
      <c r="P26" s="253"/>
      <c r="Q26" s="243" t="s">
        <v>445</v>
      </c>
      <c r="R26" s="244"/>
    </row>
    <row r="27" spans="1:18" s="79" customFormat="1" ht="27" customHeight="1" x14ac:dyDescent="0.2">
      <c r="A27" s="247"/>
      <c r="B27" s="247"/>
      <c r="C27" s="248" t="s">
        <v>371</v>
      </c>
      <c r="D27" s="248"/>
      <c r="E27" s="253"/>
      <c r="F27" s="78" t="s">
        <v>255</v>
      </c>
      <c r="G27" s="242" t="s">
        <v>260</v>
      </c>
      <c r="H27" s="242"/>
      <c r="I27" s="242" t="s">
        <v>1</v>
      </c>
      <c r="J27" s="242"/>
      <c r="K27" s="249"/>
      <c r="L27" s="249">
        <f>F26</f>
        <v>48</v>
      </c>
      <c r="M27" s="250"/>
      <c r="N27" s="251"/>
      <c r="O27" s="253"/>
      <c r="P27" s="253"/>
      <c r="Q27" s="244"/>
      <c r="R27" s="244"/>
    </row>
    <row r="28" spans="1:18" s="79" customFormat="1" ht="27" customHeight="1" x14ac:dyDescent="0.2">
      <c r="A28" s="247" t="s">
        <v>593</v>
      </c>
      <c r="B28" s="247"/>
      <c r="C28" s="248" t="s">
        <v>306</v>
      </c>
      <c r="D28" s="248"/>
      <c r="E28" s="253" t="s">
        <v>285</v>
      </c>
      <c r="F28" s="96">
        <v>60</v>
      </c>
      <c r="G28" s="242" t="s">
        <v>266</v>
      </c>
      <c r="H28" s="242"/>
      <c r="I28" s="242" t="s">
        <v>49</v>
      </c>
      <c r="J28" s="242"/>
      <c r="K28" s="249" t="s">
        <v>461</v>
      </c>
      <c r="L28" s="249">
        <v>555</v>
      </c>
      <c r="M28" s="250"/>
      <c r="N28" s="251" t="s">
        <v>269</v>
      </c>
      <c r="O28" s="253" t="s">
        <v>394</v>
      </c>
      <c r="P28" s="253"/>
      <c r="Q28" s="243" t="s">
        <v>446</v>
      </c>
      <c r="R28" s="244"/>
    </row>
    <row r="29" spans="1:18" s="79" customFormat="1" ht="27" customHeight="1" x14ac:dyDescent="0.2">
      <c r="A29" s="247"/>
      <c r="B29" s="247"/>
      <c r="C29" s="248" t="s">
        <v>372</v>
      </c>
      <c r="D29" s="248"/>
      <c r="E29" s="253"/>
      <c r="F29" s="78" t="s">
        <v>255</v>
      </c>
      <c r="G29" s="242" t="s">
        <v>260</v>
      </c>
      <c r="H29" s="242"/>
      <c r="I29" s="242" t="s">
        <v>1</v>
      </c>
      <c r="J29" s="242"/>
      <c r="K29" s="249"/>
      <c r="L29" s="249">
        <f>F28</f>
        <v>60</v>
      </c>
      <c r="M29" s="250"/>
      <c r="N29" s="251"/>
      <c r="O29" s="253"/>
      <c r="P29" s="253"/>
      <c r="Q29" s="244"/>
      <c r="R29" s="244"/>
    </row>
    <row r="30" spans="1:18" s="79" customFormat="1" ht="27" customHeight="1" x14ac:dyDescent="0.2">
      <c r="A30" s="247" t="s">
        <v>594</v>
      </c>
      <c r="B30" s="247"/>
      <c r="C30" s="248" t="s">
        <v>306</v>
      </c>
      <c r="D30" s="248"/>
      <c r="E30" s="253" t="s">
        <v>285</v>
      </c>
      <c r="F30" s="96">
        <v>60</v>
      </c>
      <c r="G30" s="242" t="s">
        <v>266</v>
      </c>
      <c r="H30" s="242"/>
      <c r="I30" s="242" t="s">
        <v>49</v>
      </c>
      <c r="J30" s="242"/>
      <c r="K30" s="249" t="s">
        <v>461</v>
      </c>
      <c r="L30" s="249">
        <v>555</v>
      </c>
      <c r="M30" s="250"/>
      <c r="N30" s="251" t="s">
        <v>269</v>
      </c>
      <c r="O30" s="253" t="s">
        <v>394</v>
      </c>
      <c r="P30" s="253"/>
      <c r="Q30" s="243" t="s">
        <v>447</v>
      </c>
      <c r="R30" s="244"/>
    </row>
    <row r="31" spans="1:18" s="79" customFormat="1" ht="27" customHeight="1" x14ac:dyDescent="0.2">
      <c r="A31" s="247"/>
      <c r="B31" s="247"/>
      <c r="C31" s="248" t="s">
        <v>373</v>
      </c>
      <c r="D31" s="248"/>
      <c r="E31" s="253"/>
      <c r="F31" s="78" t="s">
        <v>255</v>
      </c>
      <c r="G31" s="242" t="s">
        <v>260</v>
      </c>
      <c r="H31" s="242"/>
      <c r="I31" s="242" t="s">
        <v>1</v>
      </c>
      <c r="J31" s="242"/>
      <c r="K31" s="249"/>
      <c r="L31" s="249">
        <f>F30</f>
        <v>60</v>
      </c>
      <c r="M31" s="250"/>
      <c r="N31" s="251"/>
      <c r="O31" s="253"/>
      <c r="P31" s="253"/>
      <c r="Q31" s="244"/>
      <c r="R31" s="244"/>
    </row>
    <row r="32" spans="1:18" s="79" customFormat="1" ht="27" customHeight="1" x14ac:dyDescent="0.2">
      <c r="A32" s="247" t="s">
        <v>595</v>
      </c>
      <c r="B32" s="247"/>
      <c r="C32" s="248" t="s">
        <v>306</v>
      </c>
      <c r="D32" s="248"/>
      <c r="E32" s="253" t="s">
        <v>285</v>
      </c>
      <c r="F32" s="96">
        <v>72</v>
      </c>
      <c r="G32" s="242" t="s">
        <v>266</v>
      </c>
      <c r="H32" s="242"/>
      <c r="I32" s="242" t="s">
        <v>49</v>
      </c>
      <c r="J32" s="242"/>
      <c r="K32" s="249" t="s">
        <v>461</v>
      </c>
      <c r="L32" s="249">
        <v>555</v>
      </c>
      <c r="M32" s="250"/>
      <c r="N32" s="251" t="s">
        <v>273</v>
      </c>
      <c r="O32" s="253" t="s">
        <v>394</v>
      </c>
      <c r="P32" s="253"/>
      <c r="Q32" s="243" t="s">
        <v>448</v>
      </c>
      <c r="R32" s="244"/>
    </row>
    <row r="33" spans="1:18" s="79" customFormat="1" ht="27" customHeight="1" x14ac:dyDescent="0.2">
      <c r="A33" s="247"/>
      <c r="B33" s="247"/>
      <c r="C33" s="248" t="s">
        <v>374</v>
      </c>
      <c r="D33" s="248"/>
      <c r="E33" s="253"/>
      <c r="F33" s="78" t="s">
        <v>255</v>
      </c>
      <c r="G33" s="242" t="s">
        <v>260</v>
      </c>
      <c r="H33" s="242"/>
      <c r="I33" s="242" t="s">
        <v>1</v>
      </c>
      <c r="J33" s="242"/>
      <c r="K33" s="249"/>
      <c r="L33" s="249">
        <f>F32</f>
        <v>72</v>
      </c>
      <c r="M33" s="250"/>
      <c r="N33" s="251"/>
      <c r="O33" s="253"/>
      <c r="P33" s="253"/>
      <c r="Q33" s="244"/>
      <c r="R33" s="244"/>
    </row>
    <row r="34" spans="1:18" s="79" customFormat="1" ht="27" customHeight="1" x14ac:dyDescent="0.2">
      <c r="A34" s="247" t="s">
        <v>596</v>
      </c>
      <c r="B34" s="247"/>
      <c r="C34" s="248" t="s">
        <v>306</v>
      </c>
      <c r="D34" s="248"/>
      <c r="E34" s="253" t="s">
        <v>285</v>
      </c>
      <c r="F34" s="96">
        <v>72</v>
      </c>
      <c r="G34" s="242" t="s">
        <v>266</v>
      </c>
      <c r="H34" s="242"/>
      <c r="I34" s="242" t="s">
        <v>49</v>
      </c>
      <c r="J34" s="242"/>
      <c r="K34" s="249" t="s">
        <v>461</v>
      </c>
      <c r="L34" s="249">
        <v>555</v>
      </c>
      <c r="M34" s="250"/>
      <c r="N34" s="251" t="s">
        <v>273</v>
      </c>
      <c r="O34" s="253" t="s">
        <v>394</v>
      </c>
      <c r="P34" s="253"/>
      <c r="Q34" s="243" t="s">
        <v>449</v>
      </c>
      <c r="R34" s="244"/>
    </row>
    <row r="35" spans="1:18" s="79" customFormat="1" ht="27" customHeight="1" x14ac:dyDescent="0.2">
      <c r="A35" s="247"/>
      <c r="B35" s="247"/>
      <c r="C35" s="248" t="s">
        <v>375</v>
      </c>
      <c r="D35" s="248"/>
      <c r="E35" s="253"/>
      <c r="F35" s="78" t="s">
        <v>255</v>
      </c>
      <c r="G35" s="242" t="s">
        <v>260</v>
      </c>
      <c r="H35" s="242"/>
      <c r="I35" s="242" t="s">
        <v>1</v>
      </c>
      <c r="J35" s="242"/>
      <c r="K35" s="249"/>
      <c r="L35" s="249">
        <f>F34</f>
        <v>72</v>
      </c>
      <c r="M35" s="250"/>
      <c r="N35" s="251"/>
      <c r="O35" s="253"/>
      <c r="P35" s="253"/>
      <c r="Q35" s="244"/>
      <c r="R35" s="244"/>
    </row>
    <row r="36" spans="1:18" s="79" customFormat="1" ht="27" customHeight="1" x14ac:dyDescent="0.2">
      <c r="A36" s="247" t="s">
        <v>597</v>
      </c>
      <c r="B36" s="247"/>
      <c r="C36" s="248" t="s">
        <v>306</v>
      </c>
      <c r="D36" s="248"/>
      <c r="E36" s="251" t="s">
        <v>271</v>
      </c>
      <c r="F36" s="96">
        <v>42</v>
      </c>
      <c r="G36" s="242" t="s">
        <v>266</v>
      </c>
      <c r="H36" s="242"/>
      <c r="I36" s="242" t="s">
        <v>49</v>
      </c>
      <c r="J36" s="242"/>
      <c r="K36" s="249" t="s">
        <v>462</v>
      </c>
      <c r="L36" s="249">
        <v>84</v>
      </c>
      <c r="M36" s="250"/>
      <c r="N36" s="251" t="s">
        <v>273</v>
      </c>
      <c r="O36" s="253" t="s">
        <v>394</v>
      </c>
      <c r="P36" s="253"/>
      <c r="Q36" s="243" t="s">
        <v>450</v>
      </c>
      <c r="R36" s="244"/>
    </row>
    <row r="37" spans="1:18" s="79" customFormat="1" ht="27" customHeight="1" x14ac:dyDescent="0.2">
      <c r="A37" s="247"/>
      <c r="B37" s="247"/>
      <c r="C37" s="248" t="s">
        <v>376</v>
      </c>
      <c r="D37" s="248"/>
      <c r="E37" s="251"/>
      <c r="F37" s="78" t="s">
        <v>255</v>
      </c>
      <c r="G37" s="242" t="s">
        <v>260</v>
      </c>
      <c r="H37" s="242"/>
      <c r="I37" s="242" t="s">
        <v>1</v>
      </c>
      <c r="J37" s="242"/>
      <c r="K37" s="249"/>
      <c r="L37" s="249">
        <f>F36</f>
        <v>42</v>
      </c>
      <c r="M37" s="250"/>
      <c r="N37" s="251"/>
      <c r="O37" s="253"/>
      <c r="P37" s="253"/>
      <c r="Q37" s="244"/>
      <c r="R37" s="244"/>
    </row>
    <row r="38" spans="1:18" s="79" customFormat="1" ht="27" customHeight="1" x14ac:dyDescent="0.2">
      <c r="A38" s="247" t="s">
        <v>598</v>
      </c>
      <c r="B38" s="247"/>
      <c r="C38" s="248" t="s">
        <v>306</v>
      </c>
      <c r="D38" s="248"/>
      <c r="E38" s="251" t="s">
        <v>271</v>
      </c>
      <c r="F38" s="96">
        <v>42</v>
      </c>
      <c r="G38" s="242" t="s">
        <v>266</v>
      </c>
      <c r="H38" s="242"/>
      <c r="I38" s="242" t="s">
        <v>49</v>
      </c>
      <c r="J38" s="242"/>
      <c r="K38" s="249" t="s">
        <v>462</v>
      </c>
      <c r="L38" s="249">
        <v>84</v>
      </c>
      <c r="M38" s="250"/>
      <c r="N38" s="251" t="s">
        <v>273</v>
      </c>
      <c r="O38" s="253" t="s">
        <v>394</v>
      </c>
      <c r="P38" s="253"/>
      <c r="Q38" s="243" t="s">
        <v>451</v>
      </c>
      <c r="R38" s="244"/>
    </row>
    <row r="39" spans="1:18" s="79" customFormat="1" ht="27" customHeight="1" x14ac:dyDescent="0.2">
      <c r="A39" s="247"/>
      <c r="B39" s="247"/>
      <c r="C39" s="248" t="s">
        <v>377</v>
      </c>
      <c r="D39" s="248"/>
      <c r="E39" s="251"/>
      <c r="F39" s="78" t="s">
        <v>255</v>
      </c>
      <c r="G39" s="242" t="s">
        <v>260</v>
      </c>
      <c r="H39" s="242"/>
      <c r="I39" s="242" t="s">
        <v>1</v>
      </c>
      <c r="J39" s="242"/>
      <c r="K39" s="249"/>
      <c r="L39" s="249">
        <f>F38</f>
        <v>42</v>
      </c>
      <c r="M39" s="250"/>
      <c r="N39" s="251"/>
      <c r="O39" s="253"/>
      <c r="P39" s="253"/>
      <c r="Q39" s="244"/>
      <c r="R39" s="244"/>
    </row>
    <row r="40" spans="1:18" s="79" customFormat="1" ht="27" customHeight="1" x14ac:dyDescent="0.2">
      <c r="A40" s="247" t="s">
        <v>599</v>
      </c>
      <c r="B40" s="247"/>
      <c r="C40" s="248" t="s">
        <v>306</v>
      </c>
      <c r="D40" s="248"/>
      <c r="E40" s="251" t="s">
        <v>272</v>
      </c>
      <c r="F40" s="96">
        <v>52</v>
      </c>
      <c r="G40" s="242" t="s">
        <v>266</v>
      </c>
      <c r="H40" s="242"/>
      <c r="I40" s="242" t="s">
        <v>49</v>
      </c>
      <c r="J40" s="242"/>
      <c r="K40" s="249" t="s">
        <v>463</v>
      </c>
      <c r="L40" s="249">
        <v>146</v>
      </c>
      <c r="M40" s="250"/>
      <c r="N40" s="251" t="s">
        <v>269</v>
      </c>
      <c r="O40" s="253" t="s">
        <v>394</v>
      </c>
      <c r="P40" s="253"/>
      <c r="Q40" s="243" t="s">
        <v>452</v>
      </c>
      <c r="R40" s="244"/>
    </row>
    <row r="41" spans="1:18" s="79" customFormat="1" ht="27" customHeight="1" x14ac:dyDescent="0.2">
      <c r="A41" s="247"/>
      <c r="B41" s="247"/>
      <c r="C41" s="248" t="s">
        <v>378</v>
      </c>
      <c r="D41" s="248"/>
      <c r="E41" s="251"/>
      <c r="F41" s="78" t="s">
        <v>255</v>
      </c>
      <c r="G41" s="242" t="s">
        <v>260</v>
      </c>
      <c r="H41" s="242"/>
      <c r="I41" s="242" t="s">
        <v>1</v>
      </c>
      <c r="J41" s="242"/>
      <c r="K41" s="249"/>
      <c r="L41" s="249">
        <f>F40</f>
        <v>52</v>
      </c>
      <c r="M41" s="250"/>
      <c r="N41" s="251"/>
      <c r="O41" s="253"/>
      <c r="P41" s="253"/>
      <c r="Q41" s="244"/>
      <c r="R41" s="244"/>
    </row>
    <row r="42" spans="1:18" s="79" customFormat="1" ht="27" customHeight="1" x14ac:dyDescent="0.2">
      <c r="A42" s="247" t="s">
        <v>600</v>
      </c>
      <c r="B42" s="247"/>
      <c r="C42" s="248" t="s">
        <v>306</v>
      </c>
      <c r="D42" s="248"/>
      <c r="E42" s="253" t="s">
        <v>391</v>
      </c>
      <c r="F42" s="96">
        <v>80</v>
      </c>
      <c r="G42" s="242" t="s">
        <v>266</v>
      </c>
      <c r="H42" s="242"/>
      <c r="I42" s="242" t="s">
        <v>49</v>
      </c>
      <c r="J42" s="242"/>
      <c r="K42" s="249" t="s">
        <v>549</v>
      </c>
      <c r="L42" s="249">
        <v>80</v>
      </c>
      <c r="M42" s="250"/>
      <c r="N42" s="251" t="s">
        <v>273</v>
      </c>
      <c r="O42" s="253" t="s">
        <v>394</v>
      </c>
      <c r="P42" s="253"/>
      <c r="Q42" s="243" t="s">
        <v>453</v>
      </c>
      <c r="R42" s="244"/>
    </row>
    <row r="43" spans="1:18" s="79" customFormat="1" ht="27" customHeight="1" x14ac:dyDescent="0.2">
      <c r="A43" s="247"/>
      <c r="B43" s="247"/>
      <c r="C43" s="248" t="s">
        <v>379</v>
      </c>
      <c r="D43" s="248"/>
      <c r="E43" s="253"/>
      <c r="F43" s="78" t="s">
        <v>255</v>
      </c>
      <c r="G43" s="242" t="s">
        <v>260</v>
      </c>
      <c r="H43" s="242"/>
      <c r="I43" s="242" t="s">
        <v>1</v>
      </c>
      <c r="J43" s="242"/>
      <c r="K43" s="249"/>
      <c r="L43" s="249">
        <f>F42</f>
        <v>80</v>
      </c>
      <c r="M43" s="250"/>
      <c r="N43" s="251"/>
      <c r="O43" s="253"/>
      <c r="P43" s="253"/>
      <c r="Q43" s="244"/>
      <c r="R43" s="244"/>
    </row>
    <row r="44" spans="1:18" s="79" customFormat="1" ht="29.45" customHeight="1" x14ac:dyDescent="0.2">
      <c r="A44" s="255" t="s">
        <v>601</v>
      </c>
      <c r="B44" s="256"/>
      <c r="C44" s="259" t="s">
        <v>306</v>
      </c>
      <c r="D44" s="260"/>
      <c r="E44" s="274" t="s">
        <v>285</v>
      </c>
      <c r="F44" s="96">
        <v>53</v>
      </c>
      <c r="G44" s="263" t="s">
        <v>266</v>
      </c>
      <c r="H44" s="264"/>
      <c r="I44" s="263" t="s">
        <v>49</v>
      </c>
      <c r="J44" s="264"/>
      <c r="K44" s="265" t="s">
        <v>461</v>
      </c>
      <c r="L44" s="267">
        <f>F44</f>
        <v>53</v>
      </c>
      <c r="M44" s="268"/>
      <c r="N44" s="261" t="s">
        <v>273</v>
      </c>
      <c r="O44" s="253" t="s">
        <v>394</v>
      </c>
      <c r="P44" s="276"/>
      <c r="Q44" s="269" t="s">
        <v>454</v>
      </c>
      <c r="R44" s="270"/>
    </row>
    <row r="45" spans="1:18" s="79" customFormat="1" ht="27" customHeight="1" x14ac:dyDescent="0.2">
      <c r="A45" s="257"/>
      <c r="B45" s="258"/>
      <c r="C45" s="259" t="s">
        <v>352</v>
      </c>
      <c r="D45" s="260"/>
      <c r="E45" s="275"/>
      <c r="F45" s="78" t="s">
        <v>255</v>
      </c>
      <c r="G45" s="263" t="s">
        <v>260</v>
      </c>
      <c r="H45" s="264"/>
      <c r="I45" s="263" t="s">
        <v>1</v>
      </c>
      <c r="J45" s="264"/>
      <c r="K45" s="266"/>
      <c r="L45" s="267">
        <f>F44</f>
        <v>53</v>
      </c>
      <c r="M45" s="268"/>
      <c r="N45" s="262"/>
      <c r="O45" s="277"/>
      <c r="P45" s="278"/>
      <c r="Q45" s="271"/>
      <c r="R45" s="272"/>
    </row>
    <row r="51" spans="1:18" s="3" customFormat="1" ht="15" customHeight="1" x14ac:dyDescent="0.2">
      <c r="A51" s="43"/>
      <c r="B51" s="44"/>
      <c r="C51" s="4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</row>
    <row r="52" spans="1:18" s="3" customFormat="1" ht="15" customHeight="1" x14ac:dyDescent="0.2">
      <c r="A52" s="46"/>
      <c r="B52" s="40"/>
      <c r="C52" s="41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</row>
    <row r="53" spans="1:18" ht="15" customHeight="1" x14ac:dyDescent="0.2">
      <c r="A53" s="42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39"/>
      <c r="O53" s="39"/>
      <c r="P53" s="39"/>
      <c r="Q53" s="39"/>
      <c r="R53" s="39"/>
    </row>
    <row r="54" spans="1:18" ht="15" customHeight="1" x14ac:dyDescent="0.2">
      <c r="A54" s="42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spans="1:18" ht="15" customHeight="1" x14ac:dyDescent="0.2">
      <c r="A55" s="42"/>
      <c r="B55" s="44"/>
    </row>
    <row r="56" spans="1:18" ht="15" customHeight="1" x14ac:dyDescent="0.2">
      <c r="A56"/>
      <c r="B56"/>
    </row>
    <row r="57" spans="1:18" ht="15" customHeight="1" x14ac:dyDescent="0.2">
      <c r="A57"/>
      <c r="B57"/>
    </row>
    <row r="58" spans="1:18" ht="15" customHeight="1" x14ac:dyDescent="0.2">
      <c r="A58"/>
      <c r="B58"/>
    </row>
    <row r="59" spans="1:18" ht="15" customHeight="1" x14ac:dyDescent="0.2">
      <c r="A59"/>
      <c r="B59"/>
    </row>
    <row r="60" spans="1:18" ht="15" customHeight="1" x14ac:dyDescent="0.2">
      <c r="A60"/>
      <c r="B60"/>
    </row>
    <row r="61" spans="1:18" ht="15" customHeight="1" x14ac:dyDescent="0.2">
      <c r="A61"/>
      <c r="B61"/>
    </row>
    <row r="62" spans="1:18" ht="15" customHeight="1" x14ac:dyDescent="0.2">
      <c r="A62"/>
      <c r="B62"/>
    </row>
    <row r="63" spans="1:18" ht="15" customHeight="1" x14ac:dyDescent="0.2">
      <c r="A63"/>
      <c r="B63"/>
    </row>
    <row r="64" spans="1:18" ht="14.1" customHeight="1" x14ac:dyDescent="0.2">
      <c r="A64"/>
      <c r="B64"/>
    </row>
    <row r="65" spans="1:2" ht="14.1" customHeight="1" x14ac:dyDescent="0.2">
      <c r="A65"/>
      <c r="B65"/>
    </row>
    <row r="66" spans="1:2" ht="14.1" customHeight="1" x14ac:dyDescent="0.2">
      <c r="A66"/>
      <c r="B66"/>
    </row>
    <row r="67" spans="1:2" ht="14.1" customHeight="1" x14ac:dyDescent="0.2">
      <c r="A67"/>
      <c r="B67"/>
    </row>
    <row r="68" spans="1:2" ht="14.1" customHeight="1" x14ac:dyDescent="0.2">
      <c r="A68" s="4"/>
      <c r="B68" s="4"/>
    </row>
    <row r="69" spans="1:2" ht="14.1" customHeight="1" x14ac:dyDescent="0.2">
      <c r="A69" s="4"/>
      <c r="B69" s="4"/>
    </row>
    <row r="70" spans="1:2" ht="14.1" customHeight="1" x14ac:dyDescent="0.2">
      <c r="A70" s="4"/>
      <c r="B70" s="4"/>
    </row>
    <row r="71" spans="1:2" ht="14.1" customHeight="1" x14ac:dyDescent="0.2">
      <c r="A71" s="4"/>
      <c r="B71" s="4"/>
    </row>
    <row r="72" spans="1:2" ht="14.1" customHeight="1" x14ac:dyDescent="0.2">
      <c r="A72" s="4"/>
      <c r="B72" s="4"/>
    </row>
    <row r="73" spans="1:2" ht="14.1" customHeight="1" x14ac:dyDescent="0.2">
      <c r="A73" s="4"/>
      <c r="B73" s="4"/>
    </row>
    <row r="74" spans="1:2" ht="14.1" customHeight="1" x14ac:dyDescent="0.2">
      <c r="A74" s="4"/>
      <c r="B74" s="4"/>
    </row>
    <row r="75" spans="1:2" ht="14.1" customHeight="1" x14ac:dyDescent="0.2">
      <c r="A75" s="4"/>
      <c r="B75" s="4"/>
    </row>
    <row r="76" spans="1:2" ht="14.1" customHeight="1" x14ac:dyDescent="0.2">
      <c r="A76" s="4"/>
      <c r="B76" s="4"/>
    </row>
    <row r="77" spans="1:2" ht="14.1" customHeight="1" x14ac:dyDescent="0.2">
      <c r="A77" s="4"/>
      <c r="B77" s="4"/>
    </row>
    <row r="78" spans="1:2" ht="14.1" customHeight="1" x14ac:dyDescent="0.2">
      <c r="A78" s="4"/>
      <c r="B78" s="4"/>
    </row>
    <row r="79" spans="1:2" ht="14.1" customHeight="1" x14ac:dyDescent="0.2">
      <c r="A79" s="4"/>
      <c r="B79" s="4"/>
    </row>
    <row r="80" spans="1:2" ht="14.1" customHeight="1" x14ac:dyDescent="0.2">
      <c r="A80" s="4"/>
      <c r="B80" s="4"/>
    </row>
    <row r="81" spans="1:2" ht="14.1" customHeight="1" x14ac:dyDescent="0.2">
      <c r="A81" s="4"/>
      <c r="B81" s="4"/>
    </row>
    <row r="82" spans="1:2" ht="14.1" customHeight="1" x14ac:dyDescent="0.2">
      <c r="A82" s="4"/>
      <c r="B82" s="4"/>
    </row>
    <row r="83" spans="1:2" ht="14.1" customHeight="1" x14ac:dyDescent="0.2">
      <c r="A83" s="4"/>
      <c r="B83" s="4"/>
    </row>
    <row r="84" spans="1:2" ht="14.1" customHeight="1" x14ac:dyDescent="0.2">
      <c r="A84" s="4"/>
      <c r="B84" s="4"/>
    </row>
    <row r="85" spans="1:2" ht="14.1" customHeight="1" x14ac:dyDescent="0.2">
      <c r="A85" s="4"/>
      <c r="B85" s="4"/>
    </row>
    <row r="86" spans="1:2" ht="14.1" customHeight="1" x14ac:dyDescent="0.2">
      <c r="A86" s="4"/>
      <c r="B86" s="4"/>
    </row>
    <row r="87" spans="1:2" ht="14.1" customHeight="1" x14ac:dyDescent="0.2">
      <c r="A87" s="4"/>
      <c r="B87" s="4"/>
    </row>
    <row r="88" spans="1:2" ht="14.1" customHeight="1" x14ac:dyDescent="0.2">
      <c r="A88" s="4"/>
      <c r="B88" s="4"/>
    </row>
    <row r="89" spans="1:2" ht="14.1" customHeight="1" x14ac:dyDescent="0.2">
      <c r="A89" s="4"/>
      <c r="B89" s="4"/>
    </row>
    <row r="90" spans="1:2" ht="14.1" customHeight="1" x14ac:dyDescent="0.2">
      <c r="A90" s="4"/>
      <c r="B90" s="4"/>
    </row>
    <row r="91" spans="1:2" ht="14.1" customHeight="1" x14ac:dyDescent="0.2">
      <c r="A91" s="4"/>
      <c r="B91" s="4"/>
    </row>
    <row r="92" spans="1:2" ht="14.1" customHeight="1" x14ac:dyDescent="0.2">
      <c r="A92" s="4"/>
      <c r="B92" s="4"/>
    </row>
    <row r="93" spans="1:2" ht="14.1" customHeight="1" x14ac:dyDescent="0.2">
      <c r="A93" s="4"/>
      <c r="B93" s="4"/>
    </row>
    <row r="94" spans="1:2" ht="14.1" customHeight="1" x14ac:dyDescent="0.2">
      <c r="A94" s="4"/>
      <c r="B94" s="4"/>
    </row>
    <row r="95" spans="1:2" ht="14.1" customHeight="1" x14ac:dyDescent="0.2">
      <c r="A95" s="4"/>
      <c r="B95" s="4"/>
    </row>
    <row r="96" spans="1:2" ht="14.1" customHeight="1" x14ac:dyDescent="0.2">
      <c r="A96" s="4"/>
      <c r="B96" s="4"/>
    </row>
    <row r="97" spans="1:2" ht="14.1" customHeight="1" x14ac:dyDescent="0.2">
      <c r="A97" s="4"/>
      <c r="B97" s="4"/>
    </row>
    <row r="98" spans="1:2" ht="14.1" customHeight="1" x14ac:dyDescent="0.2">
      <c r="A98" s="4"/>
      <c r="B98" s="4"/>
    </row>
    <row r="99" spans="1:2" ht="14.1" customHeight="1" x14ac:dyDescent="0.2">
      <c r="A99" s="4"/>
      <c r="B99" s="4"/>
    </row>
    <row r="100" spans="1:2" ht="14.1" customHeight="1" x14ac:dyDescent="0.2">
      <c r="A100" s="4"/>
      <c r="B100" s="4"/>
    </row>
    <row r="101" spans="1:2" ht="14.1" customHeight="1" x14ac:dyDescent="0.2">
      <c r="A101" s="4"/>
      <c r="B101" s="4"/>
    </row>
    <row r="102" spans="1:2" ht="14.1" customHeight="1" x14ac:dyDescent="0.2">
      <c r="A102" s="4"/>
      <c r="B102" s="4"/>
    </row>
    <row r="103" spans="1:2" ht="14.1" customHeight="1" x14ac:dyDescent="0.2">
      <c r="A103" s="4"/>
      <c r="B103" s="4"/>
    </row>
    <row r="104" spans="1:2" ht="14.1" customHeight="1" x14ac:dyDescent="0.2">
      <c r="A104" s="4"/>
      <c r="B104" s="4"/>
    </row>
    <row r="105" spans="1:2" ht="14.1" customHeight="1" x14ac:dyDescent="0.2">
      <c r="A105" s="4"/>
      <c r="B105" s="4"/>
    </row>
    <row r="106" spans="1:2" ht="13.5" customHeight="1" x14ac:dyDescent="0.2">
      <c r="A106" s="4"/>
      <c r="B106" s="4"/>
    </row>
    <row r="107" spans="1:2" ht="13.5" customHeight="1" x14ac:dyDescent="0.2">
      <c r="A107" s="4"/>
      <c r="B107" s="4"/>
    </row>
    <row r="108" spans="1:2" ht="13.5" customHeight="1" x14ac:dyDescent="0.2">
      <c r="A108" s="4"/>
      <c r="B108" s="4"/>
    </row>
    <row r="109" spans="1:2" ht="13.5" customHeight="1" x14ac:dyDescent="0.2">
      <c r="A109" s="4"/>
      <c r="B109" s="4"/>
    </row>
    <row r="110" spans="1:2" ht="13.5" customHeight="1" x14ac:dyDescent="0.2">
      <c r="A110" s="4"/>
      <c r="B110" s="4"/>
    </row>
    <row r="111" spans="1:2" ht="13.5" customHeight="1" x14ac:dyDescent="0.2">
      <c r="A111" s="4"/>
      <c r="B111" s="4"/>
    </row>
    <row r="112" spans="1:2" ht="13.5" customHeight="1" x14ac:dyDescent="0.2">
      <c r="A112" s="4"/>
      <c r="B112" s="4"/>
    </row>
    <row r="113" spans="1:2" ht="13.5" customHeight="1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  <row r="119" spans="1:2" x14ac:dyDescent="0.2">
      <c r="A119" s="4"/>
      <c r="B119" s="4"/>
    </row>
    <row r="120" spans="1:2" x14ac:dyDescent="0.2">
      <c r="A120" s="4"/>
      <c r="B120" s="4"/>
    </row>
    <row r="121" spans="1:2" x14ac:dyDescent="0.2">
      <c r="A121" s="4"/>
      <c r="B121" s="4"/>
    </row>
    <row r="122" spans="1:2" x14ac:dyDescent="0.2">
      <c r="A122" s="4"/>
      <c r="B122" s="4"/>
    </row>
    <row r="123" spans="1:2" x14ac:dyDescent="0.2">
      <c r="A123" s="4"/>
      <c r="B123" s="4"/>
    </row>
    <row r="124" spans="1:2" x14ac:dyDescent="0.2">
      <c r="A124" s="4"/>
      <c r="B124" s="4"/>
    </row>
    <row r="125" spans="1:2" x14ac:dyDescent="0.2">
      <c r="A125" s="4"/>
      <c r="B125" s="4"/>
    </row>
    <row r="126" spans="1:2" x14ac:dyDescent="0.2">
      <c r="A126" s="4"/>
      <c r="B126" s="4"/>
    </row>
    <row r="127" spans="1:2" x14ac:dyDescent="0.2">
      <c r="A127" s="4"/>
      <c r="B127" s="4"/>
    </row>
    <row r="128" spans="1:2" x14ac:dyDescent="0.2">
      <c r="A128" s="4"/>
      <c r="B128" s="4"/>
    </row>
    <row r="129" spans="1:2" x14ac:dyDescent="0.2">
      <c r="A129" s="4"/>
      <c r="B129" s="4"/>
    </row>
    <row r="130" spans="1:2" x14ac:dyDescent="0.2">
      <c r="B130" s="4"/>
    </row>
  </sheetData>
  <mergeCells count="253">
    <mergeCell ref="A42:B43"/>
    <mergeCell ref="C42:D42"/>
    <mergeCell ref="E42:E43"/>
    <mergeCell ref="G42:H42"/>
    <mergeCell ref="I42:J42"/>
    <mergeCell ref="K42:K43"/>
    <mergeCell ref="L40:M40"/>
    <mergeCell ref="N40:N41"/>
    <mergeCell ref="O40:P41"/>
    <mergeCell ref="A40:B41"/>
    <mergeCell ref="Q40:R41"/>
    <mergeCell ref="C41:D41"/>
    <mergeCell ref="G41:H41"/>
    <mergeCell ref="I41:J41"/>
    <mergeCell ref="L41:M41"/>
    <mergeCell ref="L42:M42"/>
    <mergeCell ref="N42:N43"/>
    <mergeCell ref="O42:P43"/>
    <mergeCell ref="Q42:R43"/>
    <mergeCell ref="C43:D43"/>
    <mergeCell ref="G43:H43"/>
    <mergeCell ref="I43:J43"/>
    <mergeCell ref="L43:M43"/>
    <mergeCell ref="C40:D40"/>
    <mergeCell ref="E40:E41"/>
    <mergeCell ref="G40:H40"/>
    <mergeCell ref="I40:J40"/>
    <mergeCell ref="K40:K41"/>
    <mergeCell ref="L38:M38"/>
    <mergeCell ref="N38:N39"/>
    <mergeCell ref="O38:P39"/>
    <mergeCell ref="Q38:R39"/>
    <mergeCell ref="C39:D39"/>
    <mergeCell ref="G39:H39"/>
    <mergeCell ref="I39:J39"/>
    <mergeCell ref="L39:M39"/>
    <mergeCell ref="A38:B39"/>
    <mergeCell ref="C38:D38"/>
    <mergeCell ref="E38:E39"/>
    <mergeCell ref="G38:H38"/>
    <mergeCell ref="I38:J38"/>
    <mergeCell ref="K38:K39"/>
    <mergeCell ref="L36:M36"/>
    <mergeCell ref="N36:N37"/>
    <mergeCell ref="O36:P37"/>
    <mergeCell ref="Q36:R37"/>
    <mergeCell ref="C37:D37"/>
    <mergeCell ref="G37:H37"/>
    <mergeCell ref="I37:J37"/>
    <mergeCell ref="L37:M37"/>
    <mergeCell ref="A36:B37"/>
    <mergeCell ref="C36:D36"/>
    <mergeCell ref="E36:E37"/>
    <mergeCell ref="G36:H36"/>
    <mergeCell ref="I36:J36"/>
    <mergeCell ref="K36:K37"/>
    <mergeCell ref="L34:M34"/>
    <mergeCell ref="N34:N35"/>
    <mergeCell ref="O34:P35"/>
    <mergeCell ref="Q34:R35"/>
    <mergeCell ref="C35:D35"/>
    <mergeCell ref="G35:H35"/>
    <mergeCell ref="I35:J35"/>
    <mergeCell ref="L35:M35"/>
    <mergeCell ref="A34:B35"/>
    <mergeCell ref="C34:D34"/>
    <mergeCell ref="E34:E35"/>
    <mergeCell ref="G34:H34"/>
    <mergeCell ref="I34:J34"/>
    <mergeCell ref="K34:K35"/>
    <mergeCell ref="L32:M32"/>
    <mergeCell ref="N32:N33"/>
    <mergeCell ref="O32:P33"/>
    <mergeCell ref="Q32:R33"/>
    <mergeCell ref="C33:D33"/>
    <mergeCell ref="G33:H33"/>
    <mergeCell ref="I33:J33"/>
    <mergeCell ref="L33:M33"/>
    <mergeCell ref="A32:B33"/>
    <mergeCell ref="C32:D32"/>
    <mergeCell ref="E32:E33"/>
    <mergeCell ref="G32:H32"/>
    <mergeCell ref="I32:J32"/>
    <mergeCell ref="K32:K33"/>
    <mergeCell ref="L30:M30"/>
    <mergeCell ref="N30:N31"/>
    <mergeCell ref="O30:P31"/>
    <mergeCell ref="Q30:R31"/>
    <mergeCell ref="C31:D31"/>
    <mergeCell ref="G31:H31"/>
    <mergeCell ref="I31:J31"/>
    <mergeCell ref="L31:M31"/>
    <mergeCell ref="A30:B31"/>
    <mergeCell ref="C30:D30"/>
    <mergeCell ref="E30:E31"/>
    <mergeCell ref="G30:H30"/>
    <mergeCell ref="I30:J30"/>
    <mergeCell ref="K30:K31"/>
    <mergeCell ref="L28:M28"/>
    <mergeCell ref="N28:N29"/>
    <mergeCell ref="O28:P29"/>
    <mergeCell ref="Q28:R29"/>
    <mergeCell ref="C29:D29"/>
    <mergeCell ref="G29:H29"/>
    <mergeCell ref="I29:J29"/>
    <mergeCell ref="L29:M29"/>
    <mergeCell ref="A28:B29"/>
    <mergeCell ref="C28:D28"/>
    <mergeCell ref="E28:E29"/>
    <mergeCell ref="G28:H28"/>
    <mergeCell ref="I28:J28"/>
    <mergeCell ref="K28:K29"/>
    <mergeCell ref="L26:M26"/>
    <mergeCell ref="N26:N27"/>
    <mergeCell ref="O26:P27"/>
    <mergeCell ref="Q26:R27"/>
    <mergeCell ref="C27:D27"/>
    <mergeCell ref="G27:H27"/>
    <mergeCell ref="I27:J27"/>
    <mergeCell ref="L27:M27"/>
    <mergeCell ref="A26:B27"/>
    <mergeCell ref="C26:D26"/>
    <mergeCell ref="E26:E27"/>
    <mergeCell ref="G26:H26"/>
    <mergeCell ref="I26:J26"/>
    <mergeCell ref="K26:K27"/>
    <mergeCell ref="L24:M24"/>
    <mergeCell ref="N24:N25"/>
    <mergeCell ref="O24:P25"/>
    <mergeCell ref="Q24:R25"/>
    <mergeCell ref="C25:D25"/>
    <mergeCell ref="G25:H25"/>
    <mergeCell ref="I25:J25"/>
    <mergeCell ref="L25:M25"/>
    <mergeCell ref="A24:B25"/>
    <mergeCell ref="C24:D24"/>
    <mergeCell ref="E24:E25"/>
    <mergeCell ref="G24:H24"/>
    <mergeCell ref="I24:J24"/>
    <mergeCell ref="K24:K25"/>
    <mergeCell ref="L22:M22"/>
    <mergeCell ref="N22:N23"/>
    <mergeCell ref="O22:P23"/>
    <mergeCell ref="Q22:R23"/>
    <mergeCell ref="C23:D23"/>
    <mergeCell ref="G23:H23"/>
    <mergeCell ref="I23:J23"/>
    <mergeCell ref="L23:M23"/>
    <mergeCell ref="A22:B23"/>
    <mergeCell ref="C22:D22"/>
    <mergeCell ref="E22:E23"/>
    <mergeCell ref="G22:H22"/>
    <mergeCell ref="I22:J22"/>
    <mergeCell ref="K22:K23"/>
    <mergeCell ref="K20:K21"/>
    <mergeCell ref="L20:M20"/>
    <mergeCell ref="N20:N21"/>
    <mergeCell ref="O20:P21"/>
    <mergeCell ref="Q20:R21"/>
    <mergeCell ref="C21:D21"/>
    <mergeCell ref="G21:H21"/>
    <mergeCell ref="I21:J21"/>
    <mergeCell ref="L21:M21"/>
    <mergeCell ref="C11:D11"/>
    <mergeCell ref="E11:E12"/>
    <mergeCell ref="G11:H11"/>
    <mergeCell ref="I11:J11"/>
    <mergeCell ref="A20:B21"/>
    <mergeCell ref="C20:D20"/>
    <mergeCell ref="E20:E21"/>
    <mergeCell ref="G20:H20"/>
    <mergeCell ref="I20:J20"/>
    <mergeCell ref="A13:R13"/>
    <mergeCell ref="A18:B19"/>
    <mergeCell ref="C18:D18"/>
    <mergeCell ref="E18:E19"/>
    <mergeCell ref="G18:H18"/>
    <mergeCell ref="I18:J18"/>
    <mergeCell ref="K18:K19"/>
    <mergeCell ref="L18:M18"/>
    <mergeCell ref="N18:N19"/>
    <mergeCell ref="O18:P19"/>
    <mergeCell ref="Q18:R19"/>
    <mergeCell ref="C19:D19"/>
    <mergeCell ref="G19:H19"/>
    <mergeCell ref="I19:J19"/>
    <mergeCell ref="L19:M19"/>
    <mergeCell ref="K11:K12"/>
    <mergeCell ref="A1:F9"/>
    <mergeCell ref="G1:N2"/>
    <mergeCell ref="O1:Q1"/>
    <mergeCell ref="O2:Q2"/>
    <mergeCell ref="G3:N3"/>
    <mergeCell ref="O3:Q3"/>
    <mergeCell ref="G4:N4"/>
    <mergeCell ref="O4:Q4"/>
    <mergeCell ref="O6:R6"/>
    <mergeCell ref="G7:K7"/>
    <mergeCell ref="L11:M11"/>
    <mergeCell ref="N11:N12"/>
    <mergeCell ref="O11:P12"/>
    <mergeCell ref="Q11:R12"/>
    <mergeCell ref="C12:D12"/>
    <mergeCell ref="G12:H12"/>
    <mergeCell ref="I12:J12"/>
    <mergeCell ref="L12:M12"/>
    <mergeCell ref="L7:N7"/>
    <mergeCell ref="O7:R7"/>
    <mergeCell ref="G8:R8"/>
    <mergeCell ref="G9:R9"/>
    <mergeCell ref="A11:B12"/>
    <mergeCell ref="A44:B45"/>
    <mergeCell ref="C44:D44"/>
    <mergeCell ref="E44:E45"/>
    <mergeCell ref="G44:H44"/>
    <mergeCell ref="I44:J44"/>
    <mergeCell ref="K44:K45"/>
    <mergeCell ref="L44:M44"/>
    <mergeCell ref="N44:N45"/>
    <mergeCell ref="O44:P45"/>
    <mergeCell ref="Q44:R45"/>
    <mergeCell ref="C45:D45"/>
    <mergeCell ref="G45:H45"/>
    <mergeCell ref="I45:J45"/>
    <mergeCell ref="L45:M45"/>
    <mergeCell ref="A14:B15"/>
    <mergeCell ref="C14:D14"/>
    <mergeCell ref="E14:E15"/>
    <mergeCell ref="G14:H14"/>
    <mergeCell ref="I14:J14"/>
    <mergeCell ref="K14:K15"/>
    <mergeCell ref="L14:M14"/>
    <mergeCell ref="N14:N15"/>
    <mergeCell ref="O14:P15"/>
    <mergeCell ref="Q14:R15"/>
    <mergeCell ref="C15:D15"/>
    <mergeCell ref="G15:H15"/>
    <mergeCell ref="I15:J15"/>
    <mergeCell ref="L15:M15"/>
    <mergeCell ref="A16:B17"/>
    <mergeCell ref="C16:D16"/>
    <mergeCell ref="E16:E17"/>
    <mergeCell ref="G16:H16"/>
    <mergeCell ref="I16:J16"/>
    <mergeCell ref="K16:K17"/>
    <mergeCell ref="L16:M16"/>
    <mergeCell ref="N16:N17"/>
    <mergeCell ref="O16:P17"/>
    <mergeCell ref="Q16:R17"/>
    <mergeCell ref="C17:D17"/>
    <mergeCell ref="G17:H17"/>
    <mergeCell ref="I17:J17"/>
    <mergeCell ref="L17:M17"/>
  </mergeCells>
  <printOptions horizontalCentered="1"/>
  <pageMargins left="0.7" right="0.7" top="0.75" bottom="0.75" header="0.3" footer="0.3"/>
  <pageSetup paperSize="9" scale="46" fitToHeight="0" orientation="landscape" r:id="rId1"/>
  <headerFooter alignWithMargins="0">
    <oddHeader xml:space="preserve">&amp;R
          </oddHeader>
    <oddFooter xml:space="preserve">&amp;R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618B-8B2C-4E4D-AF7B-EDEA9F31B2D7}">
  <sheetPr>
    <pageSetUpPr fitToPage="1"/>
  </sheetPr>
  <dimension ref="A1:R125"/>
  <sheetViews>
    <sheetView showGridLines="0" view="pageBreakPreview" topLeftCell="A31" zoomScale="70" zoomScaleNormal="55" zoomScaleSheetLayoutView="70" zoomScalePageLayoutView="55" workbookViewId="0">
      <selection activeCell="X52" sqref="X52"/>
    </sheetView>
  </sheetViews>
  <sheetFormatPr defaultRowHeight="12.75" x14ac:dyDescent="0.2"/>
  <cols>
    <col min="1" max="1" width="7.7109375" style="5" customWidth="1"/>
    <col min="2" max="2" width="9.85546875" style="5" customWidth="1"/>
    <col min="3" max="3" width="13.85546875" customWidth="1"/>
    <col min="4" max="4" width="25" bestFit="1" customWidth="1"/>
    <col min="5" max="5" width="28.5703125" bestFit="1" customWidth="1"/>
    <col min="6" max="6" width="8.5703125" customWidth="1"/>
    <col min="7" max="7" width="7.7109375" customWidth="1"/>
    <col min="8" max="8" width="8.42578125" customWidth="1"/>
    <col min="9" max="9" width="6.85546875" customWidth="1"/>
    <col min="10" max="10" width="8.5703125" customWidth="1"/>
    <col min="11" max="11" width="15.7109375" customWidth="1"/>
    <col min="12" max="12" width="14.28515625" customWidth="1"/>
    <col min="13" max="13" width="16" customWidth="1"/>
    <col min="14" max="14" width="30" customWidth="1"/>
    <col min="15" max="15" width="37.28515625" customWidth="1"/>
    <col min="16" max="16" width="27" customWidth="1"/>
    <col min="17" max="17" width="12.85546875" customWidth="1"/>
    <col min="18" max="18" width="13.28515625" customWidth="1"/>
  </cols>
  <sheetData>
    <row r="1" spans="1:18" s="2" customFormat="1" ht="15" customHeight="1" x14ac:dyDescent="0.2">
      <c r="A1" s="213"/>
      <c r="B1" s="214"/>
      <c r="C1" s="214"/>
      <c r="D1" s="214"/>
      <c r="E1" s="214"/>
      <c r="F1" s="215"/>
      <c r="G1" s="234" t="s">
        <v>242</v>
      </c>
      <c r="H1" s="235"/>
      <c r="I1" s="235"/>
      <c r="J1" s="235"/>
      <c r="K1" s="235"/>
      <c r="L1" s="235"/>
      <c r="M1" s="235"/>
      <c r="N1" s="235"/>
      <c r="O1" s="233" t="s">
        <v>209</v>
      </c>
      <c r="P1" s="224"/>
      <c r="Q1" s="225"/>
      <c r="R1" s="90" t="s">
        <v>30</v>
      </c>
    </row>
    <row r="2" spans="1:18" s="2" customFormat="1" ht="13.5" customHeight="1" x14ac:dyDescent="0.2">
      <c r="A2" s="216"/>
      <c r="B2" s="217"/>
      <c r="C2" s="217"/>
      <c r="D2" s="217"/>
      <c r="E2" s="217"/>
      <c r="F2" s="218"/>
      <c r="G2" s="236"/>
      <c r="H2" s="237"/>
      <c r="I2" s="237"/>
      <c r="J2" s="237"/>
      <c r="K2" s="237"/>
      <c r="L2" s="237"/>
      <c r="M2" s="237"/>
      <c r="N2" s="237"/>
      <c r="O2" s="238" t="str">
        <f>CAPA!Y2</f>
        <v>BK-SP08-02000-LC-79-00001</v>
      </c>
      <c r="P2" s="229"/>
      <c r="Q2" s="230"/>
      <c r="R2" s="91">
        <f>CAPA!AG2</f>
        <v>1</v>
      </c>
    </row>
    <row r="3" spans="1:18" s="2" customFormat="1" ht="12" customHeight="1" x14ac:dyDescent="0.2">
      <c r="A3" s="216"/>
      <c r="B3" s="217"/>
      <c r="C3" s="217"/>
      <c r="D3" s="217"/>
      <c r="E3" s="217"/>
      <c r="F3" s="218"/>
      <c r="G3" s="239" t="s">
        <v>206</v>
      </c>
      <c r="H3" s="240"/>
      <c r="I3" s="240"/>
      <c r="J3" s="240"/>
      <c r="K3" s="240"/>
      <c r="L3" s="240"/>
      <c r="M3" s="240"/>
      <c r="N3" s="241"/>
      <c r="O3" s="233" t="s">
        <v>207</v>
      </c>
      <c r="P3" s="224"/>
      <c r="Q3" s="225"/>
      <c r="R3" s="92" t="s">
        <v>208</v>
      </c>
    </row>
    <row r="4" spans="1:18" s="2" customFormat="1" ht="18" customHeight="1" x14ac:dyDescent="0.2">
      <c r="A4" s="216"/>
      <c r="B4" s="217"/>
      <c r="C4" s="217"/>
      <c r="D4" s="217"/>
      <c r="E4" s="217"/>
      <c r="F4" s="218"/>
      <c r="G4" s="232" t="s">
        <v>235</v>
      </c>
      <c r="H4" s="222"/>
      <c r="I4" s="222"/>
      <c r="J4" s="222"/>
      <c r="K4" s="222"/>
      <c r="L4" s="222"/>
      <c r="M4" s="222"/>
      <c r="N4" s="223"/>
      <c r="O4" s="232" t="s">
        <v>288</v>
      </c>
      <c r="P4" s="222"/>
      <c r="Q4" s="223"/>
      <c r="R4" s="93" t="s">
        <v>282</v>
      </c>
    </row>
    <row r="5" spans="1:18" ht="3.75" customHeight="1" x14ac:dyDescent="0.2">
      <c r="A5" s="216"/>
      <c r="B5" s="217"/>
      <c r="C5" s="217"/>
      <c r="D5" s="217"/>
      <c r="E5" s="217"/>
      <c r="F5" s="218"/>
      <c r="G5" s="73"/>
      <c r="H5" s="73"/>
      <c r="I5" s="73"/>
      <c r="J5" s="73"/>
      <c r="K5" s="73"/>
      <c r="L5" s="72"/>
      <c r="M5" s="73"/>
      <c r="N5" s="73"/>
      <c r="O5" s="72"/>
      <c r="P5" s="73"/>
      <c r="Q5" s="73"/>
      <c r="R5" s="23"/>
    </row>
    <row r="6" spans="1:18" ht="12" customHeight="1" x14ac:dyDescent="0.2">
      <c r="A6" s="216"/>
      <c r="B6" s="217"/>
      <c r="C6" s="217"/>
      <c r="D6" s="217"/>
      <c r="E6" s="217"/>
      <c r="F6" s="218"/>
      <c r="G6" s="94" t="s">
        <v>239</v>
      </c>
      <c r="H6" s="94"/>
      <c r="I6" s="94"/>
      <c r="J6" s="94"/>
      <c r="K6" s="94"/>
      <c r="L6" s="74" t="s">
        <v>240</v>
      </c>
      <c r="M6" s="94"/>
      <c r="N6" s="94"/>
      <c r="O6" s="210" t="s">
        <v>241</v>
      </c>
      <c r="P6" s="211"/>
      <c r="Q6" s="211"/>
      <c r="R6" s="212"/>
    </row>
    <row r="7" spans="1:18" ht="18" customHeight="1" x14ac:dyDescent="0.2">
      <c r="A7" s="216"/>
      <c r="B7" s="217"/>
      <c r="C7" s="217"/>
      <c r="D7" s="217"/>
      <c r="E7" s="217"/>
      <c r="F7" s="218"/>
      <c r="G7" s="229" t="s">
        <v>237</v>
      </c>
      <c r="H7" s="229"/>
      <c r="I7" s="229"/>
      <c r="J7" s="229"/>
      <c r="K7" s="230"/>
      <c r="L7" s="231" t="s">
        <v>233</v>
      </c>
      <c r="M7" s="227"/>
      <c r="N7" s="228"/>
      <c r="O7" s="226" t="s">
        <v>234</v>
      </c>
      <c r="P7" s="227"/>
      <c r="Q7" s="227"/>
      <c r="R7" s="228"/>
    </row>
    <row r="8" spans="1:18" ht="12" customHeight="1" x14ac:dyDescent="0.2">
      <c r="A8" s="216"/>
      <c r="B8" s="217"/>
      <c r="C8" s="217"/>
      <c r="D8" s="217"/>
      <c r="E8" s="217"/>
      <c r="F8" s="218"/>
      <c r="G8" s="211" t="s">
        <v>212</v>
      </c>
      <c r="H8" s="211"/>
      <c r="I8" s="211"/>
      <c r="J8" s="211"/>
      <c r="K8" s="211"/>
      <c r="L8" s="224"/>
      <c r="M8" s="224"/>
      <c r="N8" s="224"/>
      <c r="O8" s="224"/>
      <c r="P8" s="224"/>
      <c r="Q8" s="224"/>
      <c r="R8" s="225"/>
    </row>
    <row r="9" spans="1:18" ht="21.75" customHeight="1" x14ac:dyDescent="0.2">
      <c r="A9" s="219"/>
      <c r="B9" s="220"/>
      <c r="C9" s="220"/>
      <c r="D9" s="220"/>
      <c r="E9" s="220"/>
      <c r="F9" s="221"/>
      <c r="G9" s="222" t="s">
        <v>238</v>
      </c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3"/>
    </row>
    <row r="10" spans="1:18" ht="3.75" customHeight="1" x14ac:dyDescent="0.2">
      <c r="A10" s="86"/>
      <c r="B10" s="87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9"/>
    </row>
    <row r="11" spans="1:18" s="45" customFormat="1" ht="29.45" customHeight="1" x14ac:dyDescent="0.2">
      <c r="A11" s="246" t="s">
        <v>243</v>
      </c>
      <c r="B11" s="246"/>
      <c r="C11" s="245" t="s">
        <v>244</v>
      </c>
      <c r="D11" s="245"/>
      <c r="E11" s="245" t="s">
        <v>245</v>
      </c>
      <c r="F11" s="76" t="s">
        <v>246</v>
      </c>
      <c r="G11" s="245" t="s">
        <v>247</v>
      </c>
      <c r="H11" s="245"/>
      <c r="I11" s="245" t="s">
        <v>248</v>
      </c>
      <c r="J11" s="245"/>
      <c r="K11" s="245" t="s">
        <v>249</v>
      </c>
      <c r="L11" s="245" t="s">
        <v>256</v>
      </c>
      <c r="M11" s="245"/>
      <c r="N11" s="245" t="s">
        <v>250</v>
      </c>
      <c r="O11" s="245" t="s">
        <v>251</v>
      </c>
      <c r="P11" s="245"/>
      <c r="Q11" s="245" t="s">
        <v>408</v>
      </c>
      <c r="R11" s="245"/>
    </row>
    <row r="12" spans="1:18" s="45" customFormat="1" ht="29.45" customHeight="1" x14ac:dyDescent="0.2">
      <c r="A12" s="246"/>
      <c r="B12" s="246"/>
      <c r="C12" s="245" t="s">
        <v>336</v>
      </c>
      <c r="D12" s="245"/>
      <c r="E12" s="245"/>
      <c r="F12" s="77" t="s">
        <v>252</v>
      </c>
      <c r="G12" s="245" t="s">
        <v>253</v>
      </c>
      <c r="H12" s="245"/>
      <c r="I12" s="245" t="s">
        <v>254</v>
      </c>
      <c r="J12" s="245"/>
      <c r="K12" s="245"/>
      <c r="L12" s="245" t="s">
        <v>257</v>
      </c>
      <c r="M12" s="245"/>
      <c r="N12" s="245"/>
      <c r="O12" s="245"/>
      <c r="P12" s="245"/>
      <c r="Q12" s="245"/>
      <c r="R12" s="245"/>
    </row>
    <row r="13" spans="1:18" s="79" customFormat="1" ht="15.75" customHeight="1" x14ac:dyDescent="0.2">
      <c r="A13" s="252" t="s">
        <v>275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18" s="79" customFormat="1" ht="29.45" customHeight="1" x14ac:dyDescent="0.2">
      <c r="A14" s="248" t="s">
        <v>602</v>
      </c>
      <c r="B14" s="248"/>
      <c r="C14" s="248" t="s">
        <v>283</v>
      </c>
      <c r="D14" s="248"/>
      <c r="E14" s="253" t="s">
        <v>555</v>
      </c>
      <c r="F14" s="96">
        <f>175</f>
        <v>175</v>
      </c>
      <c r="G14" s="242" t="s">
        <v>266</v>
      </c>
      <c r="H14" s="242"/>
      <c r="I14" s="242" t="s">
        <v>49</v>
      </c>
      <c r="J14" s="242"/>
      <c r="K14" s="249" t="s">
        <v>552</v>
      </c>
      <c r="L14" s="249" t="s">
        <v>551</v>
      </c>
      <c r="M14" s="249"/>
      <c r="N14" s="251" t="s">
        <v>407</v>
      </c>
      <c r="O14" s="253" t="s">
        <v>398</v>
      </c>
      <c r="P14" s="253"/>
      <c r="Q14" s="243" t="s">
        <v>457</v>
      </c>
      <c r="R14" s="244"/>
    </row>
    <row r="15" spans="1:18" s="79" customFormat="1" ht="27" customHeight="1" x14ac:dyDescent="0.2">
      <c r="A15" s="248"/>
      <c r="B15" s="248"/>
      <c r="C15" s="248" t="s">
        <v>334</v>
      </c>
      <c r="D15" s="248"/>
      <c r="E15" s="253"/>
      <c r="F15" s="78" t="s">
        <v>255</v>
      </c>
      <c r="G15" s="242" t="s">
        <v>277</v>
      </c>
      <c r="H15" s="242"/>
      <c r="I15" s="242" t="s">
        <v>1</v>
      </c>
      <c r="J15" s="242"/>
      <c r="K15" s="249"/>
      <c r="L15" s="249" t="s">
        <v>551</v>
      </c>
      <c r="M15" s="249"/>
      <c r="N15" s="251"/>
      <c r="O15" s="253"/>
      <c r="P15" s="253"/>
      <c r="Q15" s="244"/>
      <c r="R15" s="244"/>
    </row>
    <row r="16" spans="1:18" s="79" customFormat="1" ht="29.45" customHeight="1" x14ac:dyDescent="0.2">
      <c r="A16" s="247" t="s">
        <v>603</v>
      </c>
      <c r="B16" s="247"/>
      <c r="C16" s="248" t="s">
        <v>334</v>
      </c>
      <c r="D16" s="248"/>
      <c r="E16" s="253" t="s">
        <v>555</v>
      </c>
      <c r="F16" s="96">
        <f>58</f>
        <v>58</v>
      </c>
      <c r="G16" s="242" t="s">
        <v>266</v>
      </c>
      <c r="H16" s="242"/>
      <c r="I16" s="242" t="s">
        <v>49</v>
      </c>
      <c r="J16" s="242"/>
      <c r="K16" s="249" t="s">
        <v>553</v>
      </c>
      <c r="L16" s="249" t="s">
        <v>554</v>
      </c>
      <c r="M16" s="249"/>
      <c r="N16" s="251" t="s">
        <v>273</v>
      </c>
      <c r="O16" s="253" t="s">
        <v>399</v>
      </c>
      <c r="P16" s="253"/>
      <c r="Q16" s="243" t="s">
        <v>455</v>
      </c>
      <c r="R16" s="244"/>
    </row>
    <row r="17" spans="1:18" s="79" customFormat="1" ht="27" customHeight="1" x14ac:dyDescent="0.2">
      <c r="A17" s="247"/>
      <c r="B17" s="247"/>
      <c r="C17" s="248" t="s">
        <v>519</v>
      </c>
      <c r="D17" s="248"/>
      <c r="E17" s="253"/>
      <c r="F17" s="78" t="s">
        <v>255</v>
      </c>
      <c r="G17" s="242" t="s">
        <v>277</v>
      </c>
      <c r="H17" s="242"/>
      <c r="I17" s="242" t="s">
        <v>1</v>
      </c>
      <c r="J17" s="242"/>
      <c r="K17" s="249"/>
      <c r="L17" s="249" t="s">
        <v>554</v>
      </c>
      <c r="M17" s="249"/>
      <c r="N17" s="251"/>
      <c r="O17" s="253"/>
      <c r="P17" s="253"/>
      <c r="Q17" s="244"/>
      <c r="R17" s="244"/>
    </row>
    <row r="18" spans="1:18" s="79" customFormat="1" ht="15.75" customHeight="1" x14ac:dyDescent="0.2">
      <c r="A18" s="252" t="s">
        <v>387</v>
      </c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s="97" customFormat="1" ht="29.45" customHeight="1" x14ac:dyDescent="0.2">
      <c r="A19" s="247" t="s">
        <v>604</v>
      </c>
      <c r="B19" s="247"/>
      <c r="C19" s="248" t="s">
        <v>389</v>
      </c>
      <c r="D19" s="248"/>
      <c r="E19" s="253" t="s">
        <v>258</v>
      </c>
      <c r="F19" s="96">
        <v>11</v>
      </c>
      <c r="G19" s="254" t="s">
        <v>266</v>
      </c>
      <c r="H19" s="254"/>
      <c r="I19" s="254" t="s">
        <v>49</v>
      </c>
      <c r="J19" s="254"/>
      <c r="K19" s="249" t="s">
        <v>550</v>
      </c>
      <c r="L19" s="249">
        <v>11</v>
      </c>
      <c r="M19" s="250"/>
      <c r="N19" s="253" t="s">
        <v>400</v>
      </c>
      <c r="O19" s="253" t="s">
        <v>614</v>
      </c>
      <c r="P19" s="253"/>
      <c r="Q19" s="243" t="s">
        <v>456</v>
      </c>
      <c r="R19" s="244"/>
    </row>
    <row r="20" spans="1:18" s="97" customFormat="1" ht="27" customHeight="1" x14ac:dyDescent="0.2">
      <c r="A20" s="247"/>
      <c r="B20" s="247"/>
      <c r="C20" s="248" t="s">
        <v>388</v>
      </c>
      <c r="D20" s="248"/>
      <c r="E20" s="253"/>
      <c r="F20" s="96" t="s">
        <v>255</v>
      </c>
      <c r="G20" s="254" t="s">
        <v>260</v>
      </c>
      <c r="H20" s="254"/>
      <c r="I20" s="254" t="s">
        <v>1</v>
      </c>
      <c r="J20" s="254"/>
      <c r="K20" s="249"/>
      <c r="L20" s="249">
        <f>F19</f>
        <v>11</v>
      </c>
      <c r="M20" s="250"/>
      <c r="N20" s="253"/>
      <c r="O20" s="253"/>
      <c r="P20" s="253"/>
      <c r="Q20" s="244"/>
      <c r="R20" s="244"/>
    </row>
    <row r="21" spans="1:18" s="79" customFormat="1" ht="15.75" customHeight="1" x14ac:dyDescent="0.2">
      <c r="A21" s="252" t="s">
        <v>540</v>
      </c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s="97" customFormat="1" ht="29.45" customHeight="1" x14ac:dyDescent="0.2">
      <c r="A22" s="247" t="s">
        <v>605</v>
      </c>
      <c r="B22" s="247"/>
      <c r="C22" s="248" t="s">
        <v>290</v>
      </c>
      <c r="D22" s="248"/>
      <c r="E22" s="253" t="s">
        <v>543</v>
      </c>
      <c r="F22" s="96">
        <v>22</v>
      </c>
      <c r="G22" s="254" t="s">
        <v>266</v>
      </c>
      <c r="H22" s="254"/>
      <c r="I22" s="254" t="s">
        <v>49</v>
      </c>
      <c r="J22" s="254"/>
      <c r="K22" s="249" t="s">
        <v>608</v>
      </c>
      <c r="L22" s="249">
        <f>F22</f>
        <v>22</v>
      </c>
      <c r="M22" s="250"/>
      <c r="N22" s="253" t="s">
        <v>544</v>
      </c>
      <c r="O22" s="253" t="s">
        <v>395</v>
      </c>
      <c r="P22" s="253"/>
      <c r="Q22" s="279" t="s">
        <v>545</v>
      </c>
      <c r="R22" s="244"/>
    </row>
    <row r="23" spans="1:18" s="97" customFormat="1" ht="27" customHeight="1" x14ac:dyDescent="0.2">
      <c r="A23" s="247"/>
      <c r="B23" s="247"/>
      <c r="C23" s="248" t="s">
        <v>541</v>
      </c>
      <c r="D23" s="248"/>
      <c r="E23" s="253"/>
      <c r="F23" s="96" t="s">
        <v>255</v>
      </c>
      <c r="G23" s="254" t="s">
        <v>260</v>
      </c>
      <c r="H23" s="254"/>
      <c r="I23" s="254" t="s">
        <v>1</v>
      </c>
      <c r="J23" s="254"/>
      <c r="K23" s="249"/>
      <c r="L23" s="249">
        <f>F22</f>
        <v>22</v>
      </c>
      <c r="M23" s="250"/>
      <c r="N23" s="253"/>
      <c r="O23" s="253"/>
      <c r="P23" s="253"/>
      <c r="Q23" s="244"/>
      <c r="R23" s="244"/>
    </row>
    <row r="24" spans="1:18" s="79" customFormat="1" ht="30" customHeight="1" x14ac:dyDescent="0.2">
      <c r="A24" s="100" t="s">
        <v>231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</row>
    <row r="25" spans="1:18" s="79" customFormat="1" ht="30" customHeight="1" x14ac:dyDescent="0.2">
      <c r="A25" s="111" t="s">
        <v>404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03"/>
    </row>
    <row r="26" spans="1:18" s="79" customFormat="1" ht="30" customHeight="1" x14ac:dyDescent="0.2">
      <c r="A26" s="111" t="s">
        <v>465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95"/>
    </row>
    <row r="27" spans="1:18" s="79" customFormat="1" ht="30" customHeight="1" x14ac:dyDescent="0.2">
      <c r="A27" s="98" t="s">
        <v>606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R27" s="113"/>
    </row>
    <row r="28" spans="1:18" s="79" customFormat="1" ht="30" customHeight="1" x14ac:dyDescent="0.2">
      <c r="A28" s="114" t="s">
        <v>613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26"/>
    </row>
    <row r="29" spans="1:18" s="79" customFormat="1" ht="30" customHeight="1" x14ac:dyDescent="0.2">
      <c r="A29" s="114" t="s">
        <v>610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R29" s="113"/>
    </row>
    <row r="30" spans="1:18" s="79" customFormat="1" ht="30" customHeight="1" x14ac:dyDescent="0.2">
      <c r="A30" s="114" t="s">
        <v>611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R30" s="113"/>
    </row>
    <row r="31" spans="1:18" s="79" customFormat="1" ht="30" customHeight="1" x14ac:dyDescent="0.2">
      <c r="A31" s="114" t="s">
        <v>612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R31" s="113"/>
    </row>
    <row r="32" spans="1:18" s="79" customFormat="1" ht="30" customHeight="1" x14ac:dyDescent="0.2">
      <c r="A32" s="114" t="s">
        <v>609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R32" s="113"/>
    </row>
    <row r="33" spans="1:18" s="79" customFormat="1" ht="30" customHeight="1" x14ac:dyDescent="0.2">
      <c r="A33" s="115"/>
      <c r="B33" s="120"/>
      <c r="C33" s="120"/>
      <c r="D33" s="120"/>
      <c r="E33" s="120"/>
      <c r="F33" s="120"/>
      <c r="G33" s="120"/>
      <c r="H33" s="120"/>
      <c r="R33" s="113"/>
    </row>
    <row r="34" spans="1:18" ht="30" customHeight="1" x14ac:dyDescent="0.2">
      <c r="A34" s="283" t="s">
        <v>232</v>
      </c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5"/>
    </row>
    <row r="35" spans="1:18" ht="30" customHeight="1" x14ac:dyDescent="0.2">
      <c r="A35" s="280" t="s">
        <v>402</v>
      </c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2"/>
    </row>
    <row r="36" spans="1:18" ht="30" customHeight="1" x14ac:dyDescent="0.2">
      <c r="A36" s="280" t="s">
        <v>401</v>
      </c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2"/>
    </row>
    <row r="37" spans="1:18" ht="30" customHeight="1" x14ac:dyDescent="0.2">
      <c r="A37" s="280" t="s">
        <v>403</v>
      </c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2"/>
    </row>
    <row r="38" spans="1:18" ht="30" customHeight="1" x14ac:dyDescent="0.2">
      <c r="A38" s="280" t="s">
        <v>406</v>
      </c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2"/>
    </row>
    <row r="39" spans="1:18" ht="30" customHeight="1" x14ac:dyDescent="0.2">
      <c r="A39" s="98" t="s">
        <v>539</v>
      </c>
      <c r="B39" s="121"/>
      <c r="C39" s="121"/>
      <c r="D39" s="121"/>
      <c r="E39" s="121"/>
      <c r="F39" s="122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99"/>
    </row>
    <row r="40" spans="1:18" ht="30" customHeight="1" x14ac:dyDescent="0.2">
      <c r="A40" s="98" t="s">
        <v>405</v>
      </c>
      <c r="B40" s="124"/>
      <c r="C40" s="125"/>
      <c r="D40" s="125"/>
      <c r="E40" s="125"/>
      <c r="R40" s="1"/>
    </row>
    <row r="41" spans="1:18" ht="30" customHeight="1" x14ac:dyDescent="0.2">
      <c r="A41" s="98" t="s">
        <v>616</v>
      </c>
      <c r="B41" s="124"/>
      <c r="C41" s="125"/>
      <c r="D41" s="125"/>
      <c r="E41" s="125"/>
      <c r="R41" s="1"/>
    </row>
    <row r="42" spans="1:18" ht="30" customHeight="1" x14ac:dyDescent="0.2">
      <c r="A42" s="98" t="s">
        <v>615</v>
      </c>
      <c r="B42" s="314"/>
      <c r="C42" s="315"/>
      <c r="D42" s="316"/>
      <c r="E42" s="316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80"/>
    </row>
    <row r="43" spans="1:18" s="3" customFormat="1" ht="30" customHeight="1" x14ac:dyDescent="0.2">
      <c r="A43" s="81"/>
      <c r="B43" s="82"/>
      <c r="C43" s="83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5"/>
    </row>
    <row r="44" spans="1:18" s="3" customFormat="1" ht="30" customHeight="1" x14ac:dyDescent="0.2">
      <c r="A44" s="81"/>
      <c r="B44" s="82"/>
      <c r="C44" s="83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5"/>
    </row>
    <row r="45" spans="1:18" s="3" customFormat="1" ht="30" customHeight="1" x14ac:dyDescent="0.2">
      <c r="A45" s="43"/>
      <c r="B45" s="44"/>
      <c r="C45" s="4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</row>
    <row r="46" spans="1:18" s="3" customFormat="1" ht="30" customHeight="1" x14ac:dyDescent="0.2">
      <c r="A46" s="43"/>
      <c r="B46" s="44"/>
      <c r="C46" s="4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</row>
    <row r="47" spans="1:18" s="3" customFormat="1" ht="30" customHeight="1" x14ac:dyDescent="0.2">
      <c r="A47" s="46"/>
      <c r="B47" s="40"/>
      <c r="C47" s="41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</row>
    <row r="48" spans="1:18" ht="30" customHeight="1" x14ac:dyDescent="0.2">
      <c r="A48" s="42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39"/>
      <c r="O48" s="39"/>
      <c r="P48" s="39"/>
      <c r="Q48" s="39"/>
      <c r="R48" s="39"/>
    </row>
    <row r="49" spans="1:13" ht="30" customHeight="1" x14ac:dyDescent="0.2">
      <c r="A49" s="42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</row>
    <row r="50" spans="1:13" ht="30" customHeight="1" x14ac:dyDescent="0.2">
      <c r="A50" s="42"/>
      <c r="B50" s="44"/>
    </row>
    <row r="51" spans="1:13" ht="30" customHeight="1" x14ac:dyDescent="0.2">
      <c r="A51"/>
      <c r="B51"/>
    </row>
    <row r="52" spans="1:13" ht="30" customHeight="1" x14ac:dyDescent="0.2">
      <c r="A52"/>
      <c r="B52"/>
    </row>
    <row r="53" spans="1:13" ht="15" customHeight="1" x14ac:dyDescent="0.2">
      <c r="A53"/>
      <c r="B53"/>
    </row>
    <row r="54" spans="1:13" ht="15" customHeight="1" x14ac:dyDescent="0.2">
      <c r="A54"/>
      <c r="B54"/>
    </row>
    <row r="55" spans="1:13" ht="15" customHeight="1" x14ac:dyDescent="0.2">
      <c r="A55"/>
      <c r="B55"/>
    </row>
    <row r="56" spans="1:13" ht="15" customHeight="1" x14ac:dyDescent="0.2">
      <c r="A56"/>
      <c r="B56"/>
    </row>
    <row r="57" spans="1:13" ht="15" customHeight="1" x14ac:dyDescent="0.2">
      <c r="A57"/>
      <c r="B57"/>
    </row>
    <row r="58" spans="1:13" ht="15" customHeight="1" x14ac:dyDescent="0.2">
      <c r="A58"/>
      <c r="B58"/>
    </row>
    <row r="59" spans="1:13" ht="14.1" customHeight="1" x14ac:dyDescent="0.2">
      <c r="A59"/>
      <c r="B59"/>
    </row>
    <row r="60" spans="1:13" ht="14.1" customHeight="1" x14ac:dyDescent="0.2">
      <c r="A60"/>
      <c r="B60"/>
    </row>
    <row r="61" spans="1:13" ht="14.1" customHeight="1" x14ac:dyDescent="0.2">
      <c r="A61"/>
      <c r="B61"/>
    </row>
    <row r="62" spans="1:13" ht="14.1" customHeight="1" x14ac:dyDescent="0.2">
      <c r="A62"/>
      <c r="B62"/>
    </row>
    <row r="63" spans="1:13" ht="14.1" customHeight="1" x14ac:dyDescent="0.2">
      <c r="A63" s="4"/>
      <c r="B63" s="4"/>
    </row>
    <row r="64" spans="1:13" ht="14.1" customHeight="1" x14ac:dyDescent="0.2">
      <c r="A64" s="4"/>
      <c r="B64" s="4"/>
    </row>
    <row r="65" spans="1:2" ht="14.1" customHeight="1" x14ac:dyDescent="0.2">
      <c r="A65" s="4"/>
      <c r="B65" s="4"/>
    </row>
    <row r="66" spans="1:2" ht="14.1" customHeight="1" x14ac:dyDescent="0.2">
      <c r="A66" s="4"/>
      <c r="B66" s="4"/>
    </row>
    <row r="67" spans="1:2" ht="14.1" customHeight="1" x14ac:dyDescent="0.2">
      <c r="A67" s="4"/>
      <c r="B67" s="4"/>
    </row>
    <row r="68" spans="1:2" ht="14.1" customHeight="1" x14ac:dyDescent="0.2">
      <c r="A68" s="4"/>
      <c r="B68" s="4"/>
    </row>
    <row r="69" spans="1:2" ht="14.1" customHeight="1" x14ac:dyDescent="0.2">
      <c r="A69" s="4"/>
      <c r="B69" s="4"/>
    </row>
    <row r="70" spans="1:2" ht="14.1" customHeight="1" x14ac:dyDescent="0.2">
      <c r="A70" s="4"/>
      <c r="B70" s="4"/>
    </row>
    <row r="71" spans="1:2" ht="14.1" customHeight="1" x14ac:dyDescent="0.2">
      <c r="A71" s="4"/>
      <c r="B71" s="4"/>
    </row>
    <row r="72" spans="1:2" ht="14.1" customHeight="1" x14ac:dyDescent="0.2">
      <c r="A72" s="4"/>
      <c r="B72" s="4"/>
    </row>
    <row r="73" spans="1:2" ht="14.1" customHeight="1" x14ac:dyDescent="0.2">
      <c r="A73" s="4"/>
      <c r="B73" s="4"/>
    </row>
    <row r="74" spans="1:2" ht="14.1" customHeight="1" x14ac:dyDescent="0.2">
      <c r="A74" s="4"/>
      <c r="B74" s="4"/>
    </row>
    <row r="75" spans="1:2" ht="14.1" customHeight="1" x14ac:dyDescent="0.2">
      <c r="A75" s="4"/>
      <c r="B75" s="4"/>
    </row>
    <row r="76" spans="1:2" ht="14.1" customHeight="1" x14ac:dyDescent="0.2">
      <c r="A76" s="4"/>
      <c r="B76" s="4"/>
    </row>
    <row r="77" spans="1:2" ht="14.1" customHeight="1" x14ac:dyDescent="0.2">
      <c r="A77" s="4"/>
      <c r="B77" s="4"/>
    </row>
    <row r="78" spans="1:2" ht="14.1" customHeight="1" x14ac:dyDescent="0.2">
      <c r="A78" s="4"/>
      <c r="B78" s="4"/>
    </row>
    <row r="79" spans="1:2" ht="14.1" customHeight="1" x14ac:dyDescent="0.2">
      <c r="A79" s="4"/>
      <c r="B79" s="4"/>
    </row>
    <row r="80" spans="1:2" ht="14.1" customHeight="1" x14ac:dyDescent="0.2">
      <c r="A80" s="4"/>
      <c r="B80" s="4"/>
    </row>
    <row r="81" spans="1:2" ht="14.1" customHeight="1" x14ac:dyDescent="0.2">
      <c r="A81" s="4"/>
      <c r="B81" s="4"/>
    </row>
    <row r="82" spans="1:2" ht="14.1" customHeight="1" x14ac:dyDescent="0.2">
      <c r="A82" s="4"/>
      <c r="B82" s="4"/>
    </row>
    <row r="83" spans="1:2" ht="14.1" customHeight="1" x14ac:dyDescent="0.2">
      <c r="A83" s="4"/>
      <c r="B83" s="4"/>
    </row>
    <row r="84" spans="1:2" ht="14.1" customHeight="1" x14ac:dyDescent="0.2">
      <c r="A84" s="4"/>
      <c r="B84" s="4"/>
    </row>
    <row r="85" spans="1:2" ht="14.1" customHeight="1" x14ac:dyDescent="0.2">
      <c r="A85" s="4"/>
      <c r="B85" s="4"/>
    </row>
    <row r="86" spans="1:2" ht="14.1" customHeight="1" x14ac:dyDescent="0.2">
      <c r="A86" s="4"/>
      <c r="B86" s="4"/>
    </row>
    <row r="87" spans="1:2" ht="14.1" customHeight="1" x14ac:dyDescent="0.2">
      <c r="A87" s="4"/>
      <c r="B87" s="4"/>
    </row>
    <row r="88" spans="1:2" ht="14.1" customHeight="1" x14ac:dyDescent="0.2">
      <c r="A88" s="4"/>
      <c r="B88" s="4"/>
    </row>
    <row r="89" spans="1:2" ht="14.1" customHeight="1" x14ac:dyDescent="0.2">
      <c r="A89" s="4"/>
      <c r="B89" s="4"/>
    </row>
    <row r="90" spans="1:2" ht="14.1" customHeight="1" x14ac:dyDescent="0.2">
      <c r="A90" s="4"/>
      <c r="B90" s="4"/>
    </row>
    <row r="91" spans="1:2" ht="14.1" customHeight="1" x14ac:dyDescent="0.2">
      <c r="A91" s="4"/>
      <c r="B91" s="4"/>
    </row>
    <row r="92" spans="1:2" ht="14.1" customHeight="1" x14ac:dyDescent="0.2">
      <c r="A92" s="4"/>
      <c r="B92" s="4"/>
    </row>
    <row r="93" spans="1:2" ht="14.1" customHeight="1" x14ac:dyDescent="0.2">
      <c r="A93" s="4"/>
      <c r="B93" s="4"/>
    </row>
    <row r="94" spans="1:2" ht="14.1" customHeight="1" x14ac:dyDescent="0.2">
      <c r="A94" s="4"/>
      <c r="B94" s="4"/>
    </row>
    <row r="95" spans="1:2" ht="14.1" customHeight="1" x14ac:dyDescent="0.2">
      <c r="A95" s="4"/>
      <c r="B95" s="4"/>
    </row>
    <row r="96" spans="1:2" ht="14.1" customHeight="1" x14ac:dyDescent="0.2">
      <c r="A96" s="4"/>
      <c r="B96" s="4"/>
    </row>
    <row r="97" spans="1:2" ht="14.1" customHeight="1" x14ac:dyDescent="0.2">
      <c r="A97" s="4"/>
      <c r="B97" s="4"/>
    </row>
    <row r="98" spans="1:2" ht="14.1" customHeight="1" x14ac:dyDescent="0.2">
      <c r="A98" s="4"/>
      <c r="B98" s="4"/>
    </row>
    <row r="99" spans="1:2" ht="14.1" customHeight="1" x14ac:dyDescent="0.2">
      <c r="A99" s="4"/>
      <c r="B99" s="4"/>
    </row>
    <row r="100" spans="1:2" ht="14.1" customHeight="1" x14ac:dyDescent="0.2">
      <c r="A100" s="4"/>
      <c r="B100" s="4"/>
    </row>
    <row r="101" spans="1:2" ht="13.5" customHeight="1" x14ac:dyDescent="0.2">
      <c r="A101" s="4"/>
      <c r="B101" s="4"/>
    </row>
    <row r="102" spans="1:2" ht="13.5" customHeight="1" x14ac:dyDescent="0.2">
      <c r="A102" s="4"/>
      <c r="B102" s="4"/>
    </row>
    <row r="103" spans="1:2" ht="13.5" customHeight="1" x14ac:dyDescent="0.2">
      <c r="A103" s="4"/>
      <c r="B103" s="4"/>
    </row>
    <row r="104" spans="1:2" ht="13.5" customHeight="1" x14ac:dyDescent="0.2">
      <c r="A104" s="4"/>
      <c r="B104" s="4"/>
    </row>
    <row r="105" spans="1:2" ht="13.5" customHeight="1" x14ac:dyDescent="0.2">
      <c r="A105" s="4"/>
      <c r="B105" s="4"/>
    </row>
    <row r="106" spans="1:2" ht="13.5" customHeight="1" x14ac:dyDescent="0.2">
      <c r="A106" s="4"/>
      <c r="B106" s="4"/>
    </row>
    <row r="107" spans="1:2" ht="13.5" customHeight="1" x14ac:dyDescent="0.2">
      <c r="A107" s="4"/>
      <c r="B107" s="4"/>
    </row>
    <row r="108" spans="1:2" ht="13.5" customHeight="1" x14ac:dyDescent="0.2">
      <c r="A108" s="4"/>
      <c r="B108" s="4"/>
    </row>
    <row r="109" spans="1:2" x14ac:dyDescent="0.2">
      <c r="A109" s="4"/>
      <c r="B109" s="4"/>
    </row>
    <row r="110" spans="1:2" x14ac:dyDescent="0.2">
      <c r="A110" s="4"/>
      <c r="B110" s="4"/>
    </row>
    <row r="111" spans="1:2" x14ac:dyDescent="0.2">
      <c r="A111" s="4"/>
      <c r="B111" s="4"/>
    </row>
    <row r="112" spans="1:2" x14ac:dyDescent="0.2">
      <c r="A112" s="4"/>
      <c r="B112" s="4"/>
    </row>
    <row r="113" spans="1:2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  <row r="119" spans="1:2" x14ac:dyDescent="0.2">
      <c r="A119" s="4"/>
      <c r="B119" s="4"/>
    </row>
    <row r="120" spans="1:2" x14ac:dyDescent="0.2">
      <c r="A120" s="4"/>
      <c r="B120" s="4"/>
    </row>
    <row r="121" spans="1:2" x14ac:dyDescent="0.2">
      <c r="A121" s="4"/>
      <c r="B121" s="4"/>
    </row>
    <row r="122" spans="1:2" x14ac:dyDescent="0.2">
      <c r="A122" s="4"/>
      <c r="B122" s="4"/>
    </row>
    <row r="123" spans="1:2" x14ac:dyDescent="0.2">
      <c r="A123" s="4"/>
      <c r="B123" s="4"/>
    </row>
    <row r="124" spans="1:2" x14ac:dyDescent="0.2">
      <c r="A124" s="4"/>
      <c r="B124" s="4"/>
    </row>
    <row r="125" spans="1:2" x14ac:dyDescent="0.2">
      <c r="B125" s="4"/>
    </row>
  </sheetData>
  <mergeCells count="92">
    <mergeCell ref="A36:R36"/>
    <mergeCell ref="A37:R37"/>
    <mergeCell ref="A38:R38"/>
    <mergeCell ref="A35:R35"/>
    <mergeCell ref="A34:R34"/>
    <mergeCell ref="A1:F9"/>
    <mergeCell ref="G1:N2"/>
    <mergeCell ref="O1:Q1"/>
    <mergeCell ref="O2:Q2"/>
    <mergeCell ref="G3:N3"/>
    <mergeCell ref="O3:Q3"/>
    <mergeCell ref="G4:N4"/>
    <mergeCell ref="O4:Q4"/>
    <mergeCell ref="O6:R6"/>
    <mergeCell ref="G7:K7"/>
    <mergeCell ref="I14:J14"/>
    <mergeCell ref="K14:K15"/>
    <mergeCell ref="L7:N7"/>
    <mergeCell ref="O7:R7"/>
    <mergeCell ref="G8:R8"/>
    <mergeCell ref="G9:R9"/>
    <mergeCell ref="A13:R13"/>
    <mergeCell ref="L14:M14"/>
    <mergeCell ref="N14:N15"/>
    <mergeCell ref="O14:P15"/>
    <mergeCell ref="Q14:R15"/>
    <mergeCell ref="G15:H15"/>
    <mergeCell ref="I15:J15"/>
    <mergeCell ref="L15:M15"/>
    <mergeCell ref="A14:B15"/>
    <mergeCell ref="A16:B17"/>
    <mergeCell ref="C15:D15"/>
    <mergeCell ref="C14:D14"/>
    <mergeCell ref="E14:E15"/>
    <mergeCell ref="G14:H14"/>
    <mergeCell ref="N16:N17"/>
    <mergeCell ref="O16:P17"/>
    <mergeCell ref="Q16:R17"/>
    <mergeCell ref="C17:D17"/>
    <mergeCell ref="G17:H17"/>
    <mergeCell ref="I17:J17"/>
    <mergeCell ref="L17:M17"/>
    <mergeCell ref="K16:K17"/>
    <mergeCell ref="C16:D16"/>
    <mergeCell ref="E16:E17"/>
    <mergeCell ref="G16:H16"/>
    <mergeCell ref="I16:J16"/>
    <mergeCell ref="L16:M16"/>
    <mergeCell ref="A18:R18"/>
    <mergeCell ref="A19:B20"/>
    <mergeCell ref="C19:D19"/>
    <mergeCell ref="E19:E20"/>
    <mergeCell ref="G19:H19"/>
    <mergeCell ref="I19:J19"/>
    <mergeCell ref="K19:K20"/>
    <mergeCell ref="L19:M19"/>
    <mergeCell ref="N19:N20"/>
    <mergeCell ref="O19:P20"/>
    <mergeCell ref="Q19:R20"/>
    <mergeCell ref="C20:D20"/>
    <mergeCell ref="G20:H20"/>
    <mergeCell ref="I20:J20"/>
    <mergeCell ref="L20:M20"/>
    <mergeCell ref="A11:B12"/>
    <mergeCell ref="C11:D11"/>
    <mergeCell ref="E11:E12"/>
    <mergeCell ref="G11:H11"/>
    <mergeCell ref="I11:J11"/>
    <mergeCell ref="C12:D12"/>
    <mergeCell ref="G12:H12"/>
    <mergeCell ref="I12:J12"/>
    <mergeCell ref="K11:K12"/>
    <mergeCell ref="L11:M11"/>
    <mergeCell ref="N11:N12"/>
    <mergeCell ref="O11:P12"/>
    <mergeCell ref="Q11:R12"/>
    <mergeCell ref="L12:M12"/>
    <mergeCell ref="A21:R21"/>
    <mergeCell ref="A22:B23"/>
    <mergeCell ref="C22:D22"/>
    <mergeCell ref="E22:E23"/>
    <mergeCell ref="G22:H22"/>
    <mergeCell ref="I22:J22"/>
    <mergeCell ref="K22:K23"/>
    <mergeCell ref="L22:M22"/>
    <mergeCell ref="N22:N23"/>
    <mergeCell ref="O22:P23"/>
    <mergeCell ref="Q22:R23"/>
    <mergeCell ref="C23:D23"/>
    <mergeCell ref="G23:H23"/>
    <mergeCell ref="I23:J23"/>
    <mergeCell ref="L23:M23"/>
  </mergeCells>
  <printOptions horizontalCentered="1"/>
  <pageMargins left="0.7" right="0.7" top="0.75" bottom="0.75" header="0.3" footer="0.3"/>
  <pageSetup paperSize="9" scale="46" fitToHeight="0" orientation="landscape" r:id="rId1"/>
  <headerFooter alignWithMargins="0">
    <oddHeader xml:space="preserve">&amp;R
          </oddHeader>
    <oddFooter xml:space="preserve">&amp;R
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B190-8712-48C5-A333-9018D7550193}">
  <dimension ref="C1:L102"/>
  <sheetViews>
    <sheetView topLeftCell="A4" workbookViewId="0">
      <selection activeCell="G24" sqref="G24"/>
    </sheetView>
  </sheetViews>
  <sheetFormatPr defaultRowHeight="12.75" x14ac:dyDescent="0.2"/>
  <cols>
    <col min="3" max="3" width="10.5703125" bestFit="1" customWidth="1"/>
    <col min="4" max="4" width="27.42578125" bestFit="1" customWidth="1"/>
    <col min="5" max="5" width="25.140625" customWidth="1"/>
    <col min="6" max="6" width="14.5703125" customWidth="1"/>
    <col min="9" max="9" width="30.85546875" bestFit="1" customWidth="1"/>
    <col min="11" max="11" width="10.7109375" bestFit="1" customWidth="1"/>
    <col min="12" max="12" width="20.42578125" bestFit="1" customWidth="1"/>
  </cols>
  <sheetData>
    <row r="1" spans="9:12" x14ac:dyDescent="0.2">
      <c r="I1" s="107" t="s">
        <v>520</v>
      </c>
      <c r="J1" s="107" t="s">
        <v>521</v>
      </c>
      <c r="L1" s="110" t="s">
        <v>523</v>
      </c>
    </row>
    <row r="2" spans="9:12" ht="12.75" customHeight="1" x14ac:dyDescent="0.2">
      <c r="I2" s="108" t="s">
        <v>258</v>
      </c>
      <c r="J2" s="109">
        <v>208</v>
      </c>
    </row>
    <row r="3" spans="9:12" ht="14.25" x14ac:dyDescent="0.2">
      <c r="I3" s="108" t="s">
        <v>285</v>
      </c>
      <c r="J3" s="109">
        <v>252</v>
      </c>
    </row>
    <row r="4" spans="9:12" ht="12.75" customHeight="1" x14ac:dyDescent="0.2">
      <c r="I4" s="108" t="s">
        <v>271</v>
      </c>
      <c r="J4" s="109">
        <v>349</v>
      </c>
    </row>
    <row r="5" spans="9:12" ht="14.25" x14ac:dyDescent="0.2">
      <c r="I5" s="108" t="s">
        <v>272</v>
      </c>
      <c r="J5" s="109">
        <v>538</v>
      </c>
    </row>
    <row r="6" spans="9:12" ht="12.75" customHeight="1" x14ac:dyDescent="0.2">
      <c r="I6" s="108" t="s">
        <v>268</v>
      </c>
      <c r="J6" s="109">
        <v>1327</v>
      </c>
    </row>
    <row r="7" spans="9:12" ht="14.25" x14ac:dyDescent="0.2">
      <c r="I7" s="108" t="s">
        <v>391</v>
      </c>
      <c r="J7" s="109">
        <v>1622</v>
      </c>
    </row>
    <row r="8" spans="9:12" ht="12.75" customHeight="1" x14ac:dyDescent="0.2">
      <c r="I8" s="108" t="s">
        <v>522</v>
      </c>
      <c r="J8" s="109">
        <v>2164</v>
      </c>
    </row>
    <row r="9" spans="9:12" ht="14.25" x14ac:dyDescent="0.2">
      <c r="I9" s="108" t="s">
        <v>543</v>
      </c>
      <c r="J9" s="109">
        <v>131</v>
      </c>
    </row>
    <row r="10" spans="9:12" ht="12.75" customHeight="1" x14ac:dyDescent="0.2"/>
    <row r="12" spans="9:12" ht="12.75" customHeight="1" x14ac:dyDescent="0.2">
      <c r="I12" s="108" t="s">
        <v>548</v>
      </c>
      <c r="K12" s="112" t="s">
        <v>547</v>
      </c>
    </row>
    <row r="13" spans="9:12" x14ac:dyDescent="0.2">
      <c r="I13">
        <f t="shared" ref="I13:I20" si="0">SUMIF($G$53:$G$102,J13,$F$53:$F$102)</f>
        <v>686</v>
      </c>
      <c r="J13" s="3" t="s">
        <v>524</v>
      </c>
      <c r="K13">
        <f>I13*J2/1000</f>
        <v>142.68799999999999</v>
      </c>
      <c r="L13" t="str">
        <f>I2</f>
        <v>1x3/C#4 mm²</v>
      </c>
    </row>
    <row r="14" spans="9:12" ht="12.75" customHeight="1" x14ac:dyDescent="0.2">
      <c r="I14">
        <f t="shared" si="0"/>
        <v>707</v>
      </c>
      <c r="J14" s="3" t="s">
        <v>525</v>
      </c>
      <c r="K14">
        <f>I14*J2/1000</f>
        <v>147.05600000000001</v>
      </c>
      <c r="L14" t="str">
        <f>I2</f>
        <v>1x3/C#4 mm²</v>
      </c>
    </row>
    <row r="15" spans="9:12" x14ac:dyDescent="0.2">
      <c r="I15">
        <f t="shared" si="0"/>
        <v>578</v>
      </c>
      <c r="J15" s="3" t="s">
        <v>526</v>
      </c>
      <c r="K15">
        <f>I15*J3/1000</f>
        <v>145.65600000000001</v>
      </c>
      <c r="L15" t="str">
        <f>I3</f>
        <v>1x4/C#4 mm²</v>
      </c>
    </row>
    <row r="16" spans="9:12" ht="12.75" customHeight="1" x14ac:dyDescent="0.2">
      <c r="I16">
        <f t="shared" si="0"/>
        <v>555</v>
      </c>
      <c r="J16" s="3" t="s">
        <v>527</v>
      </c>
      <c r="K16">
        <f t="shared" ref="K16:K21" si="1">I16*J3/1000</f>
        <v>139.86000000000001</v>
      </c>
      <c r="L16" t="str">
        <f t="shared" ref="L16:L21" si="2">I3</f>
        <v>1x4/C#4 mm²</v>
      </c>
    </row>
    <row r="17" spans="9:12" x14ac:dyDescent="0.2">
      <c r="I17">
        <f t="shared" si="0"/>
        <v>84</v>
      </c>
      <c r="J17" s="3" t="s">
        <v>528</v>
      </c>
      <c r="K17">
        <f t="shared" si="1"/>
        <v>29.315999999999999</v>
      </c>
      <c r="L17" t="str">
        <f t="shared" si="2"/>
        <v>1x4/C#6 mm²</v>
      </c>
    </row>
    <row r="18" spans="9:12" x14ac:dyDescent="0.2">
      <c r="I18">
        <f t="shared" si="0"/>
        <v>146</v>
      </c>
      <c r="J18" s="3" t="s">
        <v>529</v>
      </c>
      <c r="K18">
        <f t="shared" si="1"/>
        <v>78.548000000000002</v>
      </c>
      <c r="L18" t="str">
        <f t="shared" si="2"/>
        <v>1x4/C#10 mm²</v>
      </c>
    </row>
    <row r="19" spans="9:12" x14ac:dyDescent="0.2">
      <c r="I19">
        <f t="shared" si="0"/>
        <v>210</v>
      </c>
      <c r="J19" s="3" t="s">
        <v>530</v>
      </c>
      <c r="K19" s="112">
        <f t="shared" si="1"/>
        <v>278.67</v>
      </c>
      <c r="L19" t="str">
        <f t="shared" si="2"/>
        <v>1x4/C#25 mm²</v>
      </c>
    </row>
    <row r="20" spans="9:12" x14ac:dyDescent="0.2">
      <c r="I20">
        <f t="shared" si="0"/>
        <v>80</v>
      </c>
      <c r="J20" s="3" t="s">
        <v>531</v>
      </c>
      <c r="K20">
        <f t="shared" si="1"/>
        <v>129.76</v>
      </c>
      <c r="L20" t="str">
        <f t="shared" si="2"/>
        <v>1x4/C#35 mm²</v>
      </c>
    </row>
    <row r="21" spans="9:12" ht="12.75" customHeight="1" x14ac:dyDescent="0.2">
      <c r="I21">
        <f>F99</f>
        <v>175</v>
      </c>
      <c r="J21" s="3" t="s">
        <v>532</v>
      </c>
      <c r="K21" s="112">
        <f t="shared" si="1"/>
        <v>378.7</v>
      </c>
      <c r="L21" t="str">
        <f t="shared" si="2"/>
        <v>1x1/C#185 mm²</v>
      </c>
    </row>
    <row r="22" spans="9:12" x14ac:dyDescent="0.2">
      <c r="I22">
        <f>F99</f>
        <v>175</v>
      </c>
      <c r="J22" s="3" t="s">
        <v>533</v>
      </c>
      <c r="K22" s="112">
        <f>I22*J8/1000</f>
        <v>378.7</v>
      </c>
      <c r="L22" t="str">
        <f>I8</f>
        <v>1x1/C#185 mm²</v>
      </c>
    </row>
    <row r="23" spans="9:12" ht="12.75" customHeight="1" x14ac:dyDescent="0.2">
      <c r="I23">
        <f>F99</f>
        <v>175</v>
      </c>
      <c r="J23" s="3" t="s">
        <v>534</v>
      </c>
      <c r="K23" s="112">
        <f>I23*J8/1000</f>
        <v>378.7</v>
      </c>
      <c r="L23" t="str">
        <f>I8</f>
        <v>1x1/C#185 mm²</v>
      </c>
    </row>
    <row r="24" spans="9:12" x14ac:dyDescent="0.2">
      <c r="I24">
        <f>F100</f>
        <v>58</v>
      </c>
      <c r="J24" s="3" t="s">
        <v>535</v>
      </c>
      <c r="K24">
        <f>I24*J8/1000</f>
        <v>125.512</v>
      </c>
      <c r="L24" t="str">
        <f>I8</f>
        <v>1x1/C#185 mm²</v>
      </c>
    </row>
    <row r="25" spans="9:12" ht="12.75" customHeight="1" x14ac:dyDescent="0.2">
      <c r="I25">
        <f>F100</f>
        <v>58</v>
      </c>
      <c r="J25" s="3" t="s">
        <v>536</v>
      </c>
      <c r="K25">
        <f>I25*J8/1000</f>
        <v>125.512</v>
      </c>
      <c r="L25" t="str">
        <f>I8</f>
        <v>1x1/C#185 mm²</v>
      </c>
    </row>
    <row r="26" spans="9:12" x14ac:dyDescent="0.2">
      <c r="I26">
        <f>F100</f>
        <v>58</v>
      </c>
      <c r="J26" s="3" t="s">
        <v>537</v>
      </c>
      <c r="K26">
        <f>I26*J8/1000</f>
        <v>125.512</v>
      </c>
      <c r="L26" t="str">
        <f>I8</f>
        <v>1x1/C#185 mm²</v>
      </c>
    </row>
    <row r="27" spans="9:12" x14ac:dyDescent="0.2">
      <c r="I27">
        <f>SUMIF($G$53:$G$102,J27,$F$53:$F$102)</f>
        <v>11</v>
      </c>
      <c r="J27" s="3" t="s">
        <v>538</v>
      </c>
      <c r="K27">
        <f>I27*J2/1000</f>
        <v>2.2879999999999998</v>
      </c>
      <c r="L27" t="str">
        <f>I2</f>
        <v>1x3/C#4 mm²</v>
      </c>
    </row>
    <row r="28" spans="9:12" x14ac:dyDescent="0.2">
      <c r="I28">
        <f>SUMIF($G$53:$G$102,J28,$F$53:$F$102)</f>
        <v>22</v>
      </c>
      <c r="J28" s="3" t="s">
        <v>607</v>
      </c>
      <c r="K28">
        <f>I28*J9/1000</f>
        <v>2.8820000000000001</v>
      </c>
      <c r="L28" s="3" t="s">
        <v>543</v>
      </c>
    </row>
    <row r="29" spans="9:12" x14ac:dyDescent="0.2">
      <c r="J29" s="3"/>
    </row>
    <row r="30" spans="9:12" x14ac:dyDescent="0.2">
      <c r="J30" s="3"/>
    </row>
    <row r="31" spans="9:12" x14ac:dyDescent="0.2">
      <c r="J31" s="3"/>
    </row>
    <row r="32" spans="9:12" x14ac:dyDescent="0.2">
      <c r="J32" s="3"/>
    </row>
    <row r="52" spans="3:7" x14ac:dyDescent="0.2">
      <c r="C52" s="106" t="s">
        <v>515</v>
      </c>
      <c r="D52" s="106" t="s">
        <v>516</v>
      </c>
      <c r="E52" s="106" t="s">
        <v>517</v>
      </c>
      <c r="F52" s="106" t="s">
        <v>518</v>
      </c>
      <c r="G52" s="106" t="s">
        <v>249</v>
      </c>
    </row>
    <row r="53" spans="3:7" ht="14.25" x14ac:dyDescent="0.2">
      <c r="C53" s="104" t="s">
        <v>466</v>
      </c>
      <c r="D53" s="104" t="s">
        <v>289</v>
      </c>
      <c r="E53" s="104" t="s">
        <v>258</v>
      </c>
      <c r="F53" s="105">
        <v>66</v>
      </c>
      <c r="G53" s="104" t="s">
        <v>524</v>
      </c>
    </row>
    <row r="54" spans="3:7" ht="14.25" x14ac:dyDescent="0.2">
      <c r="C54" s="104" t="s">
        <v>467</v>
      </c>
      <c r="D54" s="104" t="s">
        <v>291</v>
      </c>
      <c r="E54" s="104" t="s">
        <v>258</v>
      </c>
      <c r="F54" s="104">
        <v>66</v>
      </c>
      <c r="G54" s="104" t="s">
        <v>524</v>
      </c>
    </row>
    <row r="55" spans="3:7" ht="14.25" x14ac:dyDescent="0.2">
      <c r="C55" s="104" t="s">
        <v>468</v>
      </c>
      <c r="D55" s="104" t="s">
        <v>292</v>
      </c>
      <c r="E55" s="104" t="s">
        <v>258</v>
      </c>
      <c r="F55" s="104">
        <v>66</v>
      </c>
      <c r="G55" s="104" t="s">
        <v>524</v>
      </c>
    </row>
    <row r="56" spans="3:7" ht="14.25" x14ac:dyDescent="0.2">
      <c r="C56" s="104" t="s">
        <v>469</v>
      </c>
      <c r="D56" s="104" t="s">
        <v>293</v>
      </c>
      <c r="E56" s="104" t="s">
        <v>258</v>
      </c>
      <c r="F56" s="104">
        <v>60</v>
      </c>
      <c r="G56" s="104" t="s">
        <v>524</v>
      </c>
    </row>
    <row r="57" spans="3:7" ht="14.25" x14ac:dyDescent="0.2">
      <c r="C57" s="104" t="s">
        <v>470</v>
      </c>
      <c r="D57" s="104" t="s">
        <v>294</v>
      </c>
      <c r="E57" s="104" t="s">
        <v>258</v>
      </c>
      <c r="F57" s="104">
        <v>60</v>
      </c>
      <c r="G57" s="104" t="s">
        <v>524</v>
      </c>
    </row>
    <row r="58" spans="3:7" ht="14.25" x14ac:dyDescent="0.2">
      <c r="C58" s="104" t="s">
        <v>471</v>
      </c>
      <c r="D58" s="104" t="s">
        <v>295</v>
      </c>
      <c r="E58" s="104" t="s">
        <v>258</v>
      </c>
      <c r="F58" s="104">
        <v>58</v>
      </c>
      <c r="G58" s="104" t="s">
        <v>524</v>
      </c>
    </row>
    <row r="59" spans="3:7" ht="14.25" x14ac:dyDescent="0.2">
      <c r="C59" s="104" t="s">
        <v>472</v>
      </c>
      <c r="D59" s="104" t="s">
        <v>296</v>
      </c>
      <c r="E59" s="104" t="s">
        <v>258</v>
      </c>
      <c r="F59" s="104">
        <v>58</v>
      </c>
      <c r="G59" s="104" t="s">
        <v>524</v>
      </c>
    </row>
    <row r="60" spans="3:7" ht="14.25" x14ac:dyDescent="0.2">
      <c r="C60" s="104" t="s">
        <v>473</v>
      </c>
      <c r="D60" s="104" t="s">
        <v>297</v>
      </c>
      <c r="E60" s="104" t="s">
        <v>258</v>
      </c>
      <c r="F60" s="104">
        <v>58</v>
      </c>
      <c r="G60" s="104" t="s">
        <v>524</v>
      </c>
    </row>
    <row r="61" spans="3:7" ht="14.25" x14ac:dyDescent="0.2">
      <c r="C61" s="104" t="s">
        <v>474</v>
      </c>
      <c r="D61" s="104" t="s">
        <v>298</v>
      </c>
      <c r="E61" s="104" t="s">
        <v>258</v>
      </c>
      <c r="F61" s="104">
        <v>58</v>
      </c>
      <c r="G61" s="104" t="s">
        <v>524</v>
      </c>
    </row>
    <row r="62" spans="3:7" ht="14.25" x14ac:dyDescent="0.2">
      <c r="C62" s="104" t="s">
        <v>475</v>
      </c>
      <c r="D62" s="104" t="s">
        <v>299</v>
      </c>
      <c r="E62" s="104" t="s">
        <v>258</v>
      </c>
      <c r="F62" s="104">
        <v>95</v>
      </c>
      <c r="G62" s="104" t="s">
        <v>525</v>
      </c>
    </row>
    <row r="63" spans="3:7" ht="14.25" x14ac:dyDescent="0.2">
      <c r="C63" s="104" t="s">
        <v>476</v>
      </c>
      <c r="D63" s="104" t="s">
        <v>300</v>
      </c>
      <c r="E63" s="104" t="s">
        <v>258</v>
      </c>
      <c r="F63" s="104">
        <v>95</v>
      </c>
      <c r="G63" s="104" t="s">
        <v>525</v>
      </c>
    </row>
    <row r="64" spans="3:7" ht="14.25" x14ac:dyDescent="0.2">
      <c r="C64" s="104" t="s">
        <v>477</v>
      </c>
      <c r="D64" s="104" t="s">
        <v>301</v>
      </c>
      <c r="E64" s="104" t="s">
        <v>258</v>
      </c>
      <c r="F64" s="104">
        <v>84</v>
      </c>
      <c r="G64" s="104" t="s">
        <v>525</v>
      </c>
    </row>
    <row r="65" spans="3:7" ht="14.25" x14ac:dyDescent="0.2">
      <c r="C65" s="104" t="s">
        <v>478</v>
      </c>
      <c r="D65" s="104" t="s">
        <v>302</v>
      </c>
      <c r="E65" s="104" t="s">
        <v>258</v>
      </c>
      <c r="F65" s="104">
        <v>109</v>
      </c>
      <c r="G65" s="104" t="s">
        <v>525</v>
      </c>
    </row>
    <row r="66" spans="3:7" ht="14.25" x14ac:dyDescent="0.2">
      <c r="C66" s="104" t="s">
        <v>479</v>
      </c>
      <c r="D66" s="104" t="s">
        <v>303</v>
      </c>
      <c r="E66" s="104" t="s">
        <v>258</v>
      </c>
      <c r="F66" s="104">
        <v>74</v>
      </c>
      <c r="G66" s="104" t="s">
        <v>525</v>
      </c>
    </row>
    <row r="67" spans="3:7" ht="14.25" x14ac:dyDescent="0.2">
      <c r="C67" s="104" t="s">
        <v>480</v>
      </c>
      <c r="D67" s="104" t="s">
        <v>382</v>
      </c>
      <c r="E67" s="104" t="s">
        <v>258</v>
      </c>
      <c r="F67" s="104">
        <v>87</v>
      </c>
      <c r="G67" s="104" t="s">
        <v>525</v>
      </c>
    </row>
    <row r="68" spans="3:7" ht="14.25" x14ac:dyDescent="0.2">
      <c r="C68" s="104" t="s">
        <v>481</v>
      </c>
      <c r="D68" s="104" t="s">
        <v>383</v>
      </c>
      <c r="E68" s="104" t="s">
        <v>258</v>
      </c>
      <c r="F68" s="104">
        <v>92</v>
      </c>
      <c r="G68" s="104" t="s">
        <v>525</v>
      </c>
    </row>
    <row r="69" spans="3:7" ht="14.25" x14ac:dyDescent="0.2">
      <c r="C69" s="104" t="s">
        <v>482</v>
      </c>
      <c r="D69" s="104" t="s">
        <v>384</v>
      </c>
      <c r="E69" s="104" t="s">
        <v>258</v>
      </c>
      <c r="F69" s="104">
        <v>71</v>
      </c>
      <c r="G69" s="104" t="s">
        <v>525</v>
      </c>
    </row>
    <row r="70" spans="3:7" ht="14.25" x14ac:dyDescent="0.2">
      <c r="C70" s="104" t="s">
        <v>483</v>
      </c>
      <c r="D70" s="104" t="s">
        <v>327</v>
      </c>
      <c r="E70" s="104" t="s">
        <v>258</v>
      </c>
      <c r="F70" s="104">
        <v>68</v>
      </c>
      <c r="G70" s="104" t="s">
        <v>524</v>
      </c>
    </row>
    <row r="71" spans="3:7" ht="14.25" x14ac:dyDescent="0.2">
      <c r="C71" s="104" t="s">
        <v>484</v>
      </c>
      <c r="D71" s="104" t="s">
        <v>329</v>
      </c>
      <c r="E71" s="104" t="s">
        <v>258</v>
      </c>
      <c r="F71" s="104">
        <v>68</v>
      </c>
      <c r="G71" s="104" t="s">
        <v>524</v>
      </c>
    </row>
    <row r="72" spans="3:7" ht="14.25" x14ac:dyDescent="0.2">
      <c r="C72" s="104" t="s">
        <v>485</v>
      </c>
      <c r="D72" s="104" t="s">
        <v>330</v>
      </c>
      <c r="E72" s="104" t="s">
        <v>268</v>
      </c>
      <c r="F72" s="104">
        <v>210</v>
      </c>
      <c r="G72" s="104" t="s">
        <v>530</v>
      </c>
    </row>
    <row r="73" spans="3:7" ht="14.25" x14ac:dyDescent="0.2">
      <c r="C73" s="104" t="s">
        <v>486</v>
      </c>
      <c r="D73" s="104" t="s">
        <v>304</v>
      </c>
      <c r="E73" s="104" t="s">
        <v>285</v>
      </c>
      <c r="F73" s="104">
        <v>49</v>
      </c>
      <c r="G73" s="104" t="s">
        <v>526</v>
      </c>
    </row>
    <row r="74" spans="3:7" ht="14.25" x14ac:dyDescent="0.2">
      <c r="C74" s="104" t="s">
        <v>487</v>
      </c>
      <c r="D74" s="104" t="s">
        <v>305</v>
      </c>
      <c r="E74" s="104" t="s">
        <v>285</v>
      </c>
      <c r="F74" s="104">
        <v>49</v>
      </c>
      <c r="G74" s="104" t="s">
        <v>526</v>
      </c>
    </row>
    <row r="75" spans="3:7" ht="14.25" x14ac:dyDescent="0.2">
      <c r="C75" s="104" t="s">
        <v>488</v>
      </c>
      <c r="D75" s="104" t="s">
        <v>331</v>
      </c>
      <c r="E75" s="104" t="s">
        <v>272</v>
      </c>
      <c r="F75" s="104">
        <v>42</v>
      </c>
      <c r="G75" s="104" t="s">
        <v>529</v>
      </c>
    </row>
    <row r="76" spans="3:7" ht="14.25" x14ac:dyDescent="0.2">
      <c r="C76" s="104" t="s">
        <v>489</v>
      </c>
      <c r="D76" s="104" t="s">
        <v>332</v>
      </c>
      <c r="E76" s="104" t="s">
        <v>272</v>
      </c>
      <c r="F76" s="104">
        <v>52</v>
      </c>
      <c r="G76" s="104" t="s">
        <v>529</v>
      </c>
    </row>
    <row r="77" spans="3:7" ht="14.25" x14ac:dyDescent="0.2">
      <c r="C77" s="104" t="s">
        <v>490</v>
      </c>
      <c r="D77" s="104" t="s">
        <v>307</v>
      </c>
      <c r="E77" s="104" t="s">
        <v>285</v>
      </c>
      <c r="F77" s="104">
        <v>60</v>
      </c>
      <c r="G77" s="104" t="s">
        <v>526</v>
      </c>
    </row>
    <row r="78" spans="3:7" ht="14.25" x14ac:dyDescent="0.2">
      <c r="C78" s="104" t="s">
        <v>491</v>
      </c>
      <c r="D78" s="104" t="s">
        <v>308</v>
      </c>
      <c r="E78" s="104" t="s">
        <v>285</v>
      </c>
      <c r="F78" s="104">
        <v>51</v>
      </c>
      <c r="G78" s="104" t="s">
        <v>526</v>
      </c>
    </row>
    <row r="79" spans="3:7" ht="14.25" x14ac:dyDescent="0.2">
      <c r="C79" s="104" t="s">
        <v>492</v>
      </c>
      <c r="D79" s="104" t="s">
        <v>309</v>
      </c>
      <c r="E79" s="104" t="s">
        <v>285</v>
      </c>
      <c r="F79" s="104">
        <v>51</v>
      </c>
      <c r="G79" s="104" t="s">
        <v>526</v>
      </c>
    </row>
    <row r="80" spans="3:7" ht="14.25" x14ac:dyDescent="0.2">
      <c r="C80" s="104" t="s">
        <v>493</v>
      </c>
      <c r="D80" s="104" t="s">
        <v>310</v>
      </c>
      <c r="E80" s="104" t="s">
        <v>285</v>
      </c>
      <c r="F80" s="104">
        <v>55</v>
      </c>
      <c r="G80" s="104" t="s">
        <v>526</v>
      </c>
    </row>
    <row r="81" spans="3:7" ht="14.25" x14ac:dyDescent="0.2">
      <c r="C81" s="104" t="s">
        <v>494</v>
      </c>
      <c r="D81" s="104" t="s">
        <v>311</v>
      </c>
      <c r="E81" s="104" t="s">
        <v>285</v>
      </c>
      <c r="F81" s="104">
        <v>46</v>
      </c>
      <c r="G81" s="104" t="s">
        <v>526</v>
      </c>
    </row>
    <row r="82" spans="3:7" ht="14.25" x14ac:dyDescent="0.2">
      <c r="C82" s="104" t="s">
        <v>495</v>
      </c>
      <c r="D82" s="104" t="s">
        <v>312</v>
      </c>
      <c r="E82" s="104" t="s">
        <v>285</v>
      </c>
      <c r="F82" s="104">
        <v>46</v>
      </c>
      <c r="G82" s="104" t="s">
        <v>526</v>
      </c>
    </row>
    <row r="83" spans="3:7" ht="14.25" x14ac:dyDescent="0.2">
      <c r="C83" s="104" t="s">
        <v>496</v>
      </c>
      <c r="D83" s="104" t="s">
        <v>313</v>
      </c>
      <c r="E83" s="104" t="s">
        <v>285</v>
      </c>
      <c r="F83" s="104">
        <v>55</v>
      </c>
      <c r="G83" s="104" t="s">
        <v>526</v>
      </c>
    </row>
    <row r="84" spans="3:7" ht="14.25" x14ac:dyDescent="0.2">
      <c r="C84" s="104" t="s">
        <v>497</v>
      </c>
      <c r="D84" s="104" t="s">
        <v>314</v>
      </c>
      <c r="E84" s="104" t="s">
        <v>285</v>
      </c>
      <c r="F84" s="104">
        <v>58</v>
      </c>
      <c r="G84" s="104" t="s">
        <v>526</v>
      </c>
    </row>
    <row r="85" spans="3:7" ht="14.25" x14ac:dyDescent="0.2">
      <c r="C85" s="104" t="s">
        <v>498</v>
      </c>
      <c r="D85" s="104" t="s">
        <v>315</v>
      </c>
      <c r="E85" s="104" t="s">
        <v>285</v>
      </c>
      <c r="F85" s="104">
        <v>58</v>
      </c>
      <c r="G85" s="104" t="s">
        <v>526</v>
      </c>
    </row>
    <row r="86" spans="3:7" ht="14.25" x14ac:dyDescent="0.2">
      <c r="C86" s="104" t="s">
        <v>499</v>
      </c>
      <c r="D86" s="104" t="s">
        <v>316</v>
      </c>
      <c r="E86" s="104" t="s">
        <v>285</v>
      </c>
      <c r="F86" s="104">
        <v>71</v>
      </c>
      <c r="G86" s="104" t="s">
        <v>527</v>
      </c>
    </row>
    <row r="87" spans="3:7" ht="14.25" x14ac:dyDescent="0.2">
      <c r="C87" s="104" t="s">
        <v>500</v>
      </c>
      <c r="D87" s="104" t="s">
        <v>317</v>
      </c>
      <c r="E87" s="104" t="s">
        <v>285</v>
      </c>
      <c r="F87" s="104">
        <v>71</v>
      </c>
      <c r="G87" s="104" t="s">
        <v>527</v>
      </c>
    </row>
    <row r="88" spans="3:7" ht="14.25" x14ac:dyDescent="0.2">
      <c r="C88" s="104" t="s">
        <v>501</v>
      </c>
      <c r="D88" s="104" t="s">
        <v>318</v>
      </c>
      <c r="E88" s="104" t="s">
        <v>285</v>
      </c>
      <c r="F88" s="104">
        <v>48</v>
      </c>
      <c r="G88" s="104" t="s">
        <v>527</v>
      </c>
    </row>
    <row r="89" spans="3:7" ht="14.25" x14ac:dyDescent="0.2">
      <c r="C89" s="104" t="s">
        <v>502</v>
      </c>
      <c r="D89" s="104" t="s">
        <v>319</v>
      </c>
      <c r="E89" s="104" t="s">
        <v>285</v>
      </c>
      <c r="F89" s="104">
        <v>48</v>
      </c>
      <c r="G89" s="104" t="s">
        <v>527</v>
      </c>
    </row>
    <row r="90" spans="3:7" ht="14.25" x14ac:dyDescent="0.2">
      <c r="C90" s="104" t="s">
        <v>503</v>
      </c>
      <c r="D90" s="104" t="s">
        <v>320</v>
      </c>
      <c r="E90" s="104" t="s">
        <v>285</v>
      </c>
      <c r="F90" s="104">
        <v>60</v>
      </c>
      <c r="G90" s="104" t="s">
        <v>527</v>
      </c>
    </row>
    <row r="91" spans="3:7" ht="14.25" x14ac:dyDescent="0.2">
      <c r="C91" s="104" t="s">
        <v>504</v>
      </c>
      <c r="D91" s="104" t="s">
        <v>321</v>
      </c>
      <c r="E91" s="104" t="s">
        <v>285</v>
      </c>
      <c r="F91" s="104">
        <v>60</v>
      </c>
      <c r="G91" s="104" t="s">
        <v>527</v>
      </c>
    </row>
    <row r="92" spans="3:7" ht="14.25" x14ac:dyDescent="0.2">
      <c r="C92" s="104" t="s">
        <v>505</v>
      </c>
      <c r="D92" s="104" t="s">
        <v>322</v>
      </c>
      <c r="E92" s="104" t="s">
        <v>285</v>
      </c>
      <c r="F92" s="104">
        <v>72</v>
      </c>
      <c r="G92" s="104" t="s">
        <v>527</v>
      </c>
    </row>
    <row r="93" spans="3:7" ht="14.25" x14ac:dyDescent="0.2">
      <c r="C93" s="104" t="s">
        <v>506</v>
      </c>
      <c r="D93" s="104" t="s">
        <v>323</v>
      </c>
      <c r="E93" s="104" t="s">
        <v>285</v>
      </c>
      <c r="F93" s="104">
        <v>72</v>
      </c>
      <c r="G93" s="104" t="s">
        <v>527</v>
      </c>
    </row>
    <row r="94" spans="3:7" ht="14.25" x14ac:dyDescent="0.2">
      <c r="C94" s="104" t="s">
        <v>507</v>
      </c>
      <c r="D94" s="104" t="s">
        <v>324</v>
      </c>
      <c r="E94" s="104" t="s">
        <v>271</v>
      </c>
      <c r="F94" s="104">
        <v>42</v>
      </c>
      <c r="G94" s="104" t="s">
        <v>528</v>
      </c>
    </row>
    <row r="95" spans="3:7" ht="14.25" x14ac:dyDescent="0.2">
      <c r="C95" s="104" t="s">
        <v>508</v>
      </c>
      <c r="D95" s="104" t="s">
        <v>325</v>
      </c>
      <c r="E95" s="104" t="s">
        <v>271</v>
      </c>
      <c r="F95" s="104">
        <v>42</v>
      </c>
      <c r="G95" s="104" t="s">
        <v>528</v>
      </c>
    </row>
    <row r="96" spans="3:7" ht="14.25" x14ac:dyDescent="0.2">
      <c r="C96" s="104" t="s">
        <v>509</v>
      </c>
      <c r="D96" s="104" t="s">
        <v>326</v>
      </c>
      <c r="E96" s="104" t="s">
        <v>272</v>
      </c>
      <c r="F96" s="104">
        <v>52</v>
      </c>
      <c r="G96" s="104" t="s">
        <v>529</v>
      </c>
    </row>
    <row r="97" spans="3:9" ht="14.25" x14ac:dyDescent="0.2">
      <c r="C97" s="104" t="s">
        <v>510</v>
      </c>
      <c r="D97" s="104" t="s">
        <v>380</v>
      </c>
      <c r="E97" s="104" t="s">
        <v>391</v>
      </c>
      <c r="F97" s="104">
        <v>80</v>
      </c>
      <c r="G97" s="104" t="s">
        <v>531</v>
      </c>
    </row>
    <row r="98" spans="3:9" ht="14.25" x14ac:dyDescent="0.2">
      <c r="C98" s="104" t="s">
        <v>511</v>
      </c>
      <c r="D98" s="104" t="s">
        <v>353</v>
      </c>
      <c r="E98" s="104" t="s">
        <v>285</v>
      </c>
      <c r="F98" s="104">
        <v>53</v>
      </c>
      <c r="G98" s="104" t="s">
        <v>527</v>
      </c>
    </row>
    <row r="99" spans="3:9" ht="14.25" x14ac:dyDescent="0.2">
      <c r="C99" s="104" t="s">
        <v>512</v>
      </c>
      <c r="D99" s="104" t="s">
        <v>333</v>
      </c>
      <c r="E99" s="104" t="s">
        <v>392</v>
      </c>
      <c r="F99" s="104">
        <v>175</v>
      </c>
      <c r="G99" s="104" t="s">
        <v>532</v>
      </c>
      <c r="H99" s="104" t="s">
        <v>533</v>
      </c>
      <c r="I99" s="104" t="s">
        <v>534</v>
      </c>
    </row>
    <row r="100" spans="3:9" ht="14.25" x14ac:dyDescent="0.2">
      <c r="C100" s="104" t="s">
        <v>513</v>
      </c>
      <c r="D100" s="104" t="s">
        <v>393</v>
      </c>
      <c r="E100" s="104" t="s">
        <v>392</v>
      </c>
      <c r="F100" s="104">
        <v>58</v>
      </c>
      <c r="G100" s="104" t="s">
        <v>535</v>
      </c>
      <c r="H100" s="104" t="s">
        <v>536</v>
      </c>
      <c r="I100" s="104" t="s">
        <v>537</v>
      </c>
    </row>
    <row r="101" spans="3:9" ht="14.25" x14ac:dyDescent="0.2">
      <c r="C101" s="104" t="s">
        <v>514</v>
      </c>
      <c r="D101" s="104" t="s">
        <v>390</v>
      </c>
      <c r="E101" s="104" t="s">
        <v>258</v>
      </c>
      <c r="F101" s="104">
        <v>11</v>
      </c>
      <c r="G101" s="104" t="s">
        <v>538</v>
      </c>
    </row>
    <row r="102" spans="3:9" ht="14.25" x14ac:dyDescent="0.2">
      <c r="C102" s="104" t="s">
        <v>546</v>
      </c>
      <c r="D102" s="104" t="s">
        <v>542</v>
      </c>
      <c r="E102" s="104" t="s">
        <v>543</v>
      </c>
      <c r="F102" s="104">
        <v>22</v>
      </c>
      <c r="G102" s="104" t="s">
        <v>607</v>
      </c>
    </row>
  </sheetData>
  <autoFilter ref="C52:F102" xr:uid="{0B93B190-8712-48C5-A333-9018D7550193}"/>
  <phoneticPr fontId="36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8"/>
  <dimension ref="A1:L81"/>
  <sheetViews>
    <sheetView topLeftCell="G1" workbookViewId="0">
      <selection activeCell="I20" sqref="I20"/>
    </sheetView>
  </sheetViews>
  <sheetFormatPr defaultRowHeight="12.75" x14ac:dyDescent="0.2"/>
  <cols>
    <col min="2" max="2" width="33.7109375" customWidth="1"/>
    <col min="3" max="3" width="11.85546875" bestFit="1" customWidth="1"/>
    <col min="4" max="4" width="10.5703125" bestFit="1" customWidth="1"/>
    <col min="5" max="5" width="14.140625" customWidth="1"/>
    <col min="6" max="6" width="20" customWidth="1"/>
    <col min="7" max="7" width="15.42578125" bestFit="1" customWidth="1"/>
    <col min="8" max="8" width="31.42578125" customWidth="1"/>
    <col min="9" max="9" width="14" bestFit="1" customWidth="1"/>
    <col min="10" max="10" width="19.140625" bestFit="1" customWidth="1"/>
    <col min="11" max="11" width="24.42578125" bestFit="1" customWidth="1"/>
  </cols>
  <sheetData>
    <row r="1" spans="1:12" ht="13.5" thickBot="1" x14ac:dyDescent="0.25"/>
    <row r="2" spans="1:12" x14ac:dyDescent="0.2">
      <c r="A2" s="300" t="s">
        <v>2</v>
      </c>
      <c r="B2" s="300"/>
      <c r="C2" s="300"/>
      <c r="E2" s="297" t="s">
        <v>78</v>
      </c>
      <c r="F2" s="298"/>
      <c r="G2" s="298"/>
      <c r="H2" s="299"/>
    </row>
    <row r="3" spans="1:12" ht="26.25" thickBot="1" x14ac:dyDescent="0.25">
      <c r="A3" s="10"/>
      <c r="B3" s="38" t="s">
        <v>17</v>
      </c>
      <c r="C3" s="10" t="s">
        <v>48</v>
      </c>
      <c r="D3" s="13" t="s">
        <v>42</v>
      </c>
      <c r="E3" s="18" t="s">
        <v>71</v>
      </c>
      <c r="F3" s="33" t="s">
        <v>72</v>
      </c>
      <c r="G3" s="34" t="s">
        <v>73</v>
      </c>
      <c r="H3" s="35" t="s">
        <v>74</v>
      </c>
      <c r="I3" s="16" t="s">
        <v>75</v>
      </c>
      <c r="J3" s="11" t="s">
        <v>76</v>
      </c>
      <c r="K3" s="11" t="s">
        <v>77</v>
      </c>
      <c r="L3" s="11" t="s">
        <v>81</v>
      </c>
    </row>
    <row r="4" spans="1:12" ht="18" customHeight="1" x14ac:dyDescent="0.2">
      <c r="A4" s="9" t="s">
        <v>3</v>
      </c>
      <c r="B4" s="12" t="s">
        <v>80</v>
      </c>
      <c r="D4" s="14"/>
      <c r="E4" s="292" t="s">
        <v>189</v>
      </c>
      <c r="F4" s="301" t="s">
        <v>180</v>
      </c>
      <c r="G4" s="304" t="s">
        <v>198</v>
      </c>
      <c r="H4" s="308" t="s">
        <v>197</v>
      </c>
      <c r="I4" s="286" t="s">
        <v>179</v>
      </c>
      <c r="J4" s="8" t="s">
        <v>54</v>
      </c>
      <c r="K4" t="s">
        <v>79</v>
      </c>
      <c r="L4" s="20" t="s">
        <v>1</v>
      </c>
    </row>
    <row r="5" spans="1:12" x14ac:dyDescent="0.2">
      <c r="A5" s="9" t="s">
        <v>4</v>
      </c>
      <c r="B5" s="8" t="s">
        <v>134</v>
      </c>
      <c r="C5" s="8" t="s">
        <v>40</v>
      </c>
      <c r="D5" s="15" t="s">
        <v>43</v>
      </c>
      <c r="E5" s="293"/>
      <c r="F5" s="302"/>
      <c r="G5" s="305"/>
      <c r="H5" s="309"/>
      <c r="I5" s="287"/>
      <c r="J5" s="8" t="s">
        <v>175</v>
      </c>
      <c r="K5" t="s">
        <v>69</v>
      </c>
      <c r="L5" t="s">
        <v>82</v>
      </c>
    </row>
    <row r="6" spans="1:12" x14ac:dyDescent="0.2">
      <c r="A6" s="9" t="s">
        <v>5</v>
      </c>
      <c r="B6" s="8" t="s">
        <v>29</v>
      </c>
      <c r="C6" s="8" t="s">
        <v>41</v>
      </c>
      <c r="D6" s="15" t="s">
        <v>44</v>
      </c>
      <c r="E6" s="293"/>
      <c r="F6" s="302"/>
      <c r="G6" s="305"/>
      <c r="H6" s="309"/>
      <c r="I6" s="287"/>
      <c r="J6" s="8" t="s">
        <v>55</v>
      </c>
      <c r="K6" t="s">
        <v>65</v>
      </c>
    </row>
    <row r="7" spans="1:12" x14ac:dyDescent="0.2">
      <c r="A7" s="9" t="s">
        <v>6</v>
      </c>
      <c r="B7" s="8" t="s">
        <v>28</v>
      </c>
      <c r="C7" s="8" t="s">
        <v>50</v>
      </c>
      <c r="D7" s="15" t="s">
        <v>45</v>
      </c>
      <c r="E7" s="293"/>
      <c r="F7" s="302"/>
      <c r="G7" s="305"/>
      <c r="H7" s="309"/>
      <c r="I7" s="287"/>
      <c r="J7" s="8" t="s">
        <v>56</v>
      </c>
      <c r="K7" t="s">
        <v>67</v>
      </c>
    </row>
    <row r="8" spans="1:12" x14ac:dyDescent="0.2">
      <c r="A8" s="9" t="s">
        <v>7</v>
      </c>
      <c r="B8" s="8" t="s">
        <v>135</v>
      </c>
      <c r="D8" s="15" t="s">
        <v>46</v>
      </c>
      <c r="E8" s="293"/>
      <c r="F8" s="302"/>
      <c r="G8" s="305"/>
      <c r="H8" s="309"/>
      <c r="I8" s="287"/>
      <c r="J8" s="8" t="s">
        <v>57</v>
      </c>
      <c r="K8" t="s">
        <v>68</v>
      </c>
    </row>
    <row r="9" spans="1:12" x14ac:dyDescent="0.2">
      <c r="A9" s="9" t="s">
        <v>8</v>
      </c>
      <c r="B9" s="8" t="s">
        <v>136</v>
      </c>
      <c r="D9" s="15" t="s">
        <v>47</v>
      </c>
      <c r="E9" s="293"/>
      <c r="F9" s="302"/>
      <c r="G9" s="305"/>
      <c r="H9" s="309"/>
      <c r="I9" s="287"/>
      <c r="J9" s="8" t="s">
        <v>58</v>
      </c>
      <c r="K9" t="s">
        <v>66</v>
      </c>
    </row>
    <row r="10" spans="1:12" x14ac:dyDescent="0.2">
      <c r="A10" s="9" t="s">
        <v>9</v>
      </c>
      <c r="B10" s="8" t="s">
        <v>22</v>
      </c>
      <c r="D10" s="15" t="s">
        <v>49</v>
      </c>
      <c r="E10" s="294"/>
      <c r="F10" s="302"/>
      <c r="G10" s="305"/>
      <c r="H10" s="309"/>
      <c r="I10" s="287"/>
      <c r="J10" s="8" t="s">
        <v>59</v>
      </c>
      <c r="K10" t="s">
        <v>70</v>
      </c>
    </row>
    <row r="11" spans="1:12" ht="48" x14ac:dyDescent="0.2">
      <c r="A11" s="9" t="s">
        <v>10</v>
      </c>
      <c r="B11" s="8" t="s">
        <v>27</v>
      </c>
      <c r="E11" s="37" t="s">
        <v>190</v>
      </c>
      <c r="F11" s="7" t="s">
        <v>181</v>
      </c>
      <c r="G11" s="6" t="s">
        <v>51</v>
      </c>
      <c r="H11" s="19" t="s">
        <v>52</v>
      </c>
      <c r="I11" s="17" t="s">
        <v>53</v>
      </c>
      <c r="J11" s="8" t="s">
        <v>176</v>
      </c>
    </row>
    <row r="12" spans="1:12" ht="36" x14ac:dyDescent="0.2">
      <c r="A12" s="9" t="s">
        <v>11</v>
      </c>
      <c r="B12" s="8" t="s">
        <v>26</v>
      </c>
      <c r="E12" s="37" t="s">
        <v>191</v>
      </c>
      <c r="F12" s="7" t="s">
        <v>182</v>
      </c>
      <c r="G12" s="6" t="s">
        <v>172</v>
      </c>
      <c r="H12" s="36" t="s">
        <v>173</v>
      </c>
      <c r="I12" s="17" t="s">
        <v>174</v>
      </c>
      <c r="J12" s="8" t="s">
        <v>60</v>
      </c>
    </row>
    <row r="13" spans="1:12" x14ac:dyDescent="0.2">
      <c r="A13" s="9" t="s">
        <v>12</v>
      </c>
      <c r="B13" s="8" t="s">
        <v>18</v>
      </c>
      <c r="E13" s="310" t="s">
        <v>192</v>
      </c>
      <c r="F13" s="303" t="s">
        <v>183</v>
      </c>
      <c r="G13" s="306" t="s">
        <v>194</v>
      </c>
      <c r="H13" s="290" t="s">
        <v>195</v>
      </c>
      <c r="I13" s="288" t="s">
        <v>196</v>
      </c>
      <c r="J13" s="8" t="s">
        <v>61</v>
      </c>
    </row>
    <row r="14" spans="1:12" ht="27.75" customHeight="1" x14ac:dyDescent="0.2">
      <c r="A14" s="9" t="s">
        <v>13</v>
      </c>
      <c r="B14" s="8" t="s">
        <v>25</v>
      </c>
      <c r="E14" s="294"/>
      <c r="F14" s="303"/>
      <c r="G14" s="307"/>
      <c r="H14" s="290"/>
      <c r="I14" s="289"/>
      <c r="J14" s="8" t="s">
        <v>62</v>
      </c>
    </row>
    <row r="15" spans="1:12" ht="26.25" customHeight="1" x14ac:dyDescent="0.2">
      <c r="A15" s="9" t="s">
        <v>14</v>
      </c>
      <c r="B15" s="8" t="s">
        <v>137</v>
      </c>
      <c r="E15" s="310" t="s">
        <v>193</v>
      </c>
      <c r="F15" s="303" t="s">
        <v>184</v>
      </c>
      <c r="G15" s="306" t="s">
        <v>185</v>
      </c>
      <c r="H15" s="290" t="s">
        <v>186</v>
      </c>
      <c r="I15" s="288" t="s">
        <v>187</v>
      </c>
      <c r="J15" s="8" t="s">
        <v>177</v>
      </c>
    </row>
    <row r="16" spans="1:12" ht="26.25" customHeight="1" thickBot="1" x14ac:dyDescent="0.25">
      <c r="A16" s="9" t="s">
        <v>15</v>
      </c>
      <c r="B16" s="8" t="s">
        <v>19</v>
      </c>
      <c r="E16" s="312"/>
      <c r="F16" s="311"/>
      <c r="G16" s="313"/>
      <c r="H16" s="291"/>
      <c r="I16" s="289"/>
      <c r="J16" s="8" t="s">
        <v>63</v>
      </c>
    </row>
    <row r="17" spans="1:10" x14ac:dyDescent="0.2">
      <c r="A17" s="9" t="s">
        <v>16</v>
      </c>
      <c r="B17" s="8" t="s">
        <v>23</v>
      </c>
      <c r="J17" s="8" t="s">
        <v>64</v>
      </c>
    </row>
    <row r="18" spans="1:10" x14ac:dyDescent="0.2">
      <c r="A18" s="8"/>
      <c r="B18" s="8" t="s">
        <v>138</v>
      </c>
      <c r="J18" s="8" t="s">
        <v>178</v>
      </c>
    </row>
    <row r="19" spans="1:10" x14ac:dyDescent="0.2">
      <c r="B19" s="27" t="s">
        <v>139</v>
      </c>
    </row>
    <row r="20" spans="1:10" x14ac:dyDescent="0.2">
      <c r="B20" s="27" t="s">
        <v>140</v>
      </c>
    </row>
    <row r="21" spans="1:10" x14ac:dyDescent="0.2">
      <c r="B21" s="27" t="s">
        <v>141</v>
      </c>
    </row>
    <row r="22" spans="1:10" x14ac:dyDescent="0.2">
      <c r="B22" s="27" t="s">
        <v>142</v>
      </c>
    </row>
    <row r="23" spans="1:10" x14ac:dyDescent="0.2">
      <c r="B23" s="27" t="s">
        <v>143</v>
      </c>
    </row>
    <row r="24" spans="1:10" x14ac:dyDescent="0.2">
      <c r="B24" s="27" t="s">
        <v>144</v>
      </c>
      <c r="F24" s="295" t="s">
        <v>83</v>
      </c>
      <c r="G24" s="296"/>
      <c r="H24" s="296"/>
      <c r="I24" s="23"/>
    </row>
    <row r="25" spans="1:10" x14ac:dyDescent="0.2">
      <c r="B25" s="27" t="s">
        <v>145</v>
      </c>
      <c r="F25" s="24"/>
      <c r="I25" s="1"/>
    </row>
    <row r="26" spans="1:10" x14ac:dyDescent="0.2">
      <c r="B26" s="27" t="s">
        <v>146</v>
      </c>
      <c r="F26" s="24" t="s">
        <v>93</v>
      </c>
      <c r="I26" s="1"/>
    </row>
    <row r="27" spans="1:10" x14ac:dyDescent="0.2">
      <c r="B27" s="27" t="s">
        <v>147</v>
      </c>
      <c r="F27" s="24"/>
      <c r="G27" s="3" t="s">
        <v>130</v>
      </c>
      <c r="I27" s="1"/>
    </row>
    <row r="28" spans="1:10" x14ac:dyDescent="0.2">
      <c r="B28" s="27" t="s">
        <v>148</v>
      </c>
      <c r="F28" s="24"/>
      <c r="G28" s="22" t="s">
        <v>84</v>
      </c>
      <c r="H28" t="s">
        <v>88</v>
      </c>
      <c r="I28" s="1"/>
    </row>
    <row r="29" spans="1:10" x14ac:dyDescent="0.2">
      <c r="B29" s="27" t="s">
        <v>156</v>
      </c>
      <c r="F29" s="24"/>
      <c r="G29" s="22" t="s">
        <v>85</v>
      </c>
      <c r="H29" t="s">
        <v>89</v>
      </c>
      <c r="I29" s="1"/>
    </row>
    <row r="30" spans="1:10" x14ac:dyDescent="0.2">
      <c r="B30" s="27" t="s">
        <v>149</v>
      </c>
      <c r="F30" s="24"/>
      <c r="G30" s="22" t="s">
        <v>86</v>
      </c>
      <c r="H30" t="s">
        <v>90</v>
      </c>
      <c r="I30" s="1"/>
    </row>
    <row r="31" spans="1:10" x14ac:dyDescent="0.2">
      <c r="B31" s="27" t="s">
        <v>20</v>
      </c>
      <c r="F31" s="24"/>
      <c r="G31" s="22" t="s">
        <v>87</v>
      </c>
      <c r="H31" t="s">
        <v>91</v>
      </c>
      <c r="I31" s="1"/>
    </row>
    <row r="32" spans="1:10" x14ac:dyDescent="0.2">
      <c r="B32" s="27" t="s">
        <v>21</v>
      </c>
      <c r="F32" s="24"/>
      <c r="G32" s="22" t="s">
        <v>131</v>
      </c>
      <c r="I32" s="1"/>
    </row>
    <row r="33" spans="2:9" x14ac:dyDescent="0.2">
      <c r="B33" s="27" t="s">
        <v>150</v>
      </c>
      <c r="F33" s="24" t="s">
        <v>92</v>
      </c>
      <c r="G33" s="22"/>
      <c r="I33" s="1"/>
    </row>
    <row r="34" spans="2:9" x14ac:dyDescent="0.2">
      <c r="B34" s="27" t="s">
        <v>151</v>
      </c>
      <c r="F34" s="24"/>
      <c r="G34" s="3" t="s">
        <v>130</v>
      </c>
      <c r="I34" s="1"/>
    </row>
    <row r="35" spans="2:9" x14ac:dyDescent="0.2">
      <c r="B35" s="27" t="s">
        <v>152</v>
      </c>
      <c r="F35" s="24"/>
      <c r="G35" s="22" t="s">
        <v>199</v>
      </c>
      <c r="H35" t="s">
        <v>200</v>
      </c>
      <c r="I35" s="1"/>
    </row>
    <row r="36" spans="2:9" x14ac:dyDescent="0.2">
      <c r="B36" s="27" t="s">
        <v>24</v>
      </c>
      <c r="F36" s="24"/>
      <c r="G36" s="22" t="s">
        <v>94</v>
      </c>
      <c r="H36" t="s">
        <v>100</v>
      </c>
      <c r="I36" s="1"/>
    </row>
    <row r="37" spans="2:9" x14ac:dyDescent="0.2">
      <c r="B37" s="27" t="s">
        <v>153</v>
      </c>
      <c r="F37" s="24"/>
      <c r="G37" s="22" t="s">
        <v>95</v>
      </c>
      <c r="H37" t="s">
        <v>101</v>
      </c>
      <c r="I37" s="1"/>
    </row>
    <row r="38" spans="2:9" x14ac:dyDescent="0.2">
      <c r="B38" s="27" t="s">
        <v>154</v>
      </c>
      <c r="F38" s="24"/>
      <c r="G38" s="22" t="s">
        <v>96</v>
      </c>
      <c r="H38" t="s">
        <v>102</v>
      </c>
      <c r="I38" s="1"/>
    </row>
    <row r="39" spans="2:9" x14ac:dyDescent="0.2">
      <c r="B39" s="27" t="s">
        <v>155</v>
      </c>
      <c r="F39" s="24"/>
      <c r="G39" s="22" t="s">
        <v>97</v>
      </c>
      <c r="H39" t="s">
        <v>129</v>
      </c>
      <c r="I39" s="1"/>
    </row>
    <row r="40" spans="2:9" x14ac:dyDescent="0.2">
      <c r="B40" s="27" t="s">
        <v>157</v>
      </c>
      <c r="F40" s="24"/>
      <c r="G40" s="22" t="s">
        <v>98</v>
      </c>
      <c r="H40" t="s">
        <v>128</v>
      </c>
      <c r="I40" s="1"/>
    </row>
    <row r="41" spans="2:9" x14ac:dyDescent="0.2">
      <c r="B41" s="27" t="s">
        <v>188</v>
      </c>
      <c r="F41" s="24"/>
      <c r="G41" s="22" t="s">
        <v>99</v>
      </c>
      <c r="H41" t="s">
        <v>103</v>
      </c>
      <c r="I41" s="1"/>
    </row>
    <row r="42" spans="2:9" x14ac:dyDescent="0.2">
      <c r="F42" s="24"/>
      <c r="G42" s="22" t="s">
        <v>131</v>
      </c>
      <c r="I42" s="1"/>
    </row>
    <row r="43" spans="2:9" x14ac:dyDescent="0.2">
      <c r="F43" s="24" t="s">
        <v>104</v>
      </c>
      <c r="G43" s="22"/>
      <c r="I43" s="1"/>
    </row>
    <row r="44" spans="2:9" x14ac:dyDescent="0.2">
      <c r="F44" s="24"/>
      <c r="G44" s="3" t="s">
        <v>130</v>
      </c>
      <c r="I44" s="1"/>
    </row>
    <row r="45" spans="2:9" x14ac:dyDescent="0.2">
      <c r="F45" s="24"/>
      <c r="G45" s="22" t="s">
        <v>105</v>
      </c>
      <c r="H45" t="s">
        <v>110</v>
      </c>
      <c r="I45" s="1"/>
    </row>
    <row r="46" spans="2:9" x14ac:dyDescent="0.2">
      <c r="F46" s="24"/>
      <c r="G46" s="22" t="s">
        <v>106</v>
      </c>
      <c r="H46" t="s">
        <v>111</v>
      </c>
      <c r="I46" s="1"/>
    </row>
    <row r="47" spans="2:9" x14ac:dyDescent="0.2">
      <c r="F47" s="24"/>
      <c r="G47" s="22" t="s">
        <v>107</v>
      </c>
      <c r="H47" t="s">
        <v>112</v>
      </c>
      <c r="I47" s="1"/>
    </row>
    <row r="48" spans="2:9" x14ac:dyDescent="0.2">
      <c r="F48" s="24"/>
      <c r="G48" s="22" t="s">
        <v>108</v>
      </c>
      <c r="H48" t="s">
        <v>113</v>
      </c>
      <c r="I48" s="1"/>
    </row>
    <row r="49" spans="6:9" x14ac:dyDescent="0.2">
      <c r="F49" s="24"/>
      <c r="G49" s="22" t="s">
        <v>109</v>
      </c>
      <c r="H49" t="s">
        <v>129</v>
      </c>
      <c r="I49" s="1"/>
    </row>
    <row r="50" spans="6:9" x14ac:dyDescent="0.2">
      <c r="F50" s="24"/>
      <c r="G50" s="22" t="s">
        <v>131</v>
      </c>
      <c r="I50" s="1"/>
    </row>
    <row r="51" spans="6:9" x14ac:dyDescent="0.2">
      <c r="F51" s="24" t="s">
        <v>114</v>
      </c>
      <c r="G51" s="22"/>
      <c r="I51" s="1"/>
    </row>
    <row r="52" spans="6:9" x14ac:dyDescent="0.2">
      <c r="F52" s="24"/>
      <c r="G52" s="3" t="s">
        <v>130</v>
      </c>
      <c r="I52" s="1"/>
    </row>
    <row r="53" spans="6:9" x14ac:dyDescent="0.2">
      <c r="F53" s="24"/>
      <c r="G53" s="22" t="s">
        <v>115</v>
      </c>
      <c r="H53" t="s">
        <v>112</v>
      </c>
      <c r="I53" s="1"/>
    </row>
    <row r="54" spans="6:9" x14ac:dyDescent="0.2">
      <c r="F54" s="24"/>
      <c r="G54" s="22" t="s">
        <v>116</v>
      </c>
      <c r="H54" t="s">
        <v>113</v>
      </c>
      <c r="I54" s="1"/>
    </row>
    <row r="55" spans="6:9" x14ac:dyDescent="0.2">
      <c r="F55" s="24"/>
      <c r="G55" s="22" t="s">
        <v>117</v>
      </c>
      <c r="H55" t="s">
        <v>123</v>
      </c>
      <c r="I55" s="1"/>
    </row>
    <row r="56" spans="6:9" x14ac:dyDescent="0.2">
      <c r="F56" s="24"/>
      <c r="G56" s="22" t="s">
        <v>118</v>
      </c>
      <c r="H56" t="s">
        <v>125</v>
      </c>
      <c r="I56" s="1"/>
    </row>
    <row r="57" spans="6:9" x14ac:dyDescent="0.2">
      <c r="F57" s="24"/>
      <c r="G57" s="22" t="s">
        <v>119</v>
      </c>
      <c r="H57" t="s">
        <v>124</v>
      </c>
      <c r="I57" s="1"/>
    </row>
    <row r="58" spans="6:9" x14ac:dyDescent="0.2">
      <c r="F58" s="24"/>
      <c r="G58" s="22" t="s">
        <v>120</v>
      </c>
      <c r="H58" t="s">
        <v>126</v>
      </c>
      <c r="I58" s="1"/>
    </row>
    <row r="59" spans="6:9" x14ac:dyDescent="0.2">
      <c r="F59" s="24"/>
      <c r="G59" s="22" t="s">
        <v>121</v>
      </c>
      <c r="H59" t="s">
        <v>127</v>
      </c>
      <c r="I59" s="1"/>
    </row>
    <row r="60" spans="6:9" x14ac:dyDescent="0.2">
      <c r="F60" s="24"/>
      <c r="G60" s="22" t="s">
        <v>122</v>
      </c>
      <c r="H60" t="s">
        <v>128</v>
      </c>
      <c r="I60" s="1"/>
    </row>
    <row r="61" spans="6:9" x14ac:dyDescent="0.2">
      <c r="F61" s="24"/>
      <c r="G61" s="22" t="s">
        <v>131</v>
      </c>
      <c r="I61" s="1"/>
    </row>
    <row r="62" spans="6:9" x14ac:dyDescent="0.2">
      <c r="F62" s="24"/>
      <c r="I62" s="1"/>
    </row>
    <row r="63" spans="6:9" x14ac:dyDescent="0.2">
      <c r="F63" s="24" t="s">
        <v>132</v>
      </c>
      <c r="I63" s="1"/>
    </row>
    <row r="64" spans="6:9" x14ac:dyDescent="0.2">
      <c r="F64" s="24"/>
      <c r="G64" s="28" t="s">
        <v>130</v>
      </c>
      <c r="H64" s="3"/>
      <c r="I64" s="1"/>
    </row>
    <row r="65" spans="6:9" x14ac:dyDescent="0.2">
      <c r="F65" s="32"/>
      <c r="G65" s="32" t="s">
        <v>201</v>
      </c>
      <c r="H65" s="29"/>
      <c r="I65" s="1"/>
    </row>
    <row r="66" spans="6:9" x14ac:dyDescent="0.2">
      <c r="F66" s="24"/>
      <c r="G66" s="32" t="s">
        <v>133</v>
      </c>
      <c r="H66" s="29"/>
      <c r="I66" s="1"/>
    </row>
    <row r="67" spans="6:9" x14ac:dyDescent="0.2">
      <c r="F67" s="24"/>
      <c r="G67" s="32" t="s">
        <v>158</v>
      </c>
      <c r="H67" s="29"/>
      <c r="I67" s="1"/>
    </row>
    <row r="68" spans="6:9" x14ac:dyDescent="0.2">
      <c r="F68" s="24"/>
      <c r="G68" s="32" t="s">
        <v>159</v>
      </c>
      <c r="H68" s="29"/>
      <c r="I68" s="1"/>
    </row>
    <row r="69" spans="6:9" x14ac:dyDescent="0.2">
      <c r="F69" s="24"/>
      <c r="G69" s="32" t="s">
        <v>160</v>
      </c>
      <c r="H69" s="29"/>
      <c r="I69" s="1"/>
    </row>
    <row r="70" spans="6:9" x14ac:dyDescent="0.2">
      <c r="F70" s="24"/>
      <c r="G70" s="32" t="s">
        <v>161</v>
      </c>
      <c r="H70" s="29"/>
      <c r="I70" s="1"/>
    </row>
    <row r="71" spans="6:9" x14ac:dyDescent="0.2">
      <c r="F71" s="24"/>
      <c r="G71" s="32" t="s">
        <v>162</v>
      </c>
      <c r="H71" s="29"/>
      <c r="I71" s="1"/>
    </row>
    <row r="72" spans="6:9" x14ac:dyDescent="0.2">
      <c r="F72" s="24"/>
      <c r="G72" s="32" t="s">
        <v>163</v>
      </c>
      <c r="H72" s="29"/>
      <c r="I72" s="1"/>
    </row>
    <row r="73" spans="6:9" x14ac:dyDescent="0.2">
      <c r="F73" s="24"/>
      <c r="G73" s="32" t="s">
        <v>164</v>
      </c>
      <c r="H73" s="29"/>
      <c r="I73" s="1"/>
    </row>
    <row r="74" spans="6:9" x14ac:dyDescent="0.2">
      <c r="F74" s="24"/>
      <c r="G74" s="32" t="s">
        <v>165</v>
      </c>
      <c r="H74" s="29"/>
      <c r="I74" s="1"/>
    </row>
    <row r="75" spans="6:9" x14ac:dyDescent="0.2">
      <c r="F75" s="24"/>
      <c r="G75" s="32" t="s">
        <v>166</v>
      </c>
      <c r="H75" s="29"/>
      <c r="I75" s="1"/>
    </row>
    <row r="76" spans="6:9" x14ac:dyDescent="0.2">
      <c r="F76" s="24"/>
      <c r="G76" s="32" t="s">
        <v>167</v>
      </c>
      <c r="H76" s="29"/>
      <c r="I76" s="1"/>
    </row>
    <row r="77" spans="6:9" x14ac:dyDescent="0.2">
      <c r="F77" s="24"/>
      <c r="G77" s="32" t="s">
        <v>168</v>
      </c>
      <c r="H77" s="29"/>
      <c r="I77" s="1"/>
    </row>
    <row r="78" spans="6:9" x14ac:dyDescent="0.2">
      <c r="F78" s="24"/>
      <c r="G78" s="32" t="s">
        <v>169</v>
      </c>
      <c r="H78" s="29"/>
      <c r="I78" s="1"/>
    </row>
    <row r="79" spans="6:9" x14ac:dyDescent="0.2">
      <c r="F79" s="24"/>
      <c r="G79" s="3" t="s">
        <v>170</v>
      </c>
      <c r="H79" s="29"/>
      <c r="I79" s="1"/>
    </row>
    <row r="80" spans="6:9" x14ac:dyDescent="0.2">
      <c r="F80" s="24"/>
      <c r="G80" s="32" t="s">
        <v>171</v>
      </c>
      <c r="H80" s="29"/>
      <c r="I80" s="1"/>
    </row>
    <row r="81" spans="6:9" x14ac:dyDescent="0.2">
      <c r="F81" s="25"/>
      <c r="G81" s="31" t="s">
        <v>131</v>
      </c>
      <c r="H81" s="30"/>
      <c r="I81" s="26"/>
    </row>
  </sheetData>
  <sheetProtection password="E9D8" sheet="1" objects="1" scenarios="1"/>
  <mergeCells count="18">
    <mergeCell ref="F24:H24"/>
    <mergeCell ref="E2:H2"/>
    <mergeCell ref="A2:C2"/>
    <mergeCell ref="F4:F10"/>
    <mergeCell ref="F13:F14"/>
    <mergeCell ref="G4:G10"/>
    <mergeCell ref="G13:G14"/>
    <mergeCell ref="H4:H10"/>
    <mergeCell ref="H13:H14"/>
    <mergeCell ref="E13:E14"/>
    <mergeCell ref="F15:F16"/>
    <mergeCell ref="E15:E16"/>
    <mergeCell ref="G15:G16"/>
    <mergeCell ref="I4:I10"/>
    <mergeCell ref="I13:I14"/>
    <mergeCell ref="H15:H16"/>
    <mergeCell ref="I15:I16"/>
    <mergeCell ref="E4:E10"/>
  </mergeCells>
  <phoneticPr fontId="13" type="noConversion"/>
  <hyperlinks>
    <hyperlink ref="H4" r:id="rId1" xr:uid="{00000000-0004-0000-0200-000000000000}"/>
    <hyperlink ref="H11" r:id="rId2" display="mailto:raquel.adornato@braskem.com.br" xr:uid="{00000000-0004-0000-0200-000001000000}"/>
    <hyperlink ref="H13" r:id="rId3" xr:uid="{00000000-0004-0000-0200-000002000000}"/>
    <hyperlink ref="H12" r:id="rId4" display="mailto:priscila.fernandes@braskem.com.br" xr:uid="{00000000-0004-0000-0200-000003000000}"/>
    <hyperlink ref="H15" r:id="rId5" xr:uid="{00000000-0004-0000-0200-000004000000}"/>
  </hyperlinks>
  <pageMargins left="0.78740157499999996" right="0.78740157499999996" top="0.984251969" bottom="0.984251969" header="0.49212598499999999" footer="0.49212598499999999"/>
  <pageSetup paperSize="9" orientation="portrait" r:id="rId6"/>
  <headerFooter alignWithMargins="0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D20C03038D0542B8C50D57B283B6D0" ma:contentTypeVersion="18" ma:contentTypeDescription="Crie um novo documento." ma:contentTypeScope="" ma:versionID="82ef7865acf10883533e0dc35bc655b6">
  <xsd:schema xmlns:xsd="http://www.w3.org/2001/XMLSchema" xmlns:xs="http://www.w3.org/2001/XMLSchema" xmlns:p="http://schemas.microsoft.com/office/2006/metadata/properties" xmlns:ns2="0ecd5824-dec1-4043-af5e-6cde5fff8f83" xmlns:ns3="65b0c59f-e89a-43ee-923f-8e63cbe1699e" targetNamespace="http://schemas.microsoft.com/office/2006/metadata/properties" ma:root="true" ma:fieldsID="eca832673755e0329cf5118bc8646749" ns2:_="" ns3:_="">
    <xsd:import namespace="0ecd5824-dec1-4043-af5e-6cde5fff8f83"/>
    <xsd:import namespace="65b0c59f-e89a-43ee-923f-8e63cbe169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5824-dec1-4043-af5e-6cde5fff8f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0d3de8e4-b395-410b-aa6a-19f05c909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0c59f-e89a-43ee-923f-8e63cbe1699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7782ba1-d574-4a89-9c6e-bb3f82491f16}" ma:internalName="TaxCatchAll" ma:showField="CatchAllData" ma:web="65b0c59f-e89a-43ee-923f-8e63cbe169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b0c59f-e89a-43ee-923f-8e63cbe1699e" xsi:nil="true"/>
    <lcf76f155ced4ddcb4097134ff3c332f xmlns="0ecd5824-dec1-4043-af5e-6cde5fff8f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E731EA-AEDA-4B63-BE8C-C94ACDF7C0FB}"/>
</file>

<file path=customXml/itemProps2.xml><?xml version="1.0" encoding="utf-8"?>
<ds:datastoreItem xmlns:ds="http://schemas.openxmlformats.org/officeDocument/2006/customXml" ds:itemID="{ECCC7042-92B0-4A12-809A-A3507DEB7F30}"/>
</file>

<file path=customXml/itemProps3.xml><?xml version="1.0" encoding="utf-8"?>
<ds:datastoreItem xmlns:ds="http://schemas.openxmlformats.org/officeDocument/2006/customXml" ds:itemID="{21F801F3-B61B-47BA-9859-1971FAB11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21</vt:i4>
      </vt:variant>
    </vt:vector>
  </HeadingPairs>
  <TitlesOfParts>
    <vt:vector size="28" baseType="lpstr">
      <vt:lpstr>CAPA</vt:lpstr>
      <vt:lpstr>FOLHA 2 </vt:lpstr>
      <vt:lpstr>FOLHA 3</vt:lpstr>
      <vt:lpstr>FOLHA 4</vt:lpstr>
      <vt:lpstr>FOLHA 5</vt:lpstr>
      <vt:lpstr>APOIO</vt:lpstr>
      <vt:lpstr>LISTAS</vt:lpstr>
      <vt:lpstr>CAPA!Area_de_impressao</vt:lpstr>
      <vt:lpstr>'FOLHA 2 '!Area_de_impressao</vt:lpstr>
      <vt:lpstr>'FOLHA 3'!Area_de_impressao</vt:lpstr>
      <vt:lpstr>'FOLHA 4'!Area_de_impressao</vt:lpstr>
      <vt:lpstr>'FOLHA 5'!Area_de_impressao</vt:lpstr>
      <vt:lpstr>CENTRO</vt:lpstr>
      <vt:lpstr>CORES_BASE</vt:lpstr>
      <vt:lpstr>DATABOOK</vt:lpstr>
      <vt:lpstr>EQUIPO</vt:lpstr>
      <vt:lpstr>ESPECIALIDADE</vt:lpstr>
      <vt:lpstr>INSPECAO</vt:lpstr>
      <vt:lpstr>OPCAO</vt:lpstr>
      <vt:lpstr>PREPARO_DA_SUPERFICIE</vt:lpstr>
      <vt:lpstr>PROJETISTA</vt:lpstr>
      <vt:lpstr>TINTAS_DE_ACABAMENTO</vt:lpstr>
      <vt:lpstr>TINTAS_DE_FUNDO</vt:lpstr>
      <vt:lpstr>TINTAS_INTERMEDIARIA</vt:lpstr>
      <vt:lpstr>'FOLHA 2 '!Titulos_de_impressao</vt:lpstr>
      <vt:lpstr>'FOLHA 3'!Titulos_de_impressao</vt:lpstr>
      <vt:lpstr>'FOLHA 4'!Titulos_de_impressao</vt:lpstr>
      <vt:lpstr>'FOLHA 5'!Titulos_de_impressao</vt:lpstr>
    </vt:vector>
  </TitlesOfParts>
  <Company>Mana Engenharia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luizpeixoto</dc:creator>
  <cp:lastModifiedBy>Caio Cézar Couto Maselli</cp:lastModifiedBy>
  <cp:lastPrinted>2026-07-08T17:46:02Z</cp:lastPrinted>
  <dcterms:created xsi:type="dcterms:W3CDTF">2007-07-27T11:49:41Z</dcterms:created>
  <dcterms:modified xsi:type="dcterms:W3CDTF">2026-07-08T17:46:25Z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rd_Data">
    <vt:lpwstr>27/01/2016</vt:lpwstr>
  </property>
  <property fmtid="{D5CDD505-2E9C-101B-9397-08002B2CF9AE}" pid="3" name="Doc_DataCriacao">
    <vt:lpwstr>27/01/2016</vt:lpwstr>
  </property>
  <property fmtid="{D5CDD505-2E9C-101B-9397-08002B2CF9AE}" pid="4" name="vITT_CodTA">
    <vt:lpwstr>GD</vt:lpwstr>
  </property>
  <property fmtid="{D5CDD505-2E9C-101B-9397-08002B2CF9AE}" pid="5" name="Grd_TipodeEnvio">
    <vt:lpwstr>Guia de Remessa de Documentos</vt:lpwstr>
  </property>
  <property fmtid="{D5CDD505-2E9C-101B-9397-08002B2CF9AE}" pid="6" name="vITT_CodCompleto">
    <vt:lpwstr>1408-BK</vt:lpwstr>
  </property>
  <property fmtid="{D5CDD505-2E9C-101B-9397-08002B2CF9AE}" pid="7" name="vITT_Caminho_padrao">
    <vt:lpwstr>C:\TRABALHO</vt:lpwstr>
  </property>
  <property fmtid="{D5CDD505-2E9C-101B-9397-08002B2CF9AE}" pid="8" name="vITT_Criador">
    <vt:lpwstr>Marisa Santos Pereira</vt:lpwstr>
  </property>
  <property fmtid="{D5CDD505-2E9C-101B-9397-08002B2CF9AE}" pid="9" name="vITT_Data_Inclusao">
    <vt:lpwstr>27/06/2019</vt:lpwstr>
  </property>
  <property fmtid="{D5CDD505-2E9C-101B-9397-08002B2CF9AE}" pid="10" name="ContentTypeId">
    <vt:lpwstr>0x010100B5D20C03038D0542B8C50D57B283B6D0</vt:lpwstr>
  </property>
</Properties>
</file>